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Tables/pivotTable1.xml" ContentType="application/vnd.openxmlformats-officedocument.spreadsheetml.pivotTable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1"/>
  <bookViews>
    <workbookView windowWidth="28800" windowHeight="12090" tabRatio="648" firstSheet="4" activeTab="11"/>
  </bookViews>
  <sheets>
    <sheet name="封皮1" sheetId="29" state="hidden" r:id="rId1"/>
    <sheet name="封皮2" sheetId="30" state="hidden" r:id="rId2"/>
    <sheet name="文件修改记录" sheetId="31" state="hidden" r:id="rId3"/>
    <sheet name="目录" sheetId="32" state="hidden" r:id="rId4"/>
    <sheet name="修改记录(不发布)" sheetId="58" r:id="rId5"/>
    <sheet name="板卡清单" sheetId="18" r:id="rId6"/>
    <sheet name="IO分站清单" sheetId="1" r:id="rId7"/>
    <sheet name="Sheet1" sheetId="48" state="hidden" r:id="rId8"/>
    <sheet name="机柜报警（不发布）" sheetId="57" r:id="rId9"/>
    <sheet name="填写说明(不发布)" sheetId="47" r:id="rId10"/>
    <sheet name="端子接线说明20240402(不发布)" sheetId="55" r:id="rId11"/>
    <sheet name="模板修改记录(不发布)" sheetId="54" r:id="rId12"/>
  </sheets>
  <definedNames>
    <definedName name="_xlnm._FilterDatabase" localSheetId="6" hidden="1">IO分站清单!$A$2:$CD$162</definedName>
    <definedName name="_xlnm._FilterDatabase" localSheetId="9" hidden="1">'填写说明(不发布)'!$J$1:$J$99</definedName>
    <definedName name="_xlnm._FilterDatabase" localSheetId="5" hidden="1">板卡清单!$A$1:$S$37</definedName>
    <definedName name="_102辅助系统分站清单" localSheetId="0">#REF!</definedName>
    <definedName name="_102辅助系统分站清单" localSheetId="1">#REF!</definedName>
    <definedName name="_102辅助系统分站清单" localSheetId="3">#REF!</definedName>
    <definedName name="_102辅助系统分站清单" localSheetId="9">#REF!</definedName>
    <definedName name="_102辅助系统分站清单" localSheetId="2">#REF!</definedName>
    <definedName name="_102辅助系统分站清单">#REF!</definedName>
    <definedName name="eeee2222" localSheetId="9">#REF!</definedName>
    <definedName name="eeee2222">#REF!</definedName>
    <definedName name="IO_CARD_LIST" localSheetId="0">#REF!</definedName>
    <definedName name="IO_CARD_LIST" localSheetId="1">#REF!</definedName>
    <definedName name="IO_CARD_LIST" localSheetId="3">#REF!</definedName>
    <definedName name="IO_CARD_LIST" localSheetId="9">#REF!</definedName>
    <definedName name="IO_CARD_LIST" localSheetId="2">#REF!</definedName>
    <definedName name="IO_CARD_LIST">#REF!</definedName>
    <definedName name="_xlnm.Print_Area" localSheetId="0">封皮1!$A$1:$H$35</definedName>
    <definedName name="_xlnm.Print_Area" localSheetId="1">封皮2!$A$1:$H$42</definedName>
    <definedName name="_xlnm.Print_Area" localSheetId="3">目录!$A$1:$G$26</definedName>
    <definedName name="_xlnm.Print_Area" localSheetId="6">IO分站清单!$A$2:$AT$23</definedName>
    <definedName name="_xlnm.Print_Area" localSheetId="5">板卡清单!$A$1:$M$73</definedName>
    <definedName name="_xlnm.Print_Titles" localSheetId="2">文件修改记录!$2:$3</definedName>
    <definedName name="_xlnm.Print_Titles" localSheetId="6">IO分站清单!$2:$2</definedName>
    <definedName name="_xlnm.Print_Titles" localSheetId="5">板卡清单!$1:$1</definedName>
    <definedName name="www" localSheetId="9">#REF!</definedName>
    <definedName name="www">#REF!</definedName>
    <definedName name="汇总表_查询" localSheetId="0">#REF!</definedName>
    <definedName name="汇总表_查询" localSheetId="1">#REF!</definedName>
    <definedName name="汇总表_查询" localSheetId="3">#REF!</definedName>
    <definedName name="汇总表_查询" localSheetId="2">#REF!</definedName>
    <definedName name="汇总表_查询">#REF!</definedName>
    <definedName name="_102辅助系统分站清单" localSheetId="8">#REF!</definedName>
    <definedName name="eeee2222" localSheetId="8">#REF!</definedName>
    <definedName name="IO_CARD_LIST" localSheetId="8">#REF!</definedName>
    <definedName name="www" localSheetId="8">#REF!</definedName>
    <definedName name="汇总表_查询" localSheetId="8">#REF!</definedName>
  </definedNames>
  <calcPr calcId="144525"/>
  <pivotCaches>
    <pivotCache cacheId="0" r:id="rId13"/>
  </pivotCaches>
</workbook>
</file>

<file path=xl/sharedStrings.xml><?xml version="1.0" encoding="utf-8"?>
<sst xmlns="http://schemas.openxmlformats.org/spreadsheetml/2006/main" count="3964" uniqueCount="962">
  <si>
    <t xml:space="preserve">
密级：非密</t>
  </si>
  <si>
    <r>
      <rPr>
        <sz val="12"/>
        <color theme="1"/>
        <rFont val="宋体"/>
        <charset val="134"/>
      </rPr>
      <t>项目名称</t>
    </r>
  </si>
  <si>
    <t>乏燃料后处理工业示范厂二期仪控总包非安全级设备供货项目</t>
  </si>
  <si>
    <t>项目编号</t>
  </si>
  <si>
    <t>XSG210020</t>
  </si>
  <si>
    <t>Project Name</t>
  </si>
  <si>
    <t>Project No.</t>
  </si>
  <si>
    <r>
      <rPr>
        <sz val="10.5"/>
        <color theme="1"/>
        <rFont val="宋体"/>
        <charset val="134"/>
      </rPr>
      <t xml:space="preserve">标题
</t>
    </r>
    <r>
      <rPr>
        <sz val="10.5"/>
        <color theme="1"/>
        <rFont val="Times New Roman"/>
        <charset val="134"/>
      </rPr>
      <t>Title</t>
    </r>
  </si>
  <si>
    <r>
      <rPr>
        <b/>
        <sz val="14"/>
        <color theme="1"/>
        <rFont val="Times New Roman"/>
        <charset val="134"/>
      </rPr>
      <t>B113-1</t>
    </r>
    <r>
      <rPr>
        <b/>
        <sz val="14"/>
        <color theme="1"/>
        <rFont val="宋体"/>
        <charset val="134"/>
      </rPr>
      <t>子项</t>
    </r>
    <r>
      <rPr>
        <b/>
        <sz val="14"/>
        <color theme="1"/>
        <rFont val="Times New Roman"/>
        <charset val="134"/>
      </rPr>
      <t>TETP</t>
    </r>
    <r>
      <rPr>
        <b/>
        <sz val="14"/>
        <color theme="1"/>
        <rFont val="宋体"/>
        <charset val="134"/>
      </rPr>
      <t>系统</t>
    </r>
    <r>
      <rPr>
        <b/>
        <sz val="14"/>
        <color theme="1"/>
        <rFont val="Times New Roman"/>
        <charset val="134"/>
      </rPr>
      <t>IO</t>
    </r>
    <r>
      <rPr>
        <b/>
        <sz val="14"/>
        <color theme="1"/>
        <rFont val="宋体"/>
        <charset val="134"/>
      </rPr>
      <t>端接清单</t>
    </r>
  </si>
  <si>
    <r>
      <rPr>
        <sz val="12"/>
        <color theme="1"/>
        <rFont val="宋体"/>
        <charset val="134"/>
      </rPr>
      <t>外部编码</t>
    </r>
  </si>
  <si>
    <t>受控编号
Control No.</t>
  </si>
  <si>
    <t>External No.</t>
  </si>
  <si>
    <r>
      <rPr>
        <sz val="12"/>
        <color theme="1"/>
        <rFont val="宋体"/>
        <charset val="134"/>
      </rPr>
      <t>内部编码</t>
    </r>
  </si>
  <si>
    <t>R2-DCS-D-SJ-113-X-LST-ES-005</t>
  </si>
  <si>
    <t>Internal No.</t>
  </si>
  <si>
    <r>
      <rPr>
        <sz val="12"/>
        <color theme="1"/>
        <rFont val="宋体"/>
        <charset val="134"/>
      </rPr>
      <t>编制单位</t>
    </r>
  </si>
  <si>
    <r>
      <rPr>
        <sz val="12"/>
        <color theme="1"/>
        <rFont val="宋体"/>
        <charset val="134"/>
      </rPr>
      <t>中核集团中核控制系统工程有限公司</t>
    </r>
  </si>
  <si>
    <t>Compiled By</t>
  </si>
  <si>
    <r>
      <rPr>
        <sz val="10.5"/>
        <color theme="1"/>
        <rFont val="宋体"/>
        <charset val="134"/>
      </rPr>
      <t>（</t>
    </r>
    <r>
      <rPr>
        <sz val="10.5"/>
        <color theme="1"/>
        <rFont val="Times New Roman"/>
        <charset val="134"/>
      </rPr>
      <t>China Nuclear Control System Engineering Co.,Ltd.</t>
    </r>
    <r>
      <rPr>
        <sz val="10.5"/>
        <color theme="1"/>
        <rFont val="宋体"/>
        <charset val="134"/>
      </rPr>
      <t>）</t>
    </r>
  </si>
  <si>
    <r>
      <rPr>
        <sz val="12"/>
        <color theme="1"/>
        <rFont val="宋体"/>
        <charset val="134"/>
      </rPr>
      <t>版次</t>
    </r>
  </si>
  <si>
    <r>
      <rPr>
        <sz val="12"/>
        <color theme="1"/>
        <rFont val="宋体"/>
        <charset val="134"/>
      </rPr>
      <t>状态</t>
    </r>
  </si>
  <si>
    <r>
      <rPr>
        <sz val="12"/>
        <color theme="1"/>
        <rFont val="宋体"/>
        <charset val="134"/>
      </rPr>
      <t>编制</t>
    </r>
  </si>
  <si>
    <r>
      <rPr>
        <sz val="12"/>
        <color theme="1"/>
        <rFont val="宋体"/>
        <charset val="134"/>
      </rPr>
      <t>校对</t>
    </r>
  </si>
  <si>
    <t>审核</t>
  </si>
  <si>
    <t>批准</t>
  </si>
  <si>
    <t>Rev.</t>
  </si>
  <si>
    <t>Status</t>
  </si>
  <si>
    <t>Prepared By</t>
  </si>
  <si>
    <t>Checked By</t>
  </si>
  <si>
    <t>Reviewed By</t>
  </si>
  <si>
    <t>Approved By</t>
  </si>
  <si>
    <t>A</t>
  </si>
  <si>
    <t>CFC</t>
  </si>
  <si>
    <r>
      <rPr>
        <sz val="12"/>
        <color theme="1"/>
        <rFont val="宋体"/>
        <charset val="134"/>
      </rPr>
      <t xml:space="preserve">会签
</t>
    </r>
    <r>
      <rPr>
        <sz val="12"/>
        <color theme="1"/>
        <rFont val="Times New Roman"/>
        <charset val="134"/>
      </rPr>
      <t>COUNTERSIGNED BY</t>
    </r>
  </si>
  <si>
    <r>
      <rPr>
        <sz val="12"/>
        <color theme="1"/>
        <rFont val="宋体"/>
        <charset val="134"/>
      </rPr>
      <t>部门</t>
    </r>
    <r>
      <rPr>
        <sz val="12"/>
        <color theme="1"/>
        <rFont val="Times New Roman"/>
        <charset val="134"/>
      </rPr>
      <t xml:space="preserve"> ( </t>
    </r>
    <r>
      <rPr>
        <sz val="12"/>
        <color theme="1"/>
        <rFont val="宋体"/>
        <charset val="134"/>
      </rPr>
      <t>单位</t>
    </r>
    <r>
      <rPr>
        <sz val="12"/>
        <color theme="1"/>
        <rFont val="Times New Roman"/>
        <charset val="134"/>
      </rPr>
      <t xml:space="preserve"> )</t>
    </r>
  </si>
  <si>
    <r>
      <rPr>
        <sz val="12"/>
        <color theme="1"/>
        <rFont val="宋体"/>
        <charset val="134"/>
      </rPr>
      <t>姓名</t>
    </r>
  </si>
  <si>
    <r>
      <rPr>
        <sz val="12"/>
        <color theme="1"/>
        <rFont val="宋体"/>
        <charset val="134"/>
      </rPr>
      <t>日期</t>
    </r>
  </si>
  <si>
    <t>Department(Unit)</t>
  </si>
  <si>
    <t>Name</t>
  </si>
  <si>
    <t>Date</t>
  </si>
  <si>
    <r>
      <rPr>
        <sz val="12"/>
        <color theme="1"/>
        <rFont val="宋体"/>
        <charset val="134"/>
      </rPr>
      <t>□</t>
    </r>
    <r>
      <rPr>
        <sz val="12"/>
        <color theme="1"/>
        <rFont val="Arial"/>
        <charset val="134"/>
      </rPr>
      <t xml:space="preserve"> </t>
    </r>
    <r>
      <rPr>
        <sz val="12"/>
        <color theme="1"/>
        <rFont val="宋体"/>
        <charset val="134"/>
      </rPr>
      <t>工程与服务中心</t>
    </r>
  </si>
  <si>
    <r>
      <rPr>
        <sz val="12"/>
        <color theme="1"/>
        <rFont val="宋体"/>
        <charset val="134"/>
      </rPr>
      <t>□</t>
    </r>
    <r>
      <rPr>
        <sz val="12"/>
        <color theme="1"/>
        <rFont val="Times New Roman"/>
        <charset val="134"/>
      </rPr>
      <t xml:space="preserve"> </t>
    </r>
    <r>
      <rPr>
        <sz val="12"/>
        <color theme="1"/>
        <rFont val="宋体"/>
        <charset val="134"/>
      </rPr>
      <t>研发中心</t>
    </r>
  </si>
  <si>
    <r>
      <rPr>
        <sz val="12"/>
        <color theme="1"/>
        <rFont val="宋体"/>
        <charset val="134"/>
      </rPr>
      <t>□</t>
    </r>
    <r>
      <rPr>
        <sz val="12"/>
        <color theme="1"/>
        <rFont val="Times New Roman"/>
        <charset val="134"/>
      </rPr>
      <t xml:space="preserve"> </t>
    </r>
    <r>
      <rPr>
        <sz val="12"/>
        <color theme="1"/>
        <rFont val="宋体"/>
        <charset val="134"/>
      </rPr>
      <t>测试与验证中心</t>
    </r>
  </si>
  <si>
    <r>
      <rPr>
        <sz val="12"/>
        <color theme="1"/>
        <rFont val="宋体"/>
        <charset val="134"/>
      </rPr>
      <t>□</t>
    </r>
    <r>
      <rPr>
        <sz val="12"/>
        <color theme="1"/>
        <rFont val="Times New Roman"/>
        <charset val="134"/>
      </rPr>
      <t xml:space="preserve"> </t>
    </r>
    <r>
      <rPr>
        <sz val="12"/>
        <color theme="1"/>
        <rFont val="宋体"/>
        <charset val="134"/>
      </rPr>
      <t>人力资源部</t>
    </r>
  </si>
  <si>
    <r>
      <rPr>
        <sz val="12"/>
        <color theme="1"/>
        <rFont val="宋体"/>
        <charset val="134"/>
      </rPr>
      <t>□</t>
    </r>
    <r>
      <rPr>
        <sz val="12"/>
        <color theme="1"/>
        <rFont val="Times New Roman"/>
        <charset val="134"/>
      </rPr>
      <t xml:space="preserve"> </t>
    </r>
    <r>
      <rPr>
        <sz val="12"/>
        <color theme="1"/>
        <rFont val="宋体"/>
        <charset val="134"/>
      </rPr>
      <t>安全质量部</t>
    </r>
  </si>
  <si>
    <r>
      <rPr>
        <sz val="12"/>
        <color theme="1"/>
        <rFont val="宋体"/>
        <charset val="134"/>
      </rPr>
      <t>□</t>
    </r>
    <r>
      <rPr>
        <sz val="12"/>
        <color theme="1"/>
        <rFont val="Times New Roman"/>
        <charset val="134"/>
      </rPr>
      <t xml:space="preserve"> </t>
    </r>
    <r>
      <rPr>
        <sz val="12"/>
        <color theme="1"/>
        <rFont val="宋体"/>
        <charset val="134"/>
      </rPr>
      <t>采购部</t>
    </r>
  </si>
  <si>
    <r>
      <rPr>
        <sz val="12"/>
        <color theme="1"/>
        <rFont val="宋体"/>
        <charset val="134"/>
      </rPr>
      <t>□</t>
    </r>
    <r>
      <rPr>
        <sz val="12"/>
        <color theme="1"/>
        <rFont val="Times New Roman"/>
        <charset val="134"/>
      </rPr>
      <t xml:space="preserve"> </t>
    </r>
    <r>
      <rPr>
        <sz val="12"/>
        <color theme="1"/>
        <rFont val="宋体"/>
        <charset val="134"/>
      </rPr>
      <t>市场部</t>
    </r>
  </si>
  <si>
    <r>
      <rPr>
        <sz val="12"/>
        <color theme="1"/>
        <rFont val="宋体"/>
        <charset val="134"/>
      </rPr>
      <t>□</t>
    </r>
    <r>
      <rPr>
        <sz val="12"/>
        <color theme="1"/>
        <rFont val="Times New Roman"/>
        <charset val="134"/>
      </rPr>
      <t xml:space="preserve"> </t>
    </r>
    <r>
      <rPr>
        <sz val="12"/>
        <color theme="1"/>
        <rFont val="宋体"/>
        <charset val="134"/>
      </rPr>
      <t>科技管理部</t>
    </r>
  </si>
  <si>
    <r>
      <rPr>
        <sz val="12"/>
        <color theme="1"/>
        <rFont val="宋体"/>
        <charset val="134"/>
      </rPr>
      <t>□</t>
    </r>
    <r>
      <rPr>
        <sz val="12"/>
        <color theme="1"/>
        <rFont val="Times New Roman"/>
        <charset val="134"/>
      </rPr>
      <t xml:space="preserve"> </t>
    </r>
    <r>
      <rPr>
        <sz val="12"/>
        <color theme="1"/>
        <rFont val="宋体"/>
        <charset val="134"/>
      </rPr>
      <t>流程与信息化部</t>
    </r>
  </si>
  <si>
    <r>
      <rPr>
        <sz val="12"/>
        <color theme="1"/>
        <rFont val="宋体"/>
        <charset val="134"/>
      </rPr>
      <t>□</t>
    </r>
    <r>
      <rPr>
        <sz val="12"/>
        <color theme="1"/>
        <rFont val="Times New Roman"/>
        <charset val="134"/>
      </rPr>
      <t xml:space="preserve"> </t>
    </r>
    <r>
      <rPr>
        <sz val="12"/>
        <color theme="1"/>
        <rFont val="宋体"/>
        <charset val="134"/>
      </rPr>
      <t>规划发展部</t>
    </r>
  </si>
  <si>
    <r>
      <rPr>
        <sz val="12"/>
        <color theme="1"/>
        <rFont val="宋体"/>
        <charset val="134"/>
      </rPr>
      <t>□</t>
    </r>
    <r>
      <rPr>
        <sz val="12"/>
        <color theme="1"/>
        <rFont val="Times New Roman"/>
        <charset val="134"/>
      </rPr>
      <t xml:space="preserve"> </t>
    </r>
    <r>
      <rPr>
        <sz val="12"/>
        <color theme="1"/>
        <rFont val="宋体"/>
        <charset val="134"/>
      </rPr>
      <t>公司办公室</t>
    </r>
  </si>
  <si>
    <r>
      <rPr>
        <sz val="12"/>
        <color theme="1"/>
        <rFont val="宋体"/>
        <charset val="134"/>
      </rPr>
      <t>□</t>
    </r>
    <r>
      <rPr>
        <sz val="12"/>
        <color theme="1"/>
        <rFont val="Times New Roman"/>
        <charset val="134"/>
      </rPr>
      <t xml:space="preserve"> </t>
    </r>
    <r>
      <rPr>
        <sz val="12"/>
        <color theme="1"/>
        <rFont val="宋体"/>
        <charset val="134"/>
      </rPr>
      <t>财务部</t>
    </r>
  </si>
  <si>
    <t>□审计与法务部</t>
  </si>
  <si>
    <t>□纪检监督部</t>
  </si>
  <si>
    <t>备注：需要会签的部门，在会签栏“□”中打“☑”，并签字注日期。</t>
  </si>
  <si>
    <t>会签
Countersigned By</t>
  </si>
  <si>
    <t xml:space="preserve"> 部门（单位）</t>
  </si>
  <si>
    <t>姓名</t>
  </si>
  <si>
    <t>日期</t>
  </si>
  <si>
    <t>Department (Unit)</t>
  </si>
  <si>
    <r>
      <rPr>
        <sz val="12"/>
        <color theme="1"/>
        <rFont val="宋体"/>
        <charset val="134"/>
      </rPr>
      <t>□</t>
    </r>
    <r>
      <rPr>
        <sz val="12"/>
        <color theme="1"/>
        <rFont val="Times New Roman"/>
        <charset val="134"/>
      </rPr>
      <t xml:space="preserve"> </t>
    </r>
    <r>
      <rPr>
        <sz val="12"/>
        <color theme="1"/>
        <rFont val="宋体"/>
        <charset val="134"/>
      </rPr>
      <t>党群工作部</t>
    </r>
  </si>
  <si>
    <t>□党委巡察办公室</t>
  </si>
  <si>
    <r>
      <rPr>
        <sz val="12"/>
        <color theme="1"/>
        <rFont val="宋体"/>
        <charset val="134"/>
      </rPr>
      <t>□</t>
    </r>
    <r>
      <rPr>
        <sz val="12"/>
        <color theme="1"/>
        <rFont val="Times New Roman"/>
        <charset val="134"/>
      </rPr>
      <t xml:space="preserve"> </t>
    </r>
    <r>
      <rPr>
        <sz val="12"/>
        <color theme="1"/>
        <rFont val="宋体"/>
        <charset val="134"/>
      </rPr>
      <t>项目经理</t>
    </r>
  </si>
  <si>
    <r>
      <rPr>
        <sz val="12"/>
        <color theme="1"/>
        <rFont val="宋体"/>
        <charset val="134"/>
      </rPr>
      <t>□</t>
    </r>
    <r>
      <rPr>
        <sz val="12"/>
        <color theme="1"/>
        <rFont val="Times New Roman"/>
        <charset val="134"/>
      </rPr>
      <t xml:space="preserve"> </t>
    </r>
    <r>
      <rPr>
        <sz val="12"/>
        <color theme="1"/>
        <rFont val="宋体"/>
        <charset val="134"/>
      </rPr>
      <t>标准化审查人员</t>
    </r>
  </si>
  <si>
    <t>□山东分公司</t>
  </si>
  <si>
    <r>
      <rPr>
        <sz val="12"/>
        <color theme="1"/>
        <rFont val="宋体"/>
        <charset val="134"/>
      </rPr>
      <t>□</t>
    </r>
    <r>
      <rPr>
        <sz val="12"/>
        <color theme="1"/>
        <rFont val="Times New Roman"/>
        <charset val="134"/>
      </rPr>
      <t xml:space="preserve"> </t>
    </r>
    <r>
      <rPr>
        <sz val="12"/>
        <color theme="1"/>
        <rFont val="宋体"/>
        <charset val="134"/>
      </rPr>
      <t>核仪器事业部</t>
    </r>
  </si>
  <si>
    <t>□成都分公司</t>
  </si>
  <si>
    <r>
      <rPr>
        <sz val="12"/>
        <color theme="1"/>
        <rFont val="宋体"/>
        <charset val="134"/>
      </rPr>
      <t>□</t>
    </r>
    <r>
      <rPr>
        <sz val="12"/>
        <color theme="1"/>
        <rFont val="Times New Roman"/>
        <charset val="134"/>
      </rPr>
      <t xml:space="preserve"> </t>
    </r>
    <r>
      <rPr>
        <sz val="12"/>
        <color theme="1"/>
        <rFont val="宋体"/>
        <charset val="134"/>
      </rPr>
      <t>嘉峪关分公司</t>
    </r>
  </si>
  <si>
    <r>
      <rPr>
        <sz val="12"/>
        <color theme="1"/>
        <rFont val="宋体"/>
        <charset val="134"/>
      </rPr>
      <t>□</t>
    </r>
    <r>
      <rPr>
        <sz val="12"/>
        <color theme="1"/>
        <rFont val="Times New Roman"/>
        <charset val="134"/>
      </rPr>
      <t xml:space="preserve"> </t>
    </r>
    <r>
      <rPr>
        <sz val="12"/>
        <color theme="1"/>
        <rFont val="宋体"/>
        <charset val="134"/>
      </rPr>
      <t>其他</t>
    </r>
  </si>
  <si>
    <t xml:space="preserve">备注：需要会签的部门，在会签栏“□”中打“☑”，并签字注日期。 </t>
  </si>
  <si>
    <t>文件修改记录
MODIFICATION</t>
  </si>
  <si>
    <t>序号</t>
  </si>
  <si>
    <t>版次</t>
  </si>
  <si>
    <t>修订发布日期</t>
  </si>
  <si>
    <t>章节</t>
  </si>
  <si>
    <t>页码</t>
  </si>
  <si>
    <t>修改范围及依据</t>
  </si>
  <si>
    <t>No</t>
  </si>
  <si>
    <t>REV</t>
  </si>
  <si>
    <t>DATE</t>
  </si>
  <si>
    <t>CHAPTER</t>
  </si>
  <si>
    <t>PAGE</t>
  </si>
  <si>
    <t>MODI FICATION</t>
  </si>
  <si>
    <t>全部</t>
  </si>
  <si>
    <t>首次发布</t>
  </si>
  <si>
    <t>目   录</t>
  </si>
  <si>
    <r>
      <rPr>
        <sz val="14"/>
        <color theme="1"/>
        <rFont val="宋体"/>
        <charset val="134"/>
      </rPr>
      <t>序号</t>
    </r>
  </si>
  <si>
    <r>
      <rPr>
        <sz val="14"/>
        <color theme="1"/>
        <rFont val="宋体"/>
        <charset val="134"/>
      </rPr>
      <t>名称</t>
    </r>
  </si>
  <si>
    <r>
      <rPr>
        <sz val="14"/>
        <color theme="1"/>
        <rFont val="宋体"/>
        <charset val="134"/>
      </rPr>
      <t>页数</t>
    </r>
  </si>
  <si>
    <r>
      <rPr>
        <sz val="14"/>
        <color theme="1"/>
        <rFont val="宋体"/>
        <charset val="134"/>
      </rPr>
      <t>页码</t>
    </r>
  </si>
  <si>
    <r>
      <rPr>
        <sz val="14"/>
        <color theme="1"/>
        <rFont val="宋体"/>
        <charset val="134"/>
      </rPr>
      <t>版本</t>
    </r>
  </si>
  <si>
    <r>
      <rPr>
        <sz val="14"/>
        <color theme="1"/>
        <rFont val="宋体"/>
        <charset val="134"/>
      </rPr>
      <t>状态</t>
    </r>
  </si>
  <si>
    <r>
      <rPr>
        <sz val="14"/>
        <color theme="1"/>
        <rFont val="宋体"/>
        <charset val="134"/>
      </rPr>
      <t>备注</t>
    </r>
  </si>
  <si>
    <r>
      <rPr>
        <sz val="12"/>
        <color theme="1"/>
        <rFont val="Times New Roman"/>
        <charset val="134"/>
      </rPr>
      <t>B113-1</t>
    </r>
    <r>
      <rPr>
        <sz val="12"/>
        <color theme="1"/>
        <rFont val="宋体"/>
        <charset val="134"/>
      </rPr>
      <t>子项</t>
    </r>
    <r>
      <rPr>
        <sz val="12"/>
        <color theme="1"/>
        <rFont val="Times New Roman"/>
        <charset val="134"/>
      </rPr>
      <t>TETP</t>
    </r>
    <r>
      <rPr>
        <sz val="12"/>
        <color theme="1"/>
        <rFont val="宋体"/>
        <charset val="134"/>
      </rPr>
      <t>系统控制柜</t>
    </r>
    <r>
      <rPr>
        <sz val="12"/>
        <color theme="1"/>
        <rFont val="Times New Roman"/>
        <charset val="134"/>
      </rPr>
      <t>IO</t>
    </r>
    <r>
      <rPr>
        <sz val="12"/>
        <color theme="1"/>
        <rFont val="宋体"/>
        <charset val="134"/>
      </rPr>
      <t>板卡布置清单</t>
    </r>
  </si>
  <si>
    <t>5~5</t>
  </si>
  <si>
    <r>
      <rPr>
        <sz val="12"/>
        <color theme="1"/>
        <rFont val="Times New Roman"/>
        <charset val="134"/>
      </rPr>
      <t>B113-1</t>
    </r>
    <r>
      <rPr>
        <sz val="12"/>
        <color theme="1"/>
        <rFont val="宋体"/>
        <charset val="134"/>
      </rPr>
      <t>子项</t>
    </r>
    <r>
      <rPr>
        <sz val="12"/>
        <color theme="1"/>
        <rFont val="Times New Roman"/>
        <charset val="134"/>
      </rPr>
      <t>TETP</t>
    </r>
    <r>
      <rPr>
        <sz val="12"/>
        <color theme="1"/>
        <rFont val="宋体"/>
        <charset val="134"/>
      </rPr>
      <t>系统</t>
    </r>
    <r>
      <rPr>
        <sz val="12"/>
        <color theme="1"/>
        <rFont val="Times New Roman"/>
        <charset val="134"/>
      </rPr>
      <t xml:space="preserve"> IO</t>
    </r>
    <r>
      <rPr>
        <sz val="12"/>
        <color theme="1"/>
        <rFont val="宋体"/>
        <charset val="134"/>
      </rPr>
      <t>端接清单</t>
    </r>
  </si>
  <si>
    <r>
      <rPr>
        <sz val="12"/>
        <color theme="1"/>
        <rFont val="宋体"/>
        <charset val="134"/>
      </rPr>
      <t xml:space="preserve">文件修改记录
</t>
    </r>
    <r>
      <rPr>
        <sz val="12"/>
        <color theme="1"/>
        <rFont val="Times New Roman"/>
        <charset val="134"/>
      </rPr>
      <t>MODIFICATION</t>
    </r>
  </si>
  <si>
    <t>序号 No</t>
  </si>
  <si>
    <r>
      <rPr>
        <sz val="12"/>
        <color theme="1"/>
        <rFont val="宋体"/>
        <charset val="134"/>
      </rPr>
      <t xml:space="preserve">版本
</t>
    </r>
    <r>
      <rPr>
        <sz val="12"/>
        <color theme="1"/>
        <rFont val="Times New Roman"/>
        <charset val="134"/>
      </rPr>
      <t>REV</t>
    </r>
  </si>
  <si>
    <r>
      <rPr>
        <sz val="12"/>
        <color theme="1"/>
        <rFont val="宋体"/>
        <charset val="134"/>
      </rPr>
      <t>修订发布日期</t>
    </r>
    <r>
      <rPr>
        <sz val="12"/>
        <color theme="1"/>
        <rFont val="Times New Roman"/>
        <charset val="134"/>
      </rPr>
      <t>DATE</t>
    </r>
  </si>
  <si>
    <r>
      <rPr>
        <sz val="12"/>
        <color theme="1"/>
        <rFont val="宋体"/>
        <charset val="134"/>
      </rPr>
      <t xml:space="preserve">章节
</t>
    </r>
    <r>
      <rPr>
        <sz val="12"/>
        <color theme="1"/>
        <rFont val="Times New Roman"/>
        <charset val="134"/>
      </rPr>
      <t>CHAPTER</t>
    </r>
  </si>
  <si>
    <r>
      <rPr>
        <sz val="12"/>
        <color theme="1"/>
        <rFont val="宋体"/>
        <charset val="134"/>
      </rPr>
      <t xml:space="preserve">页码
</t>
    </r>
    <r>
      <rPr>
        <sz val="12"/>
        <color theme="1"/>
        <rFont val="Times New Roman"/>
        <charset val="134"/>
      </rPr>
      <t>PAGE</t>
    </r>
  </si>
  <si>
    <r>
      <rPr>
        <sz val="12"/>
        <color theme="1"/>
        <rFont val="宋体"/>
        <charset val="134"/>
      </rPr>
      <t>修改原因及修改内容摘要</t>
    </r>
    <r>
      <rPr>
        <sz val="12"/>
        <color theme="1"/>
        <rFont val="Times New Roman"/>
        <charset val="134"/>
      </rPr>
      <t xml:space="preserve">              
MODIFICATION</t>
    </r>
  </si>
  <si>
    <t>B</t>
  </si>
  <si>
    <t>AGKV003AR</t>
  </si>
  <si>
    <t>去除AGKV004AR中控制器，将通讯点移到AGKV003AR中</t>
  </si>
  <si>
    <t>C</t>
  </si>
  <si>
    <t>修改定变风量阀通讯接口</t>
  </si>
  <si>
    <t>C1</t>
  </si>
  <si>
    <t>依据现场澄清文件《LH-6AGKX-CR-CNES-10000》：
1.空气处理机组AGVS-001CI~AGVS-003CI启、停命令修改为单指令控制，就地无保持，删除停止命令，启动命令修改为启动/停止命令，供电方由DCS修改为User；
2.AGKV002AR机柜中新增一块DO711板卡，位置为第1机架，第12插槽（112DO）,继电器板为TU721-R0000。</t>
  </si>
  <si>
    <r>
      <rPr>
        <b/>
        <sz val="10"/>
        <rFont val="宋体"/>
        <charset val="134"/>
      </rPr>
      <t>序号</t>
    </r>
  </si>
  <si>
    <r>
      <rPr>
        <b/>
        <sz val="10"/>
        <rFont val="宋体"/>
        <charset val="134"/>
      </rPr>
      <t>机柜编号</t>
    </r>
  </si>
  <si>
    <r>
      <rPr>
        <b/>
        <sz val="10"/>
        <rFont val="宋体"/>
        <charset val="134"/>
      </rPr>
      <t>机架号</t>
    </r>
  </si>
  <si>
    <r>
      <rPr>
        <b/>
        <sz val="10"/>
        <rFont val="宋体"/>
        <charset val="134"/>
      </rPr>
      <t>插槽</t>
    </r>
  </si>
  <si>
    <r>
      <rPr>
        <b/>
        <sz val="10"/>
        <rFont val="宋体"/>
        <charset val="134"/>
      </rPr>
      <t>地址</t>
    </r>
  </si>
  <si>
    <r>
      <rPr>
        <b/>
        <sz val="10"/>
        <rFont val="宋体"/>
        <charset val="134"/>
      </rPr>
      <t>板卡类型</t>
    </r>
  </si>
  <si>
    <r>
      <rPr>
        <b/>
        <sz val="10"/>
        <rFont val="宋体"/>
        <charset val="134"/>
      </rPr>
      <t>板卡编号</t>
    </r>
  </si>
  <si>
    <r>
      <rPr>
        <b/>
        <sz val="10"/>
        <rFont val="宋体"/>
        <charset val="134"/>
      </rPr>
      <t>端子板类型</t>
    </r>
  </si>
  <si>
    <r>
      <rPr>
        <b/>
        <sz val="10"/>
        <rFont val="宋体"/>
        <charset val="134"/>
      </rPr>
      <t>端子板编号</t>
    </r>
  </si>
  <si>
    <r>
      <rPr>
        <b/>
        <sz val="10"/>
        <rFont val="宋体"/>
        <charset val="134"/>
      </rPr>
      <t>描述</t>
    </r>
  </si>
  <si>
    <r>
      <rPr>
        <b/>
        <sz val="10"/>
        <rFont val="宋体"/>
        <charset val="134"/>
      </rPr>
      <t>备注</t>
    </r>
  </si>
  <si>
    <r>
      <rPr>
        <b/>
        <sz val="10"/>
        <rFont val="宋体"/>
        <charset val="134"/>
      </rPr>
      <t>版本</t>
    </r>
  </si>
  <si>
    <r>
      <rPr>
        <b/>
        <sz val="10"/>
        <rFont val="宋体"/>
        <charset val="134"/>
      </rPr>
      <t>修改说明</t>
    </r>
  </si>
  <si>
    <r>
      <rPr>
        <sz val="14"/>
        <rFont val="宋体"/>
        <charset val="134"/>
      </rPr>
      <t>板卡统计</t>
    </r>
  </si>
  <si>
    <t>3AEKC003AR</t>
  </si>
  <si>
    <r>
      <rPr>
        <sz val="14"/>
        <rFont val="宋体"/>
        <charset val="134"/>
      </rPr>
      <t>序号</t>
    </r>
  </si>
  <si>
    <r>
      <rPr>
        <sz val="14"/>
        <rFont val="宋体"/>
        <charset val="134"/>
      </rPr>
      <t>板卡</t>
    </r>
  </si>
  <si>
    <r>
      <rPr>
        <sz val="14"/>
        <rFont val="宋体"/>
        <charset val="134"/>
      </rPr>
      <t>数量</t>
    </r>
  </si>
  <si>
    <r>
      <rPr>
        <sz val="14"/>
        <rFont val="宋体"/>
        <charset val="134"/>
      </rPr>
      <t>端子板</t>
    </r>
  </si>
  <si>
    <t>NP204</t>
  </si>
  <si>
    <t>—</t>
  </si>
  <si>
    <t>PM211</t>
  </si>
  <si>
    <t>AI212</t>
  </si>
  <si>
    <t>TB241</t>
  </si>
  <si>
    <t>AI216</t>
  </si>
  <si>
    <t>AI221</t>
  </si>
  <si>
    <t>TB242</t>
  </si>
  <si>
    <t>AI232</t>
  </si>
  <si>
    <t>TB246</t>
  </si>
  <si>
    <t>AO211</t>
  </si>
  <si>
    <t>TB251</t>
  </si>
  <si>
    <t>FF211</t>
  </si>
  <si>
    <t>TB271</t>
  </si>
  <si>
    <t>0A</t>
  </si>
  <si>
    <t>DP211</t>
  </si>
  <si>
    <t>TB272</t>
  </si>
  <si>
    <t>0B</t>
  </si>
  <si>
    <t>AO215</t>
  </si>
  <si>
    <t>TB244</t>
  </si>
  <si>
    <t>0C</t>
  </si>
  <si>
    <t>PI211</t>
  </si>
  <si>
    <t>MD211</t>
  </si>
  <si>
    <t>DO211</t>
  </si>
  <si>
    <t>TB231</t>
  </si>
  <si>
    <t>TB233</t>
  </si>
  <si>
    <t>DI211</t>
  </si>
  <si>
    <t>TB222</t>
  </si>
  <si>
    <t>TB221</t>
  </si>
  <si>
    <t>MD216</t>
  </si>
  <si>
    <t>黄色填充为发布列（本行不发布）</t>
  </si>
  <si>
    <r>
      <rPr>
        <b/>
        <sz val="10"/>
        <rFont val="宋体"/>
        <charset val="134"/>
      </rPr>
      <t>信号位号</t>
    </r>
  </si>
  <si>
    <r>
      <rPr>
        <b/>
        <sz val="10"/>
        <rFont val="宋体"/>
        <charset val="134"/>
      </rPr>
      <t>扩展码</t>
    </r>
  </si>
  <si>
    <r>
      <rPr>
        <b/>
        <sz val="10"/>
        <rFont val="宋体"/>
        <charset val="134"/>
      </rPr>
      <t>标签名称</t>
    </r>
  </si>
  <si>
    <r>
      <rPr>
        <b/>
        <sz val="10"/>
        <rFont val="宋体"/>
        <charset val="134"/>
      </rPr>
      <t>系统代码</t>
    </r>
  </si>
  <si>
    <r>
      <rPr>
        <b/>
        <sz val="10"/>
        <rFont val="宋体"/>
        <charset val="134"/>
      </rPr>
      <t>就地箱号</t>
    </r>
  </si>
  <si>
    <r>
      <rPr>
        <b/>
        <sz val="10"/>
        <rFont val="宋体"/>
        <charset val="134"/>
      </rPr>
      <t>机柜号</t>
    </r>
  </si>
  <si>
    <r>
      <rPr>
        <b/>
        <sz val="10"/>
        <rFont val="宋体"/>
        <charset val="134"/>
      </rPr>
      <t>板卡柜内编号</t>
    </r>
  </si>
  <si>
    <t>机笼/机架</t>
  </si>
  <si>
    <r>
      <rPr>
        <b/>
        <sz val="10"/>
        <rFont val="宋体"/>
        <charset val="134"/>
      </rPr>
      <t>通道</t>
    </r>
    <r>
      <rPr>
        <b/>
        <sz val="10"/>
        <rFont val="Times New Roman"/>
        <charset val="134"/>
      </rPr>
      <t>/
FF</t>
    </r>
    <r>
      <rPr>
        <b/>
        <sz val="10"/>
        <rFont val="宋体"/>
        <charset val="134"/>
      </rPr>
      <t>网段</t>
    </r>
  </si>
  <si>
    <r>
      <rPr>
        <b/>
        <sz val="10"/>
        <rFont val="Times New Roman"/>
        <charset val="134"/>
      </rPr>
      <t xml:space="preserve">FF/DP
</t>
    </r>
    <r>
      <rPr>
        <b/>
        <sz val="10"/>
        <rFont val="宋体"/>
        <charset val="134"/>
      </rPr>
      <t>从站号</t>
    </r>
  </si>
  <si>
    <r>
      <rPr>
        <b/>
        <sz val="10"/>
        <rFont val="Times New Roman"/>
        <charset val="134"/>
      </rPr>
      <t>FF</t>
    </r>
    <r>
      <rPr>
        <b/>
        <sz val="10"/>
        <rFont val="宋体"/>
        <charset val="134"/>
      </rPr>
      <t>从站通道</t>
    </r>
    <r>
      <rPr>
        <b/>
        <sz val="10"/>
        <rFont val="Times New Roman"/>
        <charset val="134"/>
      </rPr>
      <t>/
DP</t>
    </r>
    <r>
      <rPr>
        <b/>
        <sz val="10"/>
        <rFont val="宋体"/>
        <charset val="134"/>
      </rPr>
      <t>阀序</t>
    </r>
  </si>
  <si>
    <r>
      <rPr>
        <b/>
        <sz val="10"/>
        <rFont val="宋体"/>
        <charset val="134"/>
      </rPr>
      <t>通道地址</t>
    </r>
  </si>
  <si>
    <r>
      <rPr>
        <b/>
        <sz val="10"/>
        <rFont val="Times New Roman"/>
        <charset val="134"/>
      </rPr>
      <t>IO</t>
    </r>
    <r>
      <rPr>
        <b/>
        <sz val="10"/>
        <rFont val="宋体"/>
        <charset val="134"/>
      </rPr>
      <t>基座</t>
    </r>
  </si>
  <si>
    <r>
      <rPr>
        <b/>
        <sz val="10"/>
        <rFont val="宋体"/>
        <charset val="134"/>
      </rPr>
      <t>板卡地址</t>
    </r>
  </si>
  <si>
    <r>
      <rPr>
        <b/>
        <sz val="10"/>
        <rFont val="宋体"/>
        <charset val="134"/>
      </rPr>
      <t>端子板型号</t>
    </r>
  </si>
  <si>
    <r>
      <rPr>
        <b/>
        <sz val="10"/>
        <rFont val="宋体"/>
        <charset val="134"/>
      </rPr>
      <t>信号</t>
    </r>
    <r>
      <rPr>
        <b/>
        <sz val="10"/>
        <rFont val="Times New Roman"/>
        <charset val="134"/>
      </rPr>
      <t>(+)</t>
    </r>
  </si>
  <si>
    <r>
      <rPr>
        <b/>
        <sz val="10"/>
        <rFont val="宋体"/>
        <charset val="134"/>
      </rPr>
      <t>信号</t>
    </r>
    <r>
      <rPr>
        <b/>
        <sz val="10"/>
        <rFont val="Times New Roman"/>
        <charset val="134"/>
      </rPr>
      <t>(-)</t>
    </r>
  </si>
  <si>
    <r>
      <rPr>
        <b/>
        <sz val="10"/>
        <rFont val="宋体"/>
        <charset val="134"/>
      </rPr>
      <t>补偿端</t>
    </r>
    <r>
      <rPr>
        <b/>
        <sz val="10"/>
        <rFont val="Times New Roman"/>
        <charset val="134"/>
      </rPr>
      <t>(+)</t>
    </r>
  </si>
  <si>
    <r>
      <rPr>
        <b/>
        <sz val="10"/>
        <rFont val="宋体"/>
        <charset val="134"/>
      </rPr>
      <t>补偿端</t>
    </r>
    <r>
      <rPr>
        <b/>
        <sz val="10"/>
        <rFont val="Times New Roman"/>
        <charset val="134"/>
      </rPr>
      <t>(-)</t>
    </r>
  </si>
  <si>
    <r>
      <rPr>
        <b/>
        <sz val="10"/>
        <rFont val="Times New Roman"/>
        <charset val="134"/>
      </rPr>
      <t>FF</t>
    </r>
    <r>
      <rPr>
        <b/>
        <sz val="10"/>
        <rFont val="宋体"/>
        <charset val="134"/>
      </rPr>
      <t>从站</t>
    </r>
    <r>
      <rPr>
        <b/>
        <sz val="10"/>
        <rFont val="Times New Roman"/>
        <charset val="134"/>
      </rPr>
      <t xml:space="preserve">
</t>
    </r>
    <r>
      <rPr>
        <b/>
        <sz val="10"/>
        <rFont val="宋体"/>
        <charset val="134"/>
      </rPr>
      <t>模块型号</t>
    </r>
  </si>
  <si>
    <r>
      <rPr>
        <b/>
        <sz val="10"/>
        <rFont val="Times New Roman"/>
        <charset val="134"/>
      </rPr>
      <t>FF</t>
    </r>
    <r>
      <rPr>
        <b/>
        <sz val="10"/>
        <rFont val="宋体"/>
        <charset val="134"/>
      </rPr>
      <t>从站模块编号</t>
    </r>
  </si>
  <si>
    <r>
      <rPr>
        <b/>
        <sz val="10"/>
        <rFont val="Times New Roman"/>
        <charset val="134"/>
      </rPr>
      <t>FF</t>
    </r>
    <r>
      <rPr>
        <b/>
        <sz val="10"/>
        <rFont val="宋体"/>
        <charset val="134"/>
      </rPr>
      <t>从站模块</t>
    </r>
    <r>
      <rPr>
        <b/>
        <sz val="10"/>
        <rFont val="Times New Roman"/>
        <charset val="134"/>
      </rPr>
      <t xml:space="preserve">
</t>
    </r>
    <r>
      <rPr>
        <b/>
        <sz val="10"/>
        <rFont val="宋体"/>
        <charset val="134"/>
      </rPr>
      <t>信号</t>
    </r>
    <r>
      <rPr>
        <b/>
        <sz val="10"/>
        <rFont val="Times New Roman"/>
        <charset val="134"/>
      </rPr>
      <t>(+)</t>
    </r>
  </si>
  <si>
    <r>
      <rPr>
        <b/>
        <sz val="10"/>
        <rFont val="Times New Roman"/>
        <charset val="134"/>
      </rPr>
      <t>FF</t>
    </r>
    <r>
      <rPr>
        <b/>
        <sz val="10"/>
        <rFont val="宋体"/>
        <charset val="134"/>
      </rPr>
      <t>从站模块</t>
    </r>
    <r>
      <rPr>
        <b/>
        <sz val="10"/>
        <rFont val="Times New Roman"/>
        <charset val="134"/>
      </rPr>
      <t xml:space="preserve">
</t>
    </r>
    <r>
      <rPr>
        <b/>
        <sz val="10"/>
        <rFont val="宋体"/>
        <charset val="134"/>
      </rPr>
      <t>信号</t>
    </r>
    <r>
      <rPr>
        <b/>
        <sz val="10"/>
        <rFont val="Times New Roman"/>
        <charset val="134"/>
      </rPr>
      <t>(-)</t>
    </r>
  </si>
  <si>
    <r>
      <rPr>
        <b/>
        <sz val="10"/>
        <rFont val="宋体"/>
        <charset val="134"/>
      </rPr>
      <t>安全分级</t>
    </r>
    <r>
      <rPr>
        <b/>
        <sz val="10"/>
        <rFont val="Times New Roman"/>
        <charset val="134"/>
      </rPr>
      <t xml:space="preserve">
/</t>
    </r>
    <r>
      <rPr>
        <b/>
        <sz val="10"/>
        <rFont val="宋体"/>
        <charset val="134"/>
      </rPr>
      <t>分组</t>
    </r>
  </si>
  <si>
    <r>
      <rPr>
        <b/>
        <sz val="10"/>
        <rFont val="宋体"/>
        <charset val="134"/>
      </rPr>
      <t>抗震类别</t>
    </r>
  </si>
  <si>
    <r>
      <rPr>
        <b/>
        <sz val="10"/>
        <rFont val="Times New Roman"/>
        <charset val="134"/>
      </rPr>
      <t>I/O</t>
    </r>
    <r>
      <rPr>
        <b/>
        <sz val="10"/>
        <rFont val="宋体"/>
        <charset val="134"/>
      </rPr>
      <t>类型</t>
    </r>
  </si>
  <si>
    <r>
      <rPr>
        <b/>
        <sz val="10"/>
        <rFont val="宋体"/>
        <charset val="134"/>
      </rPr>
      <t>信号特性</t>
    </r>
  </si>
  <si>
    <r>
      <rPr>
        <b/>
        <sz val="10"/>
        <rFont val="宋体"/>
        <charset val="134"/>
      </rPr>
      <t>供电方式</t>
    </r>
  </si>
  <si>
    <r>
      <rPr>
        <b/>
        <sz val="10"/>
        <rFont val="宋体"/>
        <charset val="134"/>
      </rPr>
      <t>供电类型</t>
    </r>
  </si>
  <si>
    <r>
      <rPr>
        <b/>
        <sz val="10"/>
        <rFont val="宋体"/>
        <charset val="134"/>
      </rPr>
      <t>传感器类型</t>
    </r>
  </si>
  <si>
    <r>
      <rPr>
        <b/>
        <sz val="10"/>
        <rFont val="宋体"/>
        <charset val="134"/>
      </rPr>
      <t>工程单位</t>
    </r>
  </si>
  <si>
    <r>
      <rPr>
        <b/>
        <sz val="10"/>
        <rFont val="宋体"/>
        <charset val="134"/>
      </rPr>
      <t>量程下限</t>
    </r>
  </si>
  <si>
    <r>
      <rPr>
        <b/>
        <sz val="10"/>
        <rFont val="宋体"/>
        <charset val="134"/>
      </rPr>
      <t>量程上限</t>
    </r>
  </si>
  <si>
    <r>
      <rPr>
        <b/>
        <sz val="10"/>
        <rFont val="宋体"/>
        <charset val="134"/>
      </rPr>
      <t>信号有效方式</t>
    </r>
  </si>
  <si>
    <r>
      <rPr>
        <b/>
        <sz val="10"/>
        <rFont val="宋体"/>
        <charset val="134"/>
      </rPr>
      <t>阀箱共负端子号</t>
    </r>
  </si>
  <si>
    <r>
      <rPr>
        <b/>
        <sz val="10"/>
        <rFont val="宋体"/>
        <charset val="134"/>
      </rPr>
      <t>电磁阀箱类型</t>
    </r>
  </si>
  <si>
    <r>
      <rPr>
        <b/>
        <sz val="10"/>
        <rFont val="宋体"/>
        <charset val="134"/>
      </rPr>
      <t>修改日期</t>
    </r>
  </si>
  <si>
    <r>
      <rPr>
        <b/>
        <sz val="10"/>
        <rFont val="Times New Roman"/>
        <charset val="134"/>
      </rPr>
      <t>LD/AD</t>
    </r>
    <r>
      <rPr>
        <b/>
        <sz val="10"/>
        <rFont val="宋体"/>
        <charset val="134"/>
      </rPr>
      <t>图号</t>
    </r>
  </si>
  <si>
    <t>关联画面</t>
  </si>
  <si>
    <r>
      <rPr>
        <b/>
        <sz val="10"/>
        <rFont val="宋体"/>
        <charset val="134"/>
      </rPr>
      <t>高</t>
    </r>
    <r>
      <rPr>
        <b/>
        <sz val="10"/>
        <rFont val="Times New Roman"/>
        <charset val="134"/>
      </rPr>
      <t>4</t>
    </r>
    <r>
      <rPr>
        <b/>
        <sz val="10"/>
        <rFont val="宋体"/>
        <charset val="134"/>
      </rPr>
      <t>限报警限值</t>
    </r>
  </si>
  <si>
    <r>
      <rPr>
        <b/>
        <sz val="10"/>
        <rFont val="宋体"/>
        <charset val="134"/>
      </rPr>
      <t>高</t>
    </r>
    <r>
      <rPr>
        <b/>
        <sz val="10"/>
        <rFont val="Times New Roman"/>
        <charset val="134"/>
      </rPr>
      <t>4</t>
    </r>
    <r>
      <rPr>
        <b/>
        <sz val="10"/>
        <rFont val="宋体"/>
        <charset val="134"/>
      </rPr>
      <t>限报警等级</t>
    </r>
  </si>
  <si>
    <r>
      <rPr>
        <b/>
        <sz val="10"/>
        <rFont val="宋体"/>
        <charset val="134"/>
      </rPr>
      <t>高</t>
    </r>
    <r>
      <rPr>
        <b/>
        <sz val="10"/>
        <rFont val="Times New Roman"/>
        <charset val="134"/>
      </rPr>
      <t>4</t>
    </r>
    <r>
      <rPr>
        <b/>
        <sz val="10"/>
        <rFont val="宋体"/>
        <charset val="134"/>
      </rPr>
      <t>限报警标签</t>
    </r>
  </si>
  <si>
    <r>
      <rPr>
        <b/>
        <sz val="10"/>
        <rFont val="宋体"/>
        <charset val="134"/>
      </rPr>
      <t>高</t>
    </r>
    <r>
      <rPr>
        <b/>
        <sz val="10"/>
        <rFont val="Times New Roman"/>
        <charset val="134"/>
      </rPr>
      <t>4</t>
    </r>
    <r>
      <rPr>
        <b/>
        <sz val="10"/>
        <rFont val="宋体"/>
        <charset val="134"/>
      </rPr>
      <t>报警描述</t>
    </r>
  </si>
  <si>
    <r>
      <rPr>
        <b/>
        <sz val="10"/>
        <rFont val="宋体"/>
        <charset val="134"/>
      </rPr>
      <t>高</t>
    </r>
    <r>
      <rPr>
        <b/>
        <sz val="10"/>
        <rFont val="Times New Roman"/>
        <charset val="134"/>
      </rPr>
      <t>3</t>
    </r>
    <r>
      <rPr>
        <b/>
        <sz val="10"/>
        <rFont val="宋体"/>
        <charset val="134"/>
      </rPr>
      <t>限报警限值</t>
    </r>
  </si>
  <si>
    <r>
      <rPr>
        <b/>
        <sz val="10"/>
        <rFont val="宋体"/>
        <charset val="134"/>
      </rPr>
      <t>高</t>
    </r>
    <r>
      <rPr>
        <b/>
        <sz val="10"/>
        <rFont val="Times New Roman"/>
        <charset val="134"/>
      </rPr>
      <t>3</t>
    </r>
    <r>
      <rPr>
        <b/>
        <sz val="10"/>
        <rFont val="宋体"/>
        <charset val="134"/>
      </rPr>
      <t>限报警等级</t>
    </r>
  </si>
  <si>
    <r>
      <rPr>
        <b/>
        <sz val="10"/>
        <rFont val="宋体"/>
        <charset val="134"/>
      </rPr>
      <t>高</t>
    </r>
    <r>
      <rPr>
        <b/>
        <sz val="10"/>
        <rFont val="Times New Roman"/>
        <charset val="134"/>
      </rPr>
      <t>3</t>
    </r>
    <r>
      <rPr>
        <b/>
        <sz val="10"/>
        <rFont val="宋体"/>
        <charset val="134"/>
      </rPr>
      <t>限报警标签</t>
    </r>
  </si>
  <si>
    <r>
      <rPr>
        <b/>
        <sz val="10"/>
        <rFont val="宋体"/>
        <charset val="134"/>
      </rPr>
      <t>高</t>
    </r>
    <r>
      <rPr>
        <b/>
        <sz val="10"/>
        <rFont val="Times New Roman"/>
        <charset val="134"/>
      </rPr>
      <t>3</t>
    </r>
    <r>
      <rPr>
        <b/>
        <sz val="10"/>
        <rFont val="宋体"/>
        <charset val="134"/>
      </rPr>
      <t>报警描述</t>
    </r>
  </si>
  <si>
    <r>
      <rPr>
        <b/>
        <sz val="10"/>
        <rFont val="宋体"/>
        <charset val="134"/>
      </rPr>
      <t>高</t>
    </r>
    <r>
      <rPr>
        <b/>
        <sz val="10"/>
        <rFont val="Times New Roman"/>
        <charset val="134"/>
      </rPr>
      <t>2</t>
    </r>
    <r>
      <rPr>
        <b/>
        <sz val="10"/>
        <rFont val="宋体"/>
        <charset val="134"/>
      </rPr>
      <t>限报警限值</t>
    </r>
  </si>
  <si>
    <r>
      <rPr>
        <b/>
        <sz val="10"/>
        <rFont val="宋体"/>
        <charset val="134"/>
      </rPr>
      <t>高</t>
    </r>
    <r>
      <rPr>
        <b/>
        <sz val="10"/>
        <rFont val="Times New Roman"/>
        <charset val="134"/>
      </rPr>
      <t>2</t>
    </r>
    <r>
      <rPr>
        <b/>
        <sz val="10"/>
        <rFont val="宋体"/>
        <charset val="134"/>
      </rPr>
      <t>限报警等级</t>
    </r>
  </si>
  <si>
    <r>
      <rPr>
        <b/>
        <sz val="10"/>
        <rFont val="宋体"/>
        <charset val="134"/>
      </rPr>
      <t>高</t>
    </r>
    <r>
      <rPr>
        <b/>
        <sz val="10"/>
        <rFont val="Times New Roman"/>
        <charset val="134"/>
      </rPr>
      <t>2</t>
    </r>
    <r>
      <rPr>
        <b/>
        <sz val="10"/>
        <rFont val="宋体"/>
        <charset val="134"/>
      </rPr>
      <t>限报警标签</t>
    </r>
  </si>
  <si>
    <r>
      <rPr>
        <b/>
        <sz val="10"/>
        <rFont val="宋体"/>
        <charset val="134"/>
      </rPr>
      <t>高</t>
    </r>
    <r>
      <rPr>
        <b/>
        <sz val="10"/>
        <rFont val="Times New Roman"/>
        <charset val="134"/>
      </rPr>
      <t>2</t>
    </r>
    <r>
      <rPr>
        <b/>
        <sz val="10"/>
        <rFont val="宋体"/>
        <charset val="134"/>
      </rPr>
      <t>报警描述</t>
    </r>
  </si>
  <si>
    <r>
      <rPr>
        <b/>
        <sz val="10"/>
        <rFont val="宋体"/>
        <charset val="134"/>
      </rPr>
      <t>高</t>
    </r>
    <r>
      <rPr>
        <b/>
        <sz val="10"/>
        <rFont val="Times New Roman"/>
        <charset val="134"/>
      </rPr>
      <t>1</t>
    </r>
    <r>
      <rPr>
        <b/>
        <sz val="10"/>
        <rFont val="宋体"/>
        <charset val="134"/>
      </rPr>
      <t>限报警限值</t>
    </r>
  </si>
  <si>
    <r>
      <rPr>
        <b/>
        <sz val="10"/>
        <rFont val="宋体"/>
        <charset val="134"/>
      </rPr>
      <t>高</t>
    </r>
    <r>
      <rPr>
        <b/>
        <sz val="10"/>
        <rFont val="Times New Roman"/>
        <charset val="134"/>
      </rPr>
      <t>1</t>
    </r>
    <r>
      <rPr>
        <b/>
        <sz val="10"/>
        <rFont val="宋体"/>
        <charset val="134"/>
      </rPr>
      <t>限报警等级</t>
    </r>
  </si>
  <si>
    <r>
      <rPr>
        <b/>
        <sz val="10"/>
        <rFont val="宋体"/>
        <charset val="134"/>
      </rPr>
      <t>高</t>
    </r>
    <r>
      <rPr>
        <b/>
        <sz val="10"/>
        <rFont val="Times New Roman"/>
        <charset val="134"/>
      </rPr>
      <t>1</t>
    </r>
    <r>
      <rPr>
        <b/>
        <sz val="10"/>
        <rFont val="宋体"/>
        <charset val="134"/>
      </rPr>
      <t>限报警标签</t>
    </r>
  </si>
  <si>
    <r>
      <rPr>
        <b/>
        <sz val="10"/>
        <rFont val="宋体"/>
        <charset val="134"/>
      </rPr>
      <t>高</t>
    </r>
    <r>
      <rPr>
        <b/>
        <sz val="10"/>
        <rFont val="Times New Roman"/>
        <charset val="134"/>
      </rPr>
      <t>1</t>
    </r>
    <r>
      <rPr>
        <b/>
        <sz val="10"/>
        <rFont val="宋体"/>
        <charset val="134"/>
      </rPr>
      <t>报警描述</t>
    </r>
  </si>
  <si>
    <r>
      <rPr>
        <b/>
        <sz val="10"/>
        <rFont val="宋体"/>
        <charset val="134"/>
      </rPr>
      <t>低</t>
    </r>
    <r>
      <rPr>
        <b/>
        <sz val="10"/>
        <rFont val="Times New Roman"/>
        <charset val="134"/>
      </rPr>
      <t>1</t>
    </r>
    <r>
      <rPr>
        <b/>
        <sz val="10"/>
        <rFont val="宋体"/>
        <charset val="134"/>
      </rPr>
      <t>限报警限值</t>
    </r>
  </si>
  <si>
    <r>
      <rPr>
        <b/>
        <sz val="10"/>
        <rFont val="宋体"/>
        <charset val="134"/>
      </rPr>
      <t>低</t>
    </r>
    <r>
      <rPr>
        <b/>
        <sz val="10"/>
        <rFont val="Times New Roman"/>
        <charset val="134"/>
      </rPr>
      <t>1</t>
    </r>
    <r>
      <rPr>
        <b/>
        <sz val="10"/>
        <rFont val="宋体"/>
        <charset val="134"/>
      </rPr>
      <t>限报警等级</t>
    </r>
  </si>
  <si>
    <r>
      <rPr>
        <b/>
        <sz val="10"/>
        <rFont val="宋体"/>
        <charset val="134"/>
      </rPr>
      <t>低</t>
    </r>
    <r>
      <rPr>
        <b/>
        <sz val="10"/>
        <rFont val="Times New Roman"/>
        <charset val="134"/>
      </rPr>
      <t>1</t>
    </r>
    <r>
      <rPr>
        <b/>
        <sz val="10"/>
        <rFont val="宋体"/>
        <charset val="134"/>
      </rPr>
      <t>限报警标签</t>
    </r>
  </si>
  <si>
    <r>
      <rPr>
        <b/>
        <sz val="10"/>
        <rFont val="宋体"/>
        <charset val="134"/>
      </rPr>
      <t>低</t>
    </r>
    <r>
      <rPr>
        <b/>
        <sz val="10"/>
        <rFont val="Times New Roman"/>
        <charset val="134"/>
      </rPr>
      <t>1</t>
    </r>
    <r>
      <rPr>
        <b/>
        <sz val="10"/>
        <rFont val="宋体"/>
        <charset val="134"/>
      </rPr>
      <t>报警描述</t>
    </r>
  </si>
  <si>
    <r>
      <rPr>
        <b/>
        <sz val="10"/>
        <rFont val="宋体"/>
        <charset val="134"/>
      </rPr>
      <t>低</t>
    </r>
    <r>
      <rPr>
        <b/>
        <sz val="10"/>
        <rFont val="Times New Roman"/>
        <charset val="134"/>
      </rPr>
      <t>2</t>
    </r>
    <r>
      <rPr>
        <b/>
        <sz val="10"/>
        <rFont val="宋体"/>
        <charset val="134"/>
      </rPr>
      <t>限报警限值</t>
    </r>
  </si>
  <si>
    <r>
      <rPr>
        <b/>
        <sz val="10"/>
        <rFont val="宋体"/>
        <charset val="134"/>
      </rPr>
      <t>低</t>
    </r>
    <r>
      <rPr>
        <b/>
        <sz val="10"/>
        <rFont val="Times New Roman"/>
        <charset val="134"/>
      </rPr>
      <t>2</t>
    </r>
    <r>
      <rPr>
        <b/>
        <sz val="10"/>
        <rFont val="宋体"/>
        <charset val="134"/>
      </rPr>
      <t>限报警等级</t>
    </r>
  </si>
  <si>
    <r>
      <rPr>
        <b/>
        <sz val="10"/>
        <rFont val="宋体"/>
        <charset val="134"/>
      </rPr>
      <t>低</t>
    </r>
    <r>
      <rPr>
        <b/>
        <sz val="10"/>
        <rFont val="Times New Roman"/>
        <charset val="134"/>
      </rPr>
      <t>2</t>
    </r>
    <r>
      <rPr>
        <b/>
        <sz val="10"/>
        <rFont val="宋体"/>
        <charset val="134"/>
      </rPr>
      <t>限报警标签</t>
    </r>
  </si>
  <si>
    <r>
      <rPr>
        <b/>
        <sz val="10"/>
        <rFont val="宋体"/>
        <charset val="134"/>
      </rPr>
      <t>低</t>
    </r>
    <r>
      <rPr>
        <b/>
        <sz val="10"/>
        <rFont val="Times New Roman"/>
        <charset val="134"/>
      </rPr>
      <t>2</t>
    </r>
    <r>
      <rPr>
        <b/>
        <sz val="10"/>
        <rFont val="宋体"/>
        <charset val="134"/>
      </rPr>
      <t>报警描述</t>
    </r>
  </si>
  <si>
    <r>
      <rPr>
        <b/>
        <sz val="10"/>
        <rFont val="宋体"/>
        <charset val="134"/>
      </rPr>
      <t>低</t>
    </r>
    <r>
      <rPr>
        <b/>
        <sz val="10"/>
        <rFont val="Times New Roman"/>
        <charset val="134"/>
      </rPr>
      <t>3</t>
    </r>
    <r>
      <rPr>
        <b/>
        <sz val="10"/>
        <rFont val="宋体"/>
        <charset val="134"/>
      </rPr>
      <t>限报警限值</t>
    </r>
  </si>
  <si>
    <r>
      <rPr>
        <b/>
        <sz val="10"/>
        <rFont val="宋体"/>
        <charset val="134"/>
      </rPr>
      <t>低</t>
    </r>
    <r>
      <rPr>
        <b/>
        <sz val="10"/>
        <rFont val="Times New Roman"/>
        <charset val="134"/>
      </rPr>
      <t>3</t>
    </r>
    <r>
      <rPr>
        <b/>
        <sz val="10"/>
        <rFont val="宋体"/>
        <charset val="134"/>
      </rPr>
      <t>限报警等级</t>
    </r>
  </si>
  <si>
    <r>
      <rPr>
        <b/>
        <sz val="10"/>
        <rFont val="宋体"/>
        <charset val="134"/>
      </rPr>
      <t>低</t>
    </r>
    <r>
      <rPr>
        <b/>
        <sz val="10"/>
        <rFont val="Times New Roman"/>
        <charset val="134"/>
      </rPr>
      <t>3</t>
    </r>
    <r>
      <rPr>
        <b/>
        <sz val="10"/>
        <rFont val="宋体"/>
        <charset val="134"/>
      </rPr>
      <t>限报警标签</t>
    </r>
  </si>
  <si>
    <r>
      <rPr>
        <b/>
        <sz val="10"/>
        <rFont val="宋体"/>
        <charset val="134"/>
      </rPr>
      <t>低</t>
    </r>
    <r>
      <rPr>
        <b/>
        <sz val="10"/>
        <rFont val="Times New Roman"/>
        <charset val="134"/>
      </rPr>
      <t>3</t>
    </r>
    <r>
      <rPr>
        <b/>
        <sz val="10"/>
        <rFont val="宋体"/>
        <charset val="134"/>
      </rPr>
      <t>报警描述</t>
    </r>
  </si>
  <si>
    <r>
      <rPr>
        <b/>
        <sz val="10"/>
        <rFont val="宋体"/>
        <charset val="134"/>
      </rPr>
      <t>低</t>
    </r>
    <r>
      <rPr>
        <b/>
        <sz val="10"/>
        <rFont val="Times New Roman"/>
        <charset val="134"/>
      </rPr>
      <t>4</t>
    </r>
    <r>
      <rPr>
        <b/>
        <sz val="10"/>
        <rFont val="宋体"/>
        <charset val="134"/>
      </rPr>
      <t>限报警限值</t>
    </r>
  </si>
  <si>
    <r>
      <rPr>
        <b/>
        <sz val="10"/>
        <rFont val="宋体"/>
        <charset val="134"/>
      </rPr>
      <t>低</t>
    </r>
    <r>
      <rPr>
        <b/>
        <sz val="10"/>
        <rFont val="Times New Roman"/>
        <charset val="134"/>
      </rPr>
      <t>4</t>
    </r>
    <r>
      <rPr>
        <b/>
        <sz val="10"/>
        <rFont val="宋体"/>
        <charset val="134"/>
      </rPr>
      <t>限报警等级</t>
    </r>
  </si>
  <si>
    <r>
      <rPr>
        <b/>
        <sz val="10"/>
        <rFont val="宋体"/>
        <charset val="134"/>
      </rPr>
      <t>低</t>
    </r>
    <r>
      <rPr>
        <b/>
        <sz val="10"/>
        <rFont val="Times New Roman"/>
        <charset val="134"/>
      </rPr>
      <t>4</t>
    </r>
    <r>
      <rPr>
        <b/>
        <sz val="10"/>
        <rFont val="宋体"/>
        <charset val="134"/>
      </rPr>
      <t>限报警标签</t>
    </r>
  </si>
  <si>
    <r>
      <rPr>
        <b/>
        <sz val="10"/>
        <rFont val="宋体"/>
        <charset val="134"/>
      </rPr>
      <t>低</t>
    </r>
    <r>
      <rPr>
        <b/>
        <sz val="10"/>
        <rFont val="Times New Roman"/>
        <charset val="134"/>
      </rPr>
      <t>4</t>
    </r>
    <r>
      <rPr>
        <b/>
        <sz val="10"/>
        <rFont val="宋体"/>
        <charset val="134"/>
      </rPr>
      <t>报警描述</t>
    </r>
  </si>
  <si>
    <t>站号</t>
  </si>
  <si>
    <t>显示格式</t>
  </si>
  <si>
    <t>备用</t>
  </si>
  <si>
    <t>AEAB</t>
  </si>
  <si>
    <t>NR</t>
  </si>
  <si>
    <t>NA</t>
  </si>
  <si>
    <t>AI</t>
  </si>
  <si>
    <t>4~20mA</t>
  </si>
  <si>
    <t>AI1</t>
  </si>
  <si>
    <t>两线制变送器</t>
  </si>
  <si>
    <t>NL/min</t>
  </si>
  <si>
    <t>0.00</t>
  </si>
  <si>
    <t>360.00</t>
  </si>
  <si>
    <t/>
  </si>
  <si>
    <t>2208-C105YKS05-101/47.A3</t>
  </si>
  <si>
    <t>AI2</t>
  </si>
  <si>
    <t>四线制变送器（24VDC独立供电）</t>
  </si>
  <si>
    <t>AI3</t>
  </si>
  <si>
    <t>四线制变送器（220VAC独立供电）</t>
  </si>
  <si>
    <t>30.00</t>
  </si>
  <si>
    <t>AI4</t>
  </si>
  <si>
    <t>25.00</t>
  </si>
  <si>
    <t>AI5</t>
  </si>
  <si>
    <t>AI6</t>
  </si>
  <si>
    <r>
      <rPr>
        <sz val="10"/>
        <color rgb="FFFF0000"/>
        <rFont val="宋体"/>
        <charset val="134"/>
      </rPr>
      <t>两线制变送器</t>
    </r>
    <r>
      <rPr>
        <sz val="10"/>
        <rFont val="宋体"/>
        <charset val="134"/>
      </rPr>
      <t>（220VAC独立供电）</t>
    </r>
  </si>
  <si>
    <t>AI1NH</t>
  </si>
  <si>
    <t>AI2NH</t>
  </si>
  <si>
    <t>AI3NH</t>
  </si>
  <si>
    <t>AI4NH</t>
  </si>
  <si>
    <t>AI5NH</t>
  </si>
  <si>
    <t>AI6NH</t>
  </si>
  <si>
    <t>PT100</t>
  </si>
  <si>
    <t>AI7</t>
  </si>
  <si>
    <t>两线制热电阻</t>
  </si>
  <si>
    <t>℃</t>
  </si>
  <si>
    <t>150.00</t>
  </si>
  <si>
    <t>AI8</t>
  </si>
  <si>
    <t>三线制热电阻</t>
  </si>
  <si>
    <t>AI9</t>
  </si>
  <si>
    <t>四线制热电阻</t>
  </si>
  <si>
    <t>TC</t>
  </si>
  <si>
    <t>AI10</t>
  </si>
  <si>
    <t>热电偶</t>
  </si>
  <si>
    <t>AO</t>
  </si>
  <si>
    <t>AO1</t>
  </si>
  <si>
    <t>%</t>
  </si>
  <si>
    <t>100.00</t>
  </si>
  <si>
    <t>AO2</t>
  </si>
  <si>
    <t>AOH</t>
  </si>
  <si>
    <t>PI</t>
  </si>
  <si>
    <t>脉冲</t>
  </si>
  <si>
    <t>P1</t>
  </si>
  <si>
    <t>P2</t>
  </si>
  <si>
    <t>P3</t>
  </si>
  <si>
    <t>四线制变送器（USER供电）</t>
  </si>
  <si>
    <t>DI</t>
  </si>
  <si>
    <t>有源</t>
  </si>
  <si>
    <t>DI1</t>
  </si>
  <si>
    <t>24VDC干触点</t>
  </si>
  <si>
    <t>DI2</t>
  </si>
  <si>
    <t>24VDC干触点(带中间继电器)</t>
  </si>
  <si>
    <t>DI3</t>
  </si>
  <si>
    <t>220VAC干触点(带中间继电器)</t>
  </si>
  <si>
    <t>无源</t>
  </si>
  <si>
    <t>DI4</t>
  </si>
  <si>
    <r>
      <rPr>
        <sz val="10"/>
        <rFont val="宋体"/>
        <charset val="134"/>
      </rPr>
      <t>24V湿触点(</t>
    </r>
    <r>
      <rPr>
        <sz val="10"/>
        <color rgb="FFFF0000"/>
        <rFont val="宋体"/>
        <charset val="134"/>
      </rPr>
      <t>带中间继电器</t>
    </r>
    <r>
      <rPr>
        <sz val="10"/>
        <rFont val="宋体"/>
        <charset val="134"/>
      </rPr>
      <t>)</t>
    </r>
  </si>
  <si>
    <t>DI5</t>
  </si>
  <si>
    <t>220V湿触点(带中间继电器)</t>
  </si>
  <si>
    <t>DI6</t>
  </si>
  <si>
    <t>24VDC干触点（独立供电）</t>
  </si>
  <si>
    <t>24VDC湿触点</t>
  </si>
  <si>
    <t>DO</t>
  </si>
  <si>
    <t>有源常开</t>
  </si>
  <si>
    <t>DO1</t>
  </si>
  <si>
    <t>NO</t>
  </si>
  <si>
    <t>有源常闭</t>
  </si>
  <si>
    <t>NC</t>
  </si>
  <si>
    <t>DO2</t>
  </si>
  <si>
    <t>DCS继电器提供24VDC</t>
  </si>
  <si>
    <t>20W</t>
  </si>
  <si>
    <t>DO3</t>
  </si>
  <si>
    <t>DCS继电器提供220VAC</t>
  </si>
  <si>
    <t>80W</t>
  </si>
  <si>
    <t>DO4</t>
  </si>
  <si>
    <t>USER提供24VDC</t>
  </si>
  <si>
    <t>DO5</t>
  </si>
  <si>
    <t>USER提供220VAC</t>
  </si>
  <si>
    <t>3LT-AEAB004BA</t>
  </si>
  <si>
    <t>55%水合肼计量槽3AEAB-004BA液位</t>
  </si>
  <si>
    <t>3AEKC-033BC</t>
  </si>
  <si>
    <t>FFAI</t>
  </si>
  <si>
    <t>FF</t>
  </si>
  <si>
    <t>FF1</t>
  </si>
  <si>
    <t>总线变送器（总线供电）</t>
  </si>
  <si>
    <t>mm</t>
  </si>
  <si>
    <t>-50.00</t>
  </si>
  <si>
    <t>450.00</t>
  </si>
  <si>
    <t>3LT-AEAB047BA</t>
  </si>
  <si>
    <t>去离子水计量槽2AEAB-047BA液位</t>
  </si>
  <si>
    <t>FF2</t>
  </si>
  <si>
    <t>总线变送器（24VDC独立供电）</t>
  </si>
  <si>
    <t>-100.00</t>
  </si>
  <si>
    <t>1300.00</t>
  </si>
  <si>
    <t>3LT-AEAB083BA</t>
  </si>
  <si>
    <t>硝酸羟胺计量槽2AEAB-083BA液位</t>
  </si>
  <si>
    <t>FF3</t>
  </si>
  <si>
    <t>总线变送器（220VAC独立供电）</t>
  </si>
  <si>
    <t>700.00</t>
  </si>
  <si>
    <t>3PT-AEAB012PO</t>
  </si>
  <si>
    <t>离心泵3AEAB-012PO出口压力</t>
  </si>
  <si>
    <t>3AEKC-044BC</t>
  </si>
  <si>
    <t>FF4</t>
  </si>
  <si>
    <t>MPa</t>
  </si>
  <si>
    <t>1.00</t>
  </si>
  <si>
    <t>3AEKC-044BC串接到3AEKC-033BC</t>
  </si>
  <si>
    <t>3FT-AE01149R</t>
  </si>
  <si>
    <t>铀二循环设备室AE01049R地坑流量</t>
  </si>
  <si>
    <t>FF5</t>
  </si>
  <si>
    <t>m3/h</t>
  </si>
  <si>
    <t>3PT-AEAB005PV</t>
  </si>
  <si>
    <t>蒸汽喷射泵3AEAB-005PV压力</t>
  </si>
  <si>
    <t>FFAO</t>
  </si>
  <si>
    <t>FF6</t>
  </si>
  <si>
    <t>阀门定位器（总线供电）</t>
  </si>
  <si>
    <t>3TE-AEAB001EX-1</t>
  </si>
  <si>
    <t>2DU套管加热器3AEAB-001EX含铀有机相温度</t>
  </si>
  <si>
    <t>90.00</t>
  </si>
  <si>
    <t>来自多路温度变送器3AEKC-713BC</t>
  </si>
  <si>
    <t>3TE-AEAB002EX-1</t>
  </si>
  <si>
    <t>2EX套管加热器3AEAB-002EX硝酸钠温度</t>
  </si>
  <si>
    <t>3TE-AEAB003RX</t>
  </si>
  <si>
    <t>2E槽3AEAB-003RX第五级温度</t>
  </si>
  <si>
    <t>120.00</t>
  </si>
  <si>
    <t>3AEAB-013PO</t>
  </si>
  <si>
    <t>QF</t>
  </si>
  <si>
    <t>离心泵启反馈</t>
  </si>
  <si>
    <t>3AEKC-817BC</t>
  </si>
  <si>
    <t>FS202</t>
  </si>
  <si>
    <t>FFDI</t>
  </si>
  <si>
    <t>FF7</t>
  </si>
  <si>
    <t>FF从站箱</t>
  </si>
  <si>
    <t>TF</t>
  </si>
  <si>
    <t>离心泵停反馈</t>
  </si>
  <si>
    <t>GZ</t>
  </si>
  <si>
    <t>离心泵故障</t>
  </si>
  <si>
    <t>3AEAB-014PO</t>
  </si>
  <si>
    <t>Q</t>
  </si>
  <si>
    <t>离心泵启动</t>
  </si>
  <si>
    <t>FFDO</t>
  </si>
  <si>
    <t>FF8</t>
  </si>
  <si>
    <t>T</t>
  </si>
  <si>
    <t>离心泵停止</t>
  </si>
  <si>
    <t>FF从站箱（信号无源）</t>
  </si>
  <si>
    <t>3AEAB-003PO</t>
  </si>
  <si>
    <t>Z</t>
  </si>
  <si>
    <t>计量泵实时转速</t>
  </si>
  <si>
    <t>3AEKC-834BC</t>
  </si>
  <si>
    <t>FS201</t>
  </si>
  <si>
    <t>3AEKC-834BC串接到3AEKC-817BC</t>
  </si>
  <si>
    <t>3AEAB-004PO</t>
  </si>
  <si>
    <t>FF从站箱（四线制信号）</t>
  </si>
  <si>
    <t>PK</t>
  </si>
  <si>
    <t>计量泵频率控制</t>
  </si>
  <si>
    <t>计量泵启反馈</t>
  </si>
  <si>
    <t>计量泵停反馈</t>
  </si>
  <si>
    <t>计量泵故障</t>
  </si>
  <si>
    <t>计量泵启动</t>
  </si>
  <si>
    <t>计量泵停止</t>
  </si>
  <si>
    <t>3AEAB-043PO</t>
  </si>
  <si>
    <t>3AEKC-820BC</t>
  </si>
  <si>
    <t>3AEAB-044PO</t>
  </si>
  <si>
    <t>3AEAB-045PO</t>
  </si>
  <si>
    <t>3AEAB-046PO</t>
  </si>
  <si>
    <t>3AEAB-047PO</t>
  </si>
  <si>
    <t>3AEAB-048PO</t>
  </si>
  <si>
    <t>3AEAB-025PO</t>
  </si>
  <si>
    <t>3AEKC-800BC</t>
  </si>
  <si>
    <t>3AEAB-026PO</t>
  </si>
  <si>
    <t>3AEAB-042PO</t>
  </si>
  <si>
    <t>3AEAB-040PO</t>
  </si>
  <si>
    <t>3AEAB-001VVE</t>
  </si>
  <si>
    <t>KG</t>
  </si>
  <si>
    <t>气动截止阀开/关</t>
  </si>
  <si>
    <t>3AEKF-001CR</t>
  </si>
  <si>
    <t>1</t>
  </si>
  <si>
    <t>PROFIBUS（DO）</t>
  </si>
  <si>
    <t>DP</t>
  </si>
  <si>
    <t>DP2</t>
  </si>
  <si>
    <t>KW</t>
  </si>
  <si>
    <t>气动截止阀开反馈</t>
  </si>
  <si>
    <t>PROFIBUS（DI）</t>
  </si>
  <si>
    <t>DP1</t>
  </si>
  <si>
    <t>GW</t>
  </si>
  <si>
    <t>气动截止阀关反馈</t>
  </si>
  <si>
    <t>3AEAB-007VDE</t>
  </si>
  <si>
    <t>3AEAB-901VIE</t>
  </si>
  <si>
    <t>K</t>
  </si>
  <si>
    <t>气动蝶阀开</t>
  </si>
  <si>
    <t>3AEKF-014CR</t>
  </si>
  <si>
    <t>3AEKF-014CR串接到3AEKF-001CR</t>
  </si>
  <si>
    <t>气动蝶阀开反馈</t>
  </si>
  <si>
    <t>G</t>
  </si>
  <si>
    <t>气动蝶阀关</t>
  </si>
  <si>
    <t>气动蝶阀关反馈</t>
  </si>
  <si>
    <t>3AEAB-902VIE</t>
  </si>
  <si>
    <t>3AEAB-001RX/1</t>
  </si>
  <si>
    <t>ZT1</t>
  </si>
  <si>
    <t>2D槽电机1状态字1</t>
  </si>
  <si>
    <r>
      <rPr>
        <sz val="10"/>
        <color rgb="FFFF0000"/>
        <rFont val="Times New Roman"/>
        <charset val="134"/>
      </rPr>
      <t>PROFIBUS</t>
    </r>
    <r>
      <rPr>
        <sz val="10"/>
        <color rgb="FFFF0000"/>
        <rFont val="宋体"/>
        <charset val="134"/>
      </rPr>
      <t>（</t>
    </r>
    <r>
      <rPr>
        <sz val="10"/>
        <color rgb="FFFF0000"/>
        <rFont val="Times New Roman"/>
        <charset val="134"/>
      </rPr>
      <t>AI</t>
    </r>
    <r>
      <rPr>
        <sz val="10"/>
        <color rgb="FFFF0000"/>
        <rFont val="宋体"/>
        <charset val="134"/>
      </rPr>
      <t>）</t>
    </r>
  </si>
  <si>
    <t>Float</t>
  </si>
  <si>
    <t>DL</t>
  </si>
  <si>
    <t>2D槽电机1实时电流</t>
  </si>
  <si>
    <t>ZT2</t>
  </si>
  <si>
    <t>2D槽电机1状态字2</t>
  </si>
  <si>
    <t>KZ1</t>
  </si>
  <si>
    <t>2D槽电机1控制字</t>
  </si>
  <si>
    <r>
      <rPr>
        <sz val="10"/>
        <color rgb="FFFF0000"/>
        <rFont val="Times New Roman"/>
        <charset val="134"/>
      </rPr>
      <t>PROFIBUS</t>
    </r>
    <r>
      <rPr>
        <sz val="10"/>
        <color rgb="FFFF0000"/>
        <rFont val="宋体"/>
        <charset val="134"/>
      </rPr>
      <t>（</t>
    </r>
    <r>
      <rPr>
        <sz val="10"/>
        <color rgb="FFFF0000"/>
        <rFont val="Times New Roman"/>
        <charset val="134"/>
      </rPr>
      <t>AO</t>
    </r>
    <r>
      <rPr>
        <sz val="10"/>
        <color rgb="FFFF0000"/>
        <rFont val="宋体"/>
        <charset val="134"/>
      </rPr>
      <t>）</t>
    </r>
  </si>
  <si>
    <t>3AEAN-003ZV</t>
  </si>
  <si>
    <t>风机3停反馈</t>
  </si>
  <si>
    <t>Modbus TCP（DI）</t>
  </si>
  <si>
    <t>Modbus TCP</t>
  </si>
  <si>
    <t>Boolean</t>
  </si>
  <si>
    <t>风机3停止</t>
  </si>
  <si>
    <t>Modbus TCP（DO）</t>
  </si>
  <si>
    <t>风机3启动</t>
  </si>
  <si>
    <t>3AEAN-004ZV</t>
  </si>
  <si>
    <t>风机4停反馈</t>
  </si>
  <si>
    <r>
      <rPr>
        <sz val="10"/>
        <rFont val="Times New Roman"/>
        <charset val="134"/>
      </rPr>
      <t>Modbus RTU</t>
    </r>
    <r>
      <rPr>
        <sz val="10"/>
        <rFont val="宋体"/>
        <charset val="134"/>
      </rPr>
      <t>（</t>
    </r>
    <r>
      <rPr>
        <sz val="10"/>
        <rFont val="Times New Roman"/>
        <charset val="134"/>
      </rPr>
      <t>DI</t>
    </r>
    <r>
      <rPr>
        <sz val="10"/>
        <rFont val="宋体"/>
        <charset val="134"/>
      </rPr>
      <t>）</t>
    </r>
  </si>
  <si>
    <t>Modbus RTU</t>
  </si>
  <si>
    <t>风机4停止</t>
  </si>
  <si>
    <r>
      <rPr>
        <sz val="10"/>
        <rFont val="Times New Roman"/>
        <charset val="134"/>
      </rPr>
      <t>Modbus RTU</t>
    </r>
    <r>
      <rPr>
        <sz val="10"/>
        <rFont val="宋体"/>
        <charset val="134"/>
      </rPr>
      <t>（</t>
    </r>
    <r>
      <rPr>
        <sz val="10"/>
        <rFont val="Times New Roman"/>
        <charset val="134"/>
      </rPr>
      <t>DO</t>
    </r>
    <r>
      <rPr>
        <sz val="10"/>
        <rFont val="宋体"/>
        <charset val="134"/>
      </rPr>
      <t>）</t>
    </r>
  </si>
  <si>
    <t>风机4启动</t>
  </si>
  <si>
    <t>Modbus RTU（DI）</t>
  </si>
  <si>
    <t>3AEAS-001VAB</t>
  </si>
  <si>
    <t>关反馈</t>
  </si>
  <si>
    <t>AEAS</t>
  </si>
  <si>
    <t>OPC机柜</t>
  </si>
  <si>
    <t>OPC(DI)</t>
  </si>
  <si>
    <t>OPC</t>
  </si>
  <si>
    <t>Bool</t>
  </si>
  <si>
    <t>开反馈</t>
  </si>
  <si>
    <t>3AEAS-002VAB</t>
  </si>
  <si>
    <t>计数项:通道</t>
  </si>
  <si>
    <t>列标签</t>
  </si>
  <si>
    <t>行标签</t>
  </si>
  <si>
    <t>(空白)</t>
  </si>
  <si>
    <t>总计</t>
  </si>
  <si>
    <t>2TEKC001AR</t>
  </si>
  <si>
    <t>103AI</t>
  </si>
  <si>
    <t>104DI</t>
  </si>
  <si>
    <t>105DO</t>
  </si>
  <si>
    <t>106PI</t>
  </si>
  <si>
    <t>107DP</t>
  </si>
  <si>
    <t>109DP</t>
  </si>
  <si>
    <t>201DP</t>
  </si>
  <si>
    <t>207FF</t>
  </si>
  <si>
    <t>209FF</t>
  </si>
  <si>
    <t>301FF</t>
  </si>
  <si>
    <t>303DI</t>
  </si>
  <si>
    <t>304DO</t>
  </si>
  <si>
    <t>2TEKC003AR</t>
  </si>
  <si>
    <t>104AI</t>
  </si>
  <si>
    <t>105AI</t>
  </si>
  <si>
    <t>106AI</t>
  </si>
  <si>
    <t>107AI</t>
  </si>
  <si>
    <t>108AI</t>
  </si>
  <si>
    <t>109AI</t>
  </si>
  <si>
    <t>110DO</t>
  </si>
  <si>
    <t>201AI</t>
  </si>
  <si>
    <t>202AI</t>
  </si>
  <si>
    <t>203AI</t>
  </si>
  <si>
    <t>204AI</t>
  </si>
  <si>
    <t>205AO</t>
  </si>
  <si>
    <t>206AO</t>
  </si>
  <si>
    <t>207DO</t>
  </si>
  <si>
    <t>208DI</t>
  </si>
  <si>
    <t>209DI</t>
  </si>
  <si>
    <t>210DI</t>
  </si>
  <si>
    <t>301DI</t>
  </si>
  <si>
    <t>302DI</t>
  </si>
  <si>
    <t>304DI</t>
  </si>
  <si>
    <t>305DI</t>
  </si>
  <si>
    <t>306DI</t>
  </si>
  <si>
    <t>307DI</t>
  </si>
  <si>
    <t>308DO</t>
  </si>
  <si>
    <t>309DO</t>
  </si>
  <si>
    <t>310DO</t>
  </si>
  <si>
    <t>2TEKC004AR</t>
  </si>
  <si>
    <t>110AI</t>
  </si>
  <si>
    <t>203AO</t>
  </si>
  <si>
    <t>204DI</t>
  </si>
  <si>
    <t>205DI</t>
  </si>
  <si>
    <t>206DI</t>
  </si>
  <si>
    <t>207DI</t>
  </si>
  <si>
    <t>305DO</t>
  </si>
  <si>
    <t>306DO</t>
  </si>
  <si>
    <t>307DO</t>
  </si>
  <si>
    <t>2TEKC005AR</t>
  </si>
  <si>
    <t>202AO</t>
  </si>
  <si>
    <t>204AO</t>
  </si>
  <si>
    <r>
      <rPr>
        <b/>
        <sz val="11"/>
        <color theme="1"/>
        <rFont val="Times New Roman"/>
        <charset val="134"/>
      </rPr>
      <t>RTU</t>
    </r>
    <r>
      <rPr>
        <b/>
        <sz val="11"/>
        <color theme="1"/>
        <rFont val="宋体"/>
        <charset val="134"/>
      </rPr>
      <t>板卡所在机柜号</t>
    </r>
  </si>
  <si>
    <r>
      <rPr>
        <b/>
        <sz val="11"/>
        <color theme="1"/>
        <rFont val="Times New Roman"/>
        <charset val="134"/>
      </rPr>
      <t>RTU</t>
    </r>
    <r>
      <rPr>
        <b/>
        <sz val="11"/>
        <color theme="1"/>
        <rFont val="宋体"/>
        <charset val="134"/>
      </rPr>
      <t>板卡位置</t>
    </r>
  </si>
  <si>
    <r>
      <rPr>
        <b/>
        <sz val="11"/>
        <color theme="1"/>
        <rFont val="Times New Roman"/>
        <charset val="134"/>
      </rPr>
      <t>RTU</t>
    </r>
    <r>
      <rPr>
        <b/>
        <sz val="11"/>
        <color theme="1"/>
        <rFont val="宋体"/>
        <charset val="134"/>
      </rPr>
      <t>板卡地址</t>
    </r>
  </si>
  <si>
    <r>
      <rPr>
        <b/>
        <sz val="11"/>
        <color theme="1"/>
        <rFont val="宋体"/>
        <charset val="134"/>
      </rPr>
      <t>端口号</t>
    </r>
  </si>
  <si>
    <r>
      <rPr>
        <b/>
        <sz val="11"/>
        <color theme="1"/>
        <rFont val="宋体"/>
        <charset val="134"/>
      </rPr>
      <t>从站设备（机柜报警模块）</t>
    </r>
  </si>
  <si>
    <r>
      <rPr>
        <b/>
        <sz val="11"/>
        <color theme="1"/>
        <rFont val="宋体"/>
        <charset val="134"/>
      </rPr>
      <t>从站地址</t>
    </r>
  </si>
  <si>
    <r>
      <rPr>
        <b/>
        <sz val="11"/>
        <color theme="1"/>
        <rFont val="宋体"/>
        <charset val="134"/>
      </rPr>
      <t>串接顺序</t>
    </r>
  </si>
  <si>
    <t>3ACKC001AR</t>
  </si>
  <si>
    <t>3ACKC001AR211MD</t>
  </si>
  <si>
    <t>COM0</t>
  </si>
  <si>
    <t>3ACKC001AR_ALM</t>
  </si>
  <si>
    <r>
      <rPr>
        <sz val="11"/>
        <color theme="1"/>
        <rFont val="Times New Roman"/>
        <charset val="134"/>
      </rPr>
      <t>3ACKC004AR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3ACKC003AR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3ACKC001AR</t>
    </r>
    <r>
      <rPr>
        <sz val="11"/>
        <color theme="1"/>
        <rFont val="宋体"/>
        <charset val="134"/>
      </rPr>
      <t>接</t>
    </r>
    <r>
      <rPr>
        <sz val="11"/>
        <color theme="1"/>
        <rFont val="Times New Roman"/>
        <charset val="134"/>
      </rPr>
      <t>3ACKC001AR211MDCOM0</t>
    </r>
  </si>
  <si>
    <t>3ACKC003AR_ALM</t>
  </si>
  <si>
    <t>3ACKC004AR_ALM</t>
  </si>
  <si>
    <t>3ACKC006AR</t>
  </si>
  <si>
    <t>3ACKC006AR115MD</t>
  </si>
  <si>
    <t>3ACKC006AR_ALM</t>
  </si>
  <si>
    <r>
      <rPr>
        <sz val="11"/>
        <color theme="1"/>
        <rFont val="Times New Roman"/>
        <charset val="134"/>
      </rPr>
      <t>3ACKC013AR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3ACKC011AR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3ACKC014AR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3ACKC003TR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3ACKC006AR</t>
    </r>
    <r>
      <rPr>
        <sz val="11"/>
        <color theme="1"/>
        <rFont val="宋体"/>
        <charset val="134"/>
      </rPr>
      <t>接</t>
    </r>
    <r>
      <rPr>
        <sz val="11"/>
        <color theme="1"/>
        <rFont val="Times New Roman"/>
        <charset val="134"/>
      </rPr>
      <t>3ACKC006AR115MDCOM0</t>
    </r>
  </si>
  <si>
    <t>3ACKC003TR_ALM</t>
  </si>
  <si>
    <t>3ACKC014AR_ALM</t>
  </si>
  <si>
    <t>3ACKC011AR_ALM</t>
  </si>
  <si>
    <t>3ACKC013AR_ALM</t>
  </si>
  <si>
    <t>COM1</t>
  </si>
  <si>
    <t>3ACKC012AR_ALM</t>
  </si>
  <si>
    <r>
      <rPr>
        <sz val="11"/>
        <color theme="1"/>
        <rFont val="Times New Roman"/>
        <charset val="134"/>
      </rPr>
      <t>3ACKC008AR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3ACKC009AR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3ACKC012AR</t>
    </r>
    <r>
      <rPr>
        <sz val="11"/>
        <color theme="1"/>
        <rFont val="宋体"/>
        <charset val="134"/>
      </rPr>
      <t>接</t>
    </r>
    <r>
      <rPr>
        <sz val="11"/>
        <color theme="1"/>
        <rFont val="Times New Roman"/>
        <charset val="134"/>
      </rPr>
      <t>3ACKC006AR115MDCOM1</t>
    </r>
  </si>
  <si>
    <t>3ACKC009AR_ALM</t>
  </si>
  <si>
    <t>3ACKC008AR_ALM</t>
  </si>
  <si>
    <t>3ACKC018AR</t>
  </si>
  <si>
    <t>3ACKC018AR115MD</t>
  </si>
  <si>
    <t>3ACKC018AR_ALM</t>
  </si>
  <si>
    <r>
      <rPr>
        <sz val="11"/>
        <color theme="1"/>
        <rFont val="Times New Roman"/>
        <charset val="134"/>
      </rPr>
      <t>3ACKC007AR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3ACKC010AR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3ACKC015AR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3ACKC027AR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3ACKC018AR</t>
    </r>
    <r>
      <rPr>
        <sz val="11"/>
        <color theme="1"/>
        <rFont val="宋体"/>
        <charset val="134"/>
      </rPr>
      <t>接</t>
    </r>
    <r>
      <rPr>
        <sz val="11"/>
        <color theme="1"/>
        <rFont val="Times New Roman"/>
        <charset val="134"/>
      </rPr>
      <t>3ACKC018AR115MDCOM0</t>
    </r>
  </si>
  <si>
    <t>3ACKC027AR_ALM</t>
  </si>
  <si>
    <t>3ACKC015AR_ALM</t>
  </si>
  <si>
    <t>3ACKC010AR_ALM</t>
  </si>
  <si>
    <t>3ACKC007AR_ALM</t>
  </si>
  <si>
    <t>3ACKC005TR_ALM</t>
  </si>
  <si>
    <r>
      <rPr>
        <sz val="11"/>
        <color theme="1"/>
        <rFont val="Times New Roman"/>
        <charset val="134"/>
      </rPr>
      <t>3ACKC031AR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3ACKC003GU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3ACKC002AR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024AR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005TR</t>
    </r>
    <r>
      <rPr>
        <sz val="11"/>
        <color theme="1"/>
        <rFont val="宋体"/>
        <charset val="134"/>
      </rPr>
      <t>接</t>
    </r>
    <r>
      <rPr>
        <sz val="11"/>
        <color theme="1"/>
        <rFont val="Times New Roman"/>
        <charset val="134"/>
      </rPr>
      <t>3ACKC018AR115MDCOM1</t>
    </r>
  </si>
  <si>
    <t>3ACKC024AR_ALM</t>
  </si>
  <si>
    <t>3ACKC002AR_ALM</t>
  </si>
  <si>
    <t>3ACKC003GU_ALM</t>
  </si>
  <si>
    <t>3ACKC031AR_ALM</t>
  </si>
  <si>
    <t>3ACKC101AR</t>
  </si>
  <si>
    <t>3ACKC101AR215MD</t>
  </si>
  <si>
    <t>3ACKC004TR_ALM</t>
  </si>
  <si>
    <r>
      <rPr>
        <sz val="11"/>
        <color theme="1"/>
        <rFont val="Times New Roman"/>
        <charset val="134"/>
      </rPr>
      <t>3ACKC101AR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3ACKC102AR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3ACKC103AR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3ACKC002GU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3ACKC004TR</t>
    </r>
    <r>
      <rPr>
        <sz val="11"/>
        <color theme="1"/>
        <rFont val="宋体"/>
        <charset val="134"/>
      </rPr>
      <t>接</t>
    </r>
    <r>
      <rPr>
        <sz val="11"/>
        <color theme="1"/>
        <rFont val="Times New Roman"/>
        <charset val="134"/>
      </rPr>
      <t>3ACKC101AR215MDCOM0</t>
    </r>
  </si>
  <si>
    <t>3ACKC002GU_ALM</t>
  </si>
  <si>
    <t>3ACKC103AR_ALM</t>
  </si>
  <si>
    <t>3ACKC102AR_ALM</t>
  </si>
  <si>
    <t>3ACKC101AR_ALM</t>
  </si>
  <si>
    <t>3ACKC026AR_ALM</t>
  </si>
  <si>
    <r>
      <rPr>
        <sz val="11"/>
        <color theme="1"/>
        <rFont val="Times New Roman"/>
        <charset val="134"/>
      </rPr>
      <t>3ACKC022AR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3ACKC023AR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3ACKC026AR</t>
    </r>
    <r>
      <rPr>
        <sz val="11"/>
        <color theme="1"/>
        <rFont val="宋体"/>
        <charset val="134"/>
      </rPr>
      <t>接</t>
    </r>
    <r>
      <rPr>
        <sz val="11"/>
        <color theme="1"/>
        <rFont val="Times New Roman"/>
        <charset val="134"/>
      </rPr>
      <t>3ACKC101AR215MDCOM1</t>
    </r>
  </si>
  <si>
    <t>3ACKC023AR_ALM</t>
  </si>
  <si>
    <t>3ACKC022AR_ALM</t>
  </si>
  <si>
    <t>3ACKC105AR</t>
  </si>
  <si>
    <t>3ACKC105AR215MD</t>
  </si>
  <si>
    <t>3ACKC104AR_ALM</t>
  </si>
  <si>
    <r>
      <rPr>
        <sz val="11"/>
        <color theme="1"/>
        <rFont val="Times New Roman"/>
        <charset val="134"/>
      </rPr>
      <t>3ACKC005AR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3ACKO213AR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3ACKO212AR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3ACKO211AR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3ACKC104AR</t>
    </r>
    <r>
      <rPr>
        <sz val="11"/>
        <color theme="1"/>
        <rFont val="宋体"/>
        <charset val="134"/>
      </rPr>
      <t>接</t>
    </r>
    <r>
      <rPr>
        <sz val="11"/>
        <color theme="1"/>
        <rFont val="Times New Roman"/>
        <charset val="134"/>
      </rPr>
      <t>3ACKC105AR215MDCOM0</t>
    </r>
  </si>
  <si>
    <t>3ACKO211AR_ALM</t>
  </si>
  <si>
    <t>3ACKO212AR_ALM</t>
  </si>
  <si>
    <t>3ACKO213AR_ALM</t>
  </si>
  <si>
    <t>3ACKC005AR_ALM</t>
  </si>
  <si>
    <t>3ACKC105AR_ALM</t>
  </si>
  <si>
    <r>
      <rPr>
        <sz val="11"/>
        <color theme="1"/>
        <rFont val="Times New Roman"/>
        <charset val="134"/>
      </rPr>
      <t>3ACKC001GU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3ACKC001TR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3ACKC002TR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3ACKC105AR</t>
    </r>
    <r>
      <rPr>
        <sz val="11"/>
        <color theme="1"/>
        <rFont val="宋体"/>
        <charset val="134"/>
      </rPr>
      <t>接</t>
    </r>
    <r>
      <rPr>
        <sz val="11"/>
        <color theme="1"/>
        <rFont val="Times New Roman"/>
        <charset val="134"/>
      </rPr>
      <t>3ACKC105AR215MDCOM1</t>
    </r>
  </si>
  <si>
    <t>3ACKC002TR_ALM</t>
  </si>
  <si>
    <t>3ACKC001TR_ALM</t>
  </si>
  <si>
    <t>3ACKC001GU_ALM</t>
  </si>
  <si>
    <t>COM2</t>
  </si>
  <si>
    <t>3ACKC016AR_ALM</t>
  </si>
  <si>
    <r>
      <rPr>
        <sz val="11"/>
        <color theme="1"/>
        <rFont val="Times New Roman"/>
        <charset val="134"/>
      </rPr>
      <t>3ACKC019AR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3ACKC020AR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3ACKC017AR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3ACKC021AR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3ACKC016AR</t>
    </r>
    <r>
      <rPr>
        <sz val="11"/>
        <color theme="1"/>
        <rFont val="宋体"/>
        <charset val="134"/>
      </rPr>
      <t>接</t>
    </r>
    <r>
      <rPr>
        <sz val="11"/>
        <color theme="1"/>
        <rFont val="Times New Roman"/>
        <charset val="134"/>
      </rPr>
      <t>3ACKC105AR215MDCOM2</t>
    </r>
  </si>
  <si>
    <t>3ACKC021AR_ALM</t>
  </si>
  <si>
    <t>3ACKC017AR_ALM</t>
  </si>
  <si>
    <t>3ACKC020AR_ALM</t>
  </si>
  <si>
    <t>3ACKC019AR_ALM</t>
  </si>
  <si>
    <t>3ACKK005AR</t>
  </si>
  <si>
    <t>3ACKK005AR201MD</t>
  </si>
  <si>
    <t>3ACKK001TR_ALM</t>
  </si>
  <si>
    <r>
      <rPr>
        <sz val="11"/>
        <color theme="1"/>
        <rFont val="Times New Roman"/>
        <charset val="134"/>
      </rPr>
      <t>3ACKK004AR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3ACKK003AR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3ACKK002AR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3ACKK001AR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3ACKK001TR</t>
    </r>
    <r>
      <rPr>
        <sz val="11"/>
        <color theme="1"/>
        <rFont val="宋体"/>
        <charset val="134"/>
      </rPr>
      <t>接</t>
    </r>
    <r>
      <rPr>
        <sz val="11"/>
        <color theme="1"/>
        <rFont val="Times New Roman"/>
        <charset val="134"/>
      </rPr>
      <t>3ACKK005AR201MDCOM0</t>
    </r>
  </si>
  <si>
    <t>3ACKK001AR_ALM</t>
  </si>
  <si>
    <t>3ACKK002AR_ALM</t>
  </si>
  <si>
    <t>3ACKK003AR_ALM</t>
  </si>
  <si>
    <t>3ACKK004AR_ALM</t>
  </si>
  <si>
    <t>3ACKK101AR_ALM</t>
  </si>
  <si>
    <r>
      <rPr>
        <sz val="11"/>
        <color theme="1"/>
        <rFont val="Times New Roman"/>
        <charset val="134"/>
      </rPr>
      <t>3ACKK202AR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3ACKK201AR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3ACKK103AR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3ACKK102AR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3ACKK101AR</t>
    </r>
    <r>
      <rPr>
        <sz val="11"/>
        <color theme="1"/>
        <rFont val="宋体"/>
        <charset val="134"/>
      </rPr>
      <t>接</t>
    </r>
    <r>
      <rPr>
        <sz val="11"/>
        <color theme="1"/>
        <rFont val="Times New Roman"/>
        <charset val="134"/>
      </rPr>
      <t>3ACKK005AR201MDCOM1</t>
    </r>
  </si>
  <si>
    <t>3ACKK102AR_ALM</t>
  </si>
  <si>
    <t>3ACKK103AR_ALM</t>
  </si>
  <si>
    <t>3ACKK201AR_ALM</t>
  </si>
  <si>
    <t>3ACKK202AR_ALM</t>
  </si>
  <si>
    <t>3ACKK005AR_ALM</t>
  </si>
  <si>
    <r>
      <rPr>
        <sz val="11"/>
        <color theme="1"/>
        <rFont val="Times New Roman"/>
        <charset val="134"/>
      </rPr>
      <t>3ACKK203AR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3ACKK005AR</t>
    </r>
    <r>
      <rPr>
        <sz val="11"/>
        <color theme="1"/>
        <rFont val="宋体"/>
        <charset val="134"/>
      </rPr>
      <t>接</t>
    </r>
    <r>
      <rPr>
        <sz val="11"/>
        <color theme="1"/>
        <rFont val="Times New Roman"/>
        <charset val="134"/>
      </rPr>
      <t>3ACKK005AR201MDCOM2</t>
    </r>
  </si>
  <si>
    <t>3ACKK203AR_ALM</t>
  </si>
  <si>
    <t>COM3</t>
  </si>
  <si>
    <t>3ACKO001TR_ALM</t>
  </si>
  <si>
    <r>
      <rPr>
        <sz val="11"/>
        <color theme="1"/>
        <rFont val="Times New Roman"/>
        <charset val="134"/>
      </rPr>
      <t>3ACKO104AR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3ACKO103AR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3ACKO102AR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3ACKO101AR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3ACKO001TR</t>
    </r>
    <r>
      <rPr>
        <sz val="11"/>
        <color theme="1"/>
        <rFont val="宋体"/>
        <charset val="134"/>
      </rPr>
      <t>接</t>
    </r>
    <r>
      <rPr>
        <sz val="11"/>
        <color theme="1"/>
        <rFont val="Times New Roman"/>
        <charset val="134"/>
      </rPr>
      <t>3ACKK005AR201MDCOM3</t>
    </r>
  </si>
  <si>
    <t>3ACKO101AR_ALM</t>
  </si>
  <si>
    <t>3ACKO102AR_ALM</t>
  </si>
  <si>
    <t>3ACKO103AR_ALM</t>
  </si>
  <si>
    <t>3ACKO104AR_ALM</t>
  </si>
  <si>
    <t>3ACKK005AR202MD</t>
  </si>
  <si>
    <t>3ACKO105AR_ALM</t>
  </si>
  <si>
    <r>
      <rPr>
        <sz val="11"/>
        <color theme="1"/>
        <rFont val="Times New Roman"/>
        <charset val="134"/>
      </rPr>
      <t>3ACKO203AR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3ACKO202AR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3ACKO201AR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3ACKO107AR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3ACKO106AR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3ACKO105AR</t>
    </r>
    <r>
      <rPr>
        <sz val="11"/>
        <color theme="1"/>
        <rFont val="宋体"/>
        <charset val="134"/>
      </rPr>
      <t>接</t>
    </r>
    <r>
      <rPr>
        <sz val="11"/>
        <color theme="1"/>
        <rFont val="Times New Roman"/>
        <charset val="134"/>
      </rPr>
      <t>3ACKK005AR202MDCOM0</t>
    </r>
  </si>
  <si>
    <t>3ACKO106AR_ALM</t>
  </si>
  <si>
    <t>3ACKO107AR_ALM</t>
  </si>
  <si>
    <t>3ACKO201AR_ALM</t>
  </si>
  <si>
    <t>3ACKO202AR_ALM</t>
  </si>
  <si>
    <t>3ACKO203AR_ALM</t>
  </si>
  <si>
    <t>3ACKO401AR_ALM</t>
  </si>
  <si>
    <r>
      <rPr>
        <sz val="11"/>
        <color theme="1"/>
        <rFont val="Times New Roman"/>
        <charset val="134"/>
      </rPr>
      <t>3ACKO406AR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3ACKO405AR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3ACKO404AR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3ACKO403AR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3ACKO402AR</t>
    </r>
    <r>
      <rPr>
        <sz val="11"/>
        <color theme="1"/>
        <rFont val="宋体"/>
        <charset val="134"/>
      </rPr>
      <t>串</t>
    </r>
    <r>
      <rPr>
        <sz val="11"/>
        <color theme="1"/>
        <rFont val="Times New Roman"/>
        <charset val="134"/>
      </rPr>
      <t>3ACKO401AR</t>
    </r>
    <r>
      <rPr>
        <sz val="11"/>
        <color theme="1"/>
        <rFont val="宋体"/>
        <charset val="134"/>
      </rPr>
      <t>接</t>
    </r>
    <r>
      <rPr>
        <sz val="11"/>
        <color theme="1"/>
        <rFont val="Times New Roman"/>
        <charset val="134"/>
      </rPr>
      <t>3ACKK005AR202MDCOM1</t>
    </r>
  </si>
  <si>
    <t>3ACKO402AR_ALM</t>
  </si>
  <si>
    <t>3ACKO403AR_ALM</t>
  </si>
  <si>
    <t>3ACKO404AR_ALM</t>
  </si>
  <si>
    <t>3ACKO405AR_ALM</t>
  </si>
  <si>
    <t>3ACKO406AR_ALM</t>
  </si>
  <si>
    <t>表格</t>
  </si>
  <si>
    <t>发布列</t>
  </si>
  <si>
    <t>列</t>
  </si>
  <si>
    <t>列描述</t>
  </si>
  <si>
    <t>说明</t>
  </si>
  <si>
    <t>规范化文本</t>
  </si>
  <si>
    <t>备注</t>
  </si>
  <si>
    <t>填写说明</t>
  </si>
  <si>
    <t>板卡清单</t>
  </si>
  <si>
    <t>发布</t>
  </si>
  <si>
    <t>公式生成，数字序号</t>
  </si>
  <si>
    <r>
      <rPr>
        <sz val="10"/>
        <color theme="1"/>
        <rFont val="Times New Roman"/>
        <charset val="134"/>
      </rPr>
      <t>1.</t>
    </r>
    <r>
      <rPr>
        <sz val="10"/>
        <color theme="1"/>
        <rFont val="宋体"/>
        <charset val="134"/>
      </rPr>
      <t>红色表头：必填</t>
    </r>
  </si>
  <si>
    <t>机柜编号</t>
  </si>
  <si>
    <t>必填，来自输入资料</t>
  </si>
  <si>
    <t>每个机柜仅填写首行，其他为公式自动生成</t>
  </si>
  <si>
    <r>
      <rPr>
        <sz val="10"/>
        <color theme="1"/>
        <rFont val="Times New Roman"/>
        <charset val="134"/>
      </rPr>
      <t>2.</t>
    </r>
    <r>
      <rPr>
        <sz val="10"/>
        <color theme="1"/>
        <rFont val="宋体"/>
        <charset val="134"/>
      </rPr>
      <t>黄色表头：输入资料审查阶段填写</t>
    </r>
  </si>
  <si>
    <t>机架号</t>
  </si>
  <si>
    <t>固定文本</t>
  </si>
  <si>
    <r>
      <rPr>
        <sz val="10"/>
        <color theme="1"/>
        <rFont val="Times New Roman"/>
        <charset val="134"/>
      </rPr>
      <t>3.</t>
    </r>
    <r>
      <rPr>
        <sz val="10"/>
        <color theme="1"/>
        <rFont val="宋体"/>
        <charset val="134"/>
      </rPr>
      <t>绿色表头：公式生成</t>
    </r>
  </si>
  <si>
    <t>D</t>
  </si>
  <si>
    <t>插槽</t>
  </si>
  <si>
    <r>
      <rPr>
        <sz val="10"/>
        <color theme="1"/>
        <rFont val="Times New Roman"/>
        <charset val="134"/>
      </rPr>
      <t>4.</t>
    </r>
    <r>
      <rPr>
        <sz val="10"/>
        <color theme="1"/>
        <rFont val="宋体"/>
        <charset val="134"/>
      </rPr>
      <t>其它表头：选填</t>
    </r>
  </si>
  <si>
    <t>E</t>
  </si>
  <si>
    <t>地址</t>
  </si>
  <si>
    <t>必填，人工手动填写</t>
  </si>
  <si>
    <r>
      <rPr>
        <sz val="10"/>
        <color theme="1"/>
        <rFont val="宋体"/>
        <charset val="134"/>
      </rPr>
      <t>每个机柜仅填写</t>
    </r>
    <r>
      <rPr>
        <sz val="10"/>
        <color theme="1"/>
        <rFont val="Times New Roman"/>
        <charset val="134"/>
      </rPr>
      <t>A</t>
    </r>
    <r>
      <rPr>
        <sz val="10"/>
        <color theme="1"/>
        <rFont val="宋体"/>
        <charset val="134"/>
      </rPr>
      <t>控制器地址，</t>
    </r>
    <r>
      <rPr>
        <sz val="10"/>
        <color theme="1"/>
        <rFont val="Times New Roman"/>
        <charset val="134"/>
      </rPr>
      <t>B</t>
    </r>
    <r>
      <rPr>
        <sz val="10"/>
        <color theme="1"/>
        <rFont val="宋体"/>
        <charset val="134"/>
      </rPr>
      <t>控制器地址公式自动生成，</t>
    </r>
    <r>
      <rPr>
        <sz val="10"/>
        <color theme="1"/>
        <rFont val="Times New Roman"/>
        <charset val="134"/>
      </rPr>
      <t xml:space="preserve">
</t>
    </r>
    <r>
      <rPr>
        <sz val="10"/>
        <color theme="1"/>
        <rFont val="宋体"/>
        <charset val="134"/>
      </rPr>
      <t>其他板卡地址固定不变。</t>
    </r>
    <r>
      <rPr>
        <sz val="10"/>
        <color theme="1"/>
        <rFont val="Times New Roman"/>
        <charset val="134"/>
      </rPr>
      <t xml:space="preserve">
</t>
    </r>
    <r>
      <rPr>
        <sz val="10"/>
        <color theme="1"/>
        <rFont val="宋体"/>
        <charset val="134"/>
      </rPr>
      <t>控制器地址一般由</t>
    </r>
    <r>
      <rPr>
        <sz val="10"/>
        <color theme="1"/>
        <rFont val="Times New Roman"/>
        <charset val="134"/>
      </rPr>
      <t>2</t>
    </r>
    <r>
      <rPr>
        <sz val="10"/>
        <color theme="1"/>
        <rFont val="宋体"/>
        <charset val="134"/>
      </rPr>
      <t>开始，可连续</t>
    </r>
  </si>
  <si>
    <t>F</t>
  </si>
  <si>
    <t>板卡类型</t>
  </si>
  <si>
    <t>公式生成</t>
  </si>
  <si>
    <t>板卡编号</t>
  </si>
  <si>
    <t>3AEKC003AR103AI</t>
  </si>
  <si>
    <t>H</t>
  </si>
  <si>
    <t>端子板类型</t>
  </si>
  <si>
    <t>I</t>
  </si>
  <si>
    <t>端子板编号</t>
  </si>
  <si>
    <t>103BN</t>
  </si>
  <si>
    <t>J</t>
  </si>
  <si>
    <t>描述</t>
  </si>
  <si>
    <t>8通道HART模拟量输入</t>
  </si>
  <si>
    <r>
      <rPr>
        <sz val="10"/>
        <color theme="1"/>
        <rFont val="Times New Roman"/>
        <charset val="134"/>
      </rPr>
      <t>FF</t>
    </r>
    <r>
      <rPr>
        <sz val="10"/>
        <color theme="1"/>
        <rFont val="宋体"/>
        <charset val="134"/>
      </rPr>
      <t>卡件冗余情况，</t>
    </r>
    <r>
      <rPr>
        <sz val="10"/>
        <color theme="1"/>
        <rFont val="Times New Roman"/>
        <charset val="134"/>
      </rPr>
      <t>FF</t>
    </r>
    <r>
      <rPr>
        <sz val="10"/>
        <color theme="1"/>
        <rFont val="宋体"/>
        <charset val="134"/>
      </rPr>
      <t>卡必填</t>
    </r>
  </si>
  <si>
    <t>冗余</t>
  </si>
  <si>
    <t>L</t>
  </si>
  <si>
    <t>版本</t>
  </si>
  <si>
    <t>必填，控制版本</t>
  </si>
  <si>
    <t>M</t>
  </si>
  <si>
    <t>修改说明</t>
  </si>
  <si>
    <t>修改时必填，控制版本</t>
  </si>
  <si>
    <t>删除/新增…</t>
  </si>
  <si>
    <t>每次修改时更新</t>
  </si>
  <si>
    <r>
      <rPr>
        <b/>
        <sz val="10"/>
        <color theme="1"/>
        <rFont val="Times New Roman"/>
        <charset val="134"/>
      </rPr>
      <t>IO</t>
    </r>
    <r>
      <rPr>
        <b/>
        <sz val="10"/>
        <color theme="1"/>
        <rFont val="宋体"/>
        <charset val="134"/>
      </rPr>
      <t>分站清单</t>
    </r>
  </si>
  <si>
    <t>公式生成，设备位号</t>
  </si>
  <si>
    <t>R3AEAB042PO_Z</t>
  </si>
  <si>
    <r>
      <rPr>
        <sz val="10"/>
        <rFont val="宋体"/>
        <charset val="134"/>
      </rPr>
      <t>输送泵</t>
    </r>
    <r>
      <rPr>
        <sz val="10"/>
        <rFont val="Times New Roman"/>
        <charset val="134"/>
      </rPr>
      <t>32TETP-009PO</t>
    </r>
    <r>
      <rPr>
        <sz val="10"/>
        <rFont val="宋体"/>
        <charset val="134"/>
      </rPr>
      <t>出口流量</t>
    </r>
  </si>
  <si>
    <r>
      <rPr>
        <sz val="10"/>
        <color theme="1"/>
        <rFont val="Times New Roman"/>
        <charset val="134"/>
      </rPr>
      <t>FF</t>
    </r>
    <r>
      <rPr>
        <sz val="10"/>
        <color theme="1"/>
        <rFont val="宋体"/>
        <charset val="134"/>
      </rPr>
      <t>、</t>
    </r>
    <r>
      <rPr>
        <sz val="10"/>
        <color theme="1"/>
        <rFont val="Times New Roman"/>
        <charset val="134"/>
      </rPr>
      <t>DP</t>
    </r>
    <r>
      <rPr>
        <sz val="10"/>
        <color theme="1"/>
        <rFont val="宋体"/>
        <charset val="134"/>
      </rPr>
      <t>信号必填</t>
    </r>
  </si>
  <si>
    <r>
      <rPr>
        <b/>
        <sz val="10"/>
        <rFont val="宋体"/>
        <charset val="134"/>
      </rPr>
      <t>机笼</t>
    </r>
  </si>
  <si>
    <t>N</t>
  </si>
  <si>
    <r>
      <rPr>
        <sz val="10"/>
        <color theme="1"/>
        <rFont val="Times New Roman"/>
        <charset val="134"/>
      </rPr>
      <t>AI/AO/DI/DO</t>
    </r>
    <r>
      <rPr>
        <sz val="10"/>
        <color theme="1"/>
        <rFont val="宋体"/>
        <charset val="134"/>
      </rPr>
      <t>表示通道，</t>
    </r>
    <r>
      <rPr>
        <sz val="10"/>
        <color theme="1"/>
        <rFont val="Times New Roman"/>
        <charset val="134"/>
      </rPr>
      <t>FF</t>
    </r>
    <r>
      <rPr>
        <sz val="10"/>
        <color theme="1"/>
        <rFont val="宋体"/>
        <charset val="134"/>
      </rPr>
      <t>表示网段</t>
    </r>
    <r>
      <rPr>
        <sz val="10"/>
        <color theme="1"/>
        <rFont val="Times New Roman"/>
        <charset val="134"/>
      </rPr>
      <t>1/</t>
    </r>
    <r>
      <rPr>
        <sz val="10"/>
        <color theme="1"/>
        <rFont val="宋体"/>
        <charset val="134"/>
      </rPr>
      <t>网段</t>
    </r>
    <r>
      <rPr>
        <sz val="10"/>
        <color theme="1"/>
        <rFont val="Times New Roman"/>
        <charset val="134"/>
      </rPr>
      <t>2</t>
    </r>
    <r>
      <rPr>
        <sz val="10"/>
        <color theme="1"/>
        <rFont val="宋体"/>
        <charset val="134"/>
      </rPr>
      <t>，</t>
    </r>
    <r>
      <rPr>
        <sz val="10"/>
        <color theme="1"/>
        <rFont val="Times New Roman"/>
        <charset val="134"/>
      </rPr>
      <t>DP</t>
    </r>
    <r>
      <rPr>
        <sz val="10"/>
        <color theme="1"/>
        <rFont val="宋体"/>
        <charset val="134"/>
      </rPr>
      <t>信号可填</t>
    </r>
    <r>
      <rPr>
        <sz val="10"/>
        <color theme="1"/>
        <rFont val="Times New Roman"/>
        <charset val="134"/>
      </rPr>
      <t>1</t>
    </r>
    <r>
      <rPr>
        <sz val="10"/>
        <color theme="1"/>
        <rFont val="宋体"/>
        <charset val="134"/>
      </rPr>
      <t>或不填</t>
    </r>
  </si>
  <si>
    <t>O</t>
  </si>
  <si>
    <r>
      <rPr>
        <sz val="10"/>
        <color theme="1"/>
        <rFont val="Times New Roman"/>
        <charset val="134"/>
      </rPr>
      <t>FF/DP</t>
    </r>
    <r>
      <rPr>
        <sz val="10"/>
        <color theme="1"/>
        <rFont val="宋体"/>
        <charset val="134"/>
      </rPr>
      <t>必填，人工手动填写</t>
    </r>
  </si>
  <si>
    <r>
      <rPr>
        <sz val="10"/>
        <color theme="1"/>
        <rFont val="宋体"/>
        <charset val="134"/>
      </rPr>
      <t>普通</t>
    </r>
    <r>
      <rPr>
        <sz val="10"/>
        <color theme="1"/>
        <rFont val="Times New Roman"/>
        <charset val="134"/>
      </rPr>
      <t>FF</t>
    </r>
    <r>
      <rPr>
        <sz val="10"/>
        <color theme="1"/>
        <rFont val="宋体"/>
        <charset val="134"/>
      </rPr>
      <t>与</t>
    </r>
    <r>
      <rPr>
        <sz val="10"/>
        <color theme="1"/>
        <rFont val="Times New Roman"/>
        <charset val="134"/>
      </rPr>
      <t>DP</t>
    </r>
    <r>
      <rPr>
        <sz val="10"/>
        <color theme="1"/>
        <rFont val="宋体"/>
        <charset val="134"/>
      </rPr>
      <t>表示总线箱串接顺序，</t>
    </r>
    <r>
      <rPr>
        <sz val="10"/>
        <color theme="1"/>
        <rFont val="Times New Roman"/>
        <charset val="134"/>
      </rPr>
      <t>FF</t>
    </r>
    <r>
      <rPr>
        <sz val="10"/>
        <color theme="1"/>
        <rFont val="宋体"/>
        <charset val="134"/>
      </rPr>
      <t>从站模块填</t>
    </r>
    <r>
      <rPr>
        <sz val="10"/>
        <color theme="1"/>
        <rFont val="Times New Roman"/>
        <charset val="134"/>
      </rPr>
      <t>1/2</t>
    </r>
    <r>
      <rPr>
        <sz val="10"/>
        <color theme="1"/>
        <rFont val="宋体"/>
        <charset val="134"/>
      </rPr>
      <t>表示模块顺序</t>
    </r>
  </si>
  <si>
    <t>P</t>
  </si>
  <si>
    <r>
      <rPr>
        <sz val="10"/>
        <color theme="1"/>
        <rFont val="宋体"/>
        <charset val="134"/>
      </rPr>
      <t>对于</t>
    </r>
    <r>
      <rPr>
        <sz val="10"/>
        <color theme="1"/>
        <rFont val="Times New Roman"/>
        <charset val="134"/>
      </rPr>
      <t>FF</t>
    </r>
    <r>
      <rPr>
        <sz val="10"/>
        <color theme="1"/>
        <rFont val="宋体"/>
        <charset val="134"/>
      </rPr>
      <t>从站模块，表示实际通道，需根据说明书手动配置。</t>
    </r>
    <r>
      <rPr>
        <sz val="10"/>
        <color theme="1"/>
        <rFont val="Times New Roman"/>
        <charset val="134"/>
      </rPr>
      <t xml:space="preserve">
</t>
    </r>
    <r>
      <rPr>
        <sz val="10"/>
        <color theme="1"/>
        <rFont val="宋体"/>
        <charset val="134"/>
      </rPr>
      <t>对于普通</t>
    </r>
    <r>
      <rPr>
        <sz val="10"/>
        <color theme="1"/>
        <rFont val="Times New Roman"/>
        <charset val="134"/>
      </rPr>
      <t>FF</t>
    </r>
    <r>
      <rPr>
        <sz val="10"/>
        <color theme="1"/>
        <rFont val="宋体"/>
        <charset val="134"/>
      </rPr>
      <t>信号，仅表示总线箱中仪表数量，不表示设备实际顺序：来自同一仪表的</t>
    </r>
    <r>
      <rPr>
        <sz val="10"/>
        <color theme="1"/>
        <rFont val="Times New Roman"/>
        <charset val="134"/>
      </rPr>
      <t>FF</t>
    </r>
    <r>
      <rPr>
        <sz val="10"/>
        <color theme="1"/>
        <rFont val="宋体"/>
        <charset val="134"/>
      </rPr>
      <t>信号记作一个，来自同一多路温度变送器的</t>
    </r>
    <r>
      <rPr>
        <sz val="10"/>
        <color theme="1"/>
        <rFont val="Times New Roman"/>
        <charset val="134"/>
      </rPr>
      <t>FF</t>
    </r>
    <r>
      <rPr>
        <sz val="10"/>
        <color theme="1"/>
        <rFont val="宋体"/>
        <charset val="134"/>
      </rPr>
      <t>信号记作一个。</t>
    </r>
    <r>
      <rPr>
        <sz val="10"/>
        <color theme="1"/>
        <rFont val="Times New Roman"/>
        <charset val="134"/>
      </rPr>
      <t xml:space="preserve">
</t>
    </r>
    <r>
      <rPr>
        <sz val="10"/>
        <color theme="1"/>
        <rFont val="宋体"/>
        <charset val="134"/>
      </rPr>
      <t>对于</t>
    </r>
    <r>
      <rPr>
        <sz val="10"/>
        <color theme="1"/>
        <rFont val="Times New Roman"/>
        <charset val="134"/>
      </rPr>
      <t>DP</t>
    </r>
    <r>
      <rPr>
        <sz val="10"/>
        <color theme="1"/>
        <rFont val="宋体"/>
        <charset val="134"/>
      </rPr>
      <t>信号，表示阀位顺序，同一阀门的</t>
    </r>
    <r>
      <rPr>
        <sz val="10"/>
        <color theme="1"/>
        <rFont val="Times New Roman"/>
        <charset val="134"/>
      </rPr>
      <t>PROFIBUS(DI/DO)</t>
    </r>
    <r>
      <rPr>
        <sz val="10"/>
        <color theme="1"/>
        <rFont val="宋体"/>
        <charset val="134"/>
      </rPr>
      <t>信号记作一个。</t>
    </r>
  </si>
  <si>
    <t>龙鳍平台不填写</t>
  </si>
  <si>
    <t>R</t>
  </si>
  <si>
    <t>S</t>
  </si>
  <si>
    <t>U</t>
  </si>
  <si>
    <t>V</t>
  </si>
  <si>
    <t>1A</t>
  </si>
  <si>
    <t>W</t>
  </si>
  <si>
    <t>1B</t>
  </si>
  <si>
    <t>X</t>
  </si>
  <si>
    <t>1C</t>
  </si>
  <si>
    <t>Y</t>
  </si>
  <si>
    <t>1D</t>
  </si>
  <si>
    <r>
      <rPr>
        <sz val="10"/>
        <color theme="1"/>
        <rFont val="Times New Roman"/>
        <charset val="134"/>
      </rPr>
      <t>FF</t>
    </r>
    <r>
      <rPr>
        <sz val="10"/>
        <color theme="1"/>
        <rFont val="宋体"/>
        <charset val="134"/>
      </rPr>
      <t>从站模块信号必填，人工手动填写</t>
    </r>
  </si>
  <si>
    <r>
      <rPr>
        <sz val="10"/>
        <color theme="1"/>
        <rFont val="宋体"/>
        <charset val="134"/>
      </rPr>
      <t>根据材料清单等输入资料判断所使用的</t>
    </r>
    <r>
      <rPr>
        <sz val="10"/>
        <color theme="1"/>
        <rFont val="Times New Roman"/>
        <charset val="134"/>
      </rPr>
      <t>FF</t>
    </r>
    <r>
      <rPr>
        <sz val="10"/>
        <color theme="1"/>
        <rFont val="宋体"/>
        <charset val="134"/>
      </rPr>
      <t>从站模块型号</t>
    </r>
    <r>
      <rPr>
        <sz val="10"/>
        <color theme="1"/>
        <rFont val="Times New Roman"/>
        <charset val="134"/>
      </rPr>
      <t>FS201/FS202</t>
    </r>
  </si>
  <si>
    <t>AA</t>
  </si>
  <si>
    <t>103BN_FS201_1</t>
  </si>
  <si>
    <t>AB</t>
  </si>
  <si>
    <t>AC</t>
  </si>
  <si>
    <t>AD</t>
  </si>
  <si>
    <t>AE</t>
  </si>
  <si>
    <t>AF</t>
  </si>
  <si>
    <t>AG</t>
  </si>
  <si>
    <t>AH</t>
  </si>
  <si>
    <r>
      <rPr>
        <sz val="10"/>
        <rFont val="Times New Roman"/>
        <charset val="134"/>
      </rPr>
      <t>USER(</t>
    </r>
    <r>
      <rPr>
        <sz val="10"/>
        <rFont val="宋体"/>
        <charset val="134"/>
      </rPr>
      <t>提供</t>
    </r>
    <r>
      <rPr>
        <sz val="10"/>
        <rFont val="Times New Roman"/>
        <charset val="134"/>
      </rPr>
      <t>24VDC)</t>
    </r>
  </si>
  <si>
    <t>AJ</t>
  </si>
  <si>
    <r>
      <rPr>
        <sz val="10"/>
        <rFont val="宋体"/>
        <charset val="134"/>
      </rPr>
      <t>四线制变送器（</t>
    </r>
    <r>
      <rPr>
        <sz val="10"/>
        <rFont val="Times New Roman"/>
        <charset val="134"/>
      </rPr>
      <t>24DC</t>
    </r>
    <r>
      <rPr>
        <sz val="10"/>
        <rFont val="宋体"/>
        <charset val="134"/>
      </rPr>
      <t>独立供电）</t>
    </r>
  </si>
  <si>
    <r>
      <rPr>
        <sz val="10"/>
        <color theme="1"/>
        <rFont val="宋体"/>
        <charset val="134"/>
      </rPr>
      <t>对于</t>
    </r>
    <r>
      <rPr>
        <sz val="10"/>
        <color theme="1"/>
        <rFont val="Times New Roman"/>
        <charset val="134"/>
      </rPr>
      <t>FF</t>
    </r>
    <r>
      <rPr>
        <sz val="10"/>
        <color theme="1"/>
        <rFont val="宋体"/>
        <charset val="134"/>
      </rPr>
      <t>从站模块，当模拟量信号为四线制、开出信号为常闭时需要特别标注，否则默认为两线制、常开</t>
    </r>
  </si>
  <si>
    <t>AK</t>
  </si>
  <si>
    <t>AL</t>
  </si>
  <si>
    <t>AM</t>
  </si>
  <si>
    <t>AN</t>
  </si>
  <si>
    <r>
      <rPr>
        <sz val="10"/>
        <color theme="1"/>
        <rFont val="Times New Roman"/>
        <charset val="134"/>
      </rPr>
      <t>DO</t>
    </r>
    <r>
      <rPr>
        <sz val="10"/>
        <color theme="1"/>
        <rFont val="宋体"/>
        <charset val="134"/>
      </rPr>
      <t>常闭信号必填</t>
    </r>
  </si>
  <si>
    <r>
      <rPr>
        <sz val="10"/>
        <color theme="1"/>
        <rFont val="宋体"/>
        <charset val="134"/>
      </rPr>
      <t>根据电气特性列信息填</t>
    </r>
    <r>
      <rPr>
        <sz val="10"/>
        <color theme="1"/>
        <rFont val="Times New Roman"/>
        <charset val="134"/>
      </rPr>
      <t>NC</t>
    </r>
    <r>
      <rPr>
        <sz val="10"/>
        <color theme="1"/>
        <rFont val="宋体"/>
        <charset val="134"/>
      </rPr>
      <t>或</t>
    </r>
    <r>
      <rPr>
        <sz val="10"/>
        <color theme="1"/>
        <rFont val="Times New Roman"/>
        <charset val="134"/>
      </rPr>
      <t>NO</t>
    </r>
  </si>
  <si>
    <r>
      <rPr>
        <sz val="10"/>
        <color theme="1"/>
        <rFont val="宋体"/>
        <charset val="134"/>
      </rPr>
      <t>仅</t>
    </r>
    <r>
      <rPr>
        <sz val="10"/>
        <color theme="1"/>
        <rFont val="Times New Roman"/>
        <charset val="134"/>
      </rPr>
      <t>A</t>
    </r>
    <r>
      <rPr>
        <sz val="10"/>
        <color theme="1"/>
        <rFont val="宋体"/>
        <charset val="134"/>
      </rPr>
      <t>类阀箱填写</t>
    </r>
  </si>
  <si>
    <t>AP</t>
  </si>
  <si>
    <t>阀箱必填，来自输入资料</t>
  </si>
  <si>
    <t>B3</t>
  </si>
  <si>
    <t>AQ</t>
  </si>
  <si>
    <t>AR</t>
  </si>
  <si>
    <r>
      <rPr>
        <sz val="10"/>
        <rFont val="Times New Roman"/>
        <charset val="134"/>
      </rPr>
      <t>3AEKC-044BC</t>
    </r>
    <r>
      <rPr>
        <sz val="10"/>
        <rFont val="宋体"/>
        <charset val="134"/>
      </rPr>
      <t>串接到</t>
    </r>
    <r>
      <rPr>
        <sz val="10"/>
        <rFont val="Times New Roman"/>
        <charset val="134"/>
      </rPr>
      <t>3AEKC-033BC</t>
    </r>
  </si>
  <si>
    <t>总线箱串接信息必填，独立供电仪表功率必填</t>
  </si>
  <si>
    <t>AS</t>
  </si>
  <si>
    <t>2024.03.26</t>
  </si>
  <si>
    <t>AT</t>
  </si>
  <si>
    <r>
      <rPr>
        <sz val="10"/>
        <rFont val="宋体"/>
        <charset val="134"/>
      </rPr>
      <t>删除</t>
    </r>
    <r>
      <rPr>
        <sz val="10"/>
        <rFont val="Times New Roman"/>
        <charset val="134"/>
      </rPr>
      <t>/</t>
    </r>
    <r>
      <rPr>
        <sz val="10"/>
        <rFont val="宋体"/>
        <charset val="134"/>
      </rPr>
      <t>新增</t>
    </r>
    <r>
      <rPr>
        <sz val="10"/>
        <rFont val="Times New Roman"/>
        <charset val="134"/>
      </rPr>
      <t>…</t>
    </r>
  </si>
  <si>
    <t>AU</t>
  </si>
  <si>
    <t>选填，来自输入资料</t>
  </si>
  <si>
    <t>AV</t>
  </si>
  <si>
    <t>YKS05101004</t>
  </si>
  <si>
    <t>AW</t>
  </si>
  <si>
    <t>AX</t>
  </si>
  <si>
    <t>AY</t>
  </si>
  <si>
    <t>AZ</t>
  </si>
  <si>
    <t>BA</t>
  </si>
  <si>
    <t>BB</t>
  </si>
  <si>
    <t>BC</t>
  </si>
  <si>
    <t>BD</t>
  </si>
  <si>
    <t>BE</t>
  </si>
  <si>
    <t>BF</t>
  </si>
  <si>
    <t>BG</t>
  </si>
  <si>
    <t>BH</t>
  </si>
  <si>
    <t>BI</t>
  </si>
  <si>
    <t>BJ</t>
  </si>
  <si>
    <t>BK</t>
  </si>
  <si>
    <t>BL</t>
  </si>
  <si>
    <t>BM</t>
  </si>
  <si>
    <t>BN</t>
  </si>
  <si>
    <t>BO</t>
  </si>
  <si>
    <t>BP</t>
  </si>
  <si>
    <t>BQ</t>
  </si>
  <si>
    <t>BR</t>
  </si>
  <si>
    <t>BS</t>
  </si>
  <si>
    <t>BT</t>
  </si>
  <si>
    <t>BU</t>
  </si>
  <si>
    <t>BV</t>
  </si>
  <si>
    <t>BW</t>
  </si>
  <si>
    <t>BX</t>
  </si>
  <si>
    <t>BY</t>
  </si>
  <si>
    <t>BZ</t>
  </si>
  <si>
    <t>CA</t>
  </si>
  <si>
    <t>CB</t>
  </si>
  <si>
    <t>CC</t>
  </si>
  <si>
    <t>必填，按工程设计</t>
  </si>
  <si>
    <t>CD</t>
  </si>
  <si>
    <r>
      <rPr>
        <b/>
        <sz val="10"/>
        <color theme="1"/>
        <rFont val="宋体"/>
        <charset val="134"/>
      </rPr>
      <t>机柜报警</t>
    </r>
  </si>
  <si>
    <r>
      <rPr>
        <b/>
        <sz val="10"/>
        <color theme="1"/>
        <rFont val="宋体"/>
        <charset val="134"/>
      </rPr>
      <t>发布</t>
    </r>
  </si>
  <si>
    <r>
      <rPr>
        <b/>
        <sz val="10"/>
        <color theme="1"/>
        <rFont val="Times New Roman"/>
        <charset val="134"/>
      </rPr>
      <t>RTU</t>
    </r>
    <r>
      <rPr>
        <b/>
        <sz val="10"/>
        <color theme="1"/>
        <rFont val="宋体"/>
        <charset val="134"/>
      </rPr>
      <t>板卡所在机柜号</t>
    </r>
  </si>
  <si>
    <r>
      <rPr>
        <sz val="10"/>
        <color theme="1"/>
        <rFont val="宋体"/>
        <charset val="134"/>
      </rPr>
      <t>必填，根据</t>
    </r>
    <r>
      <rPr>
        <sz val="10"/>
        <color theme="1"/>
        <rFont val="Times New Roman"/>
        <charset val="134"/>
      </rPr>
      <t>IO</t>
    </r>
    <r>
      <rPr>
        <sz val="10"/>
        <color theme="1"/>
        <rFont val="宋体"/>
        <charset val="134"/>
      </rPr>
      <t>分配填写</t>
    </r>
  </si>
  <si>
    <r>
      <rPr>
        <b/>
        <sz val="10"/>
        <color theme="1"/>
        <rFont val="Times New Roman"/>
        <charset val="134"/>
      </rPr>
      <t>RTU</t>
    </r>
    <r>
      <rPr>
        <b/>
        <sz val="10"/>
        <color theme="1"/>
        <rFont val="宋体"/>
        <charset val="134"/>
      </rPr>
      <t>板卡位置</t>
    </r>
  </si>
  <si>
    <r>
      <rPr>
        <b/>
        <sz val="10"/>
        <color theme="1"/>
        <rFont val="Times New Roman"/>
        <charset val="134"/>
      </rPr>
      <t>RTU</t>
    </r>
    <r>
      <rPr>
        <b/>
        <sz val="10"/>
        <color theme="1"/>
        <rFont val="宋体"/>
        <charset val="134"/>
      </rPr>
      <t>板卡地址</t>
    </r>
  </si>
  <si>
    <r>
      <rPr>
        <b/>
        <sz val="10"/>
        <color theme="1"/>
        <rFont val="宋体"/>
        <charset val="134"/>
      </rPr>
      <t>端口号</t>
    </r>
  </si>
  <si>
    <r>
      <rPr>
        <b/>
        <sz val="10"/>
        <color theme="1"/>
        <rFont val="宋体"/>
        <charset val="134"/>
      </rPr>
      <t>从站设备（机柜报警模块）</t>
    </r>
  </si>
  <si>
    <r>
      <rPr>
        <sz val="10"/>
        <color theme="1"/>
        <rFont val="宋体"/>
        <charset val="134"/>
      </rPr>
      <t>必填，根据机柜间布置情况填写</t>
    </r>
  </si>
  <si>
    <r>
      <rPr>
        <b/>
        <sz val="10"/>
        <color theme="1"/>
        <rFont val="宋体"/>
        <charset val="134"/>
      </rPr>
      <t>从站地址</t>
    </r>
  </si>
  <si>
    <r>
      <rPr>
        <b/>
        <sz val="10"/>
        <rFont val="宋体"/>
        <charset val="134"/>
      </rPr>
      <t>串接顺序</t>
    </r>
  </si>
  <si>
    <r>
      <rPr>
        <sz val="10"/>
        <color theme="1"/>
        <rFont val="Times New Roman"/>
        <charset val="134"/>
      </rPr>
      <t>3ACKC001AR</t>
    </r>
    <r>
      <rPr>
        <sz val="10"/>
        <color theme="1"/>
        <rFont val="宋体"/>
        <charset val="134"/>
      </rPr>
      <t>接</t>
    </r>
    <r>
      <rPr>
        <sz val="10"/>
        <color theme="1"/>
        <rFont val="Times New Roman"/>
        <charset val="134"/>
      </rPr>
      <t>3ACKC001AR211MDCOM0</t>
    </r>
  </si>
  <si>
    <t>端子板型号</t>
  </si>
  <si>
    <r>
      <rPr>
        <b/>
        <sz val="11"/>
        <color theme="1"/>
        <rFont val="Times New Roman"/>
        <charset val="134"/>
      </rPr>
      <t>I/O</t>
    </r>
    <r>
      <rPr>
        <b/>
        <sz val="11"/>
        <color theme="1"/>
        <rFont val="宋体"/>
        <charset val="134"/>
      </rPr>
      <t>类型</t>
    </r>
  </si>
  <si>
    <t>电气特性</t>
  </si>
  <si>
    <t>供电方</t>
  </si>
  <si>
    <t>供电类型</t>
  </si>
  <si>
    <t>传感器类型</t>
  </si>
  <si>
    <t>DCS</t>
  </si>
  <si>
    <r>
      <rPr>
        <sz val="11"/>
        <color theme="1"/>
        <rFont val="Times New Roman"/>
        <charset val="134"/>
      </rPr>
      <t>AI1</t>
    </r>
    <r>
      <rPr>
        <sz val="11"/>
        <color theme="1"/>
        <rFont val="宋体"/>
        <charset val="134"/>
      </rPr>
      <t>：板卡直供</t>
    </r>
    <r>
      <rPr>
        <sz val="11"/>
        <color theme="1"/>
        <rFont val="Times New Roman"/>
        <charset val="134"/>
      </rPr>
      <t>24VDC
AI6</t>
    </r>
    <r>
      <rPr>
        <sz val="11"/>
        <color theme="1"/>
        <rFont val="宋体"/>
        <charset val="134"/>
      </rPr>
      <t>：柜内独立</t>
    </r>
    <r>
      <rPr>
        <sz val="11"/>
        <color theme="1"/>
        <rFont val="Times New Roman"/>
        <charset val="134"/>
      </rPr>
      <t>220VAC</t>
    </r>
    <r>
      <rPr>
        <sz val="11"/>
        <color theme="1"/>
        <rFont val="宋体"/>
        <charset val="134"/>
      </rPr>
      <t>单独供电</t>
    </r>
  </si>
  <si>
    <r>
      <rPr>
        <sz val="11"/>
        <color theme="1"/>
        <rFont val="宋体"/>
        <charset val="134"/>
      </rPr>
      <t>两线制变送器</t>
    </r>
  </si>
  <si>
    <r>
      <rPr>
        <sz val="11"/>
        <color theme="1"/>
        <rFont val="宋体"/>
        <charset val="134"/>
      </rPr>
      <t>信号</t>
    </r>
    <r>
      <rPr>
        <sz val="11"/>
        <color theme="1"/>
        <rFont val="Times New Roman"/>
        <charset val="134"/>
      </rPr>
      <t>+</t>
    </r>
    <r>
      <rPr>
        <sz val="11"/>
        <color theme="1"/>
        <rFont val="宋体"/>
        <charset val="134"/>
      </rPr>
      <t>（</t>
    </r>
    <r>
      <rPr>
        <sz val="11"/>
        <color theme="1"/>
        <rFont val="Times New Roman"/>
        <charset val="134"/>
      </rPr>
      <t>S+</t>
    </r>
    <r>
      <rPr>
        <sz val="11"/>
        <color theme="1"/>
        <rFont val="宋体"/>
        <charset val="134"/>
      </rPr>
      <t>）</t>
    </r>
  </si>
  <si>
    <r>
      <rPr>
        <sz val="11"/>
        <color theme="1"/>
        <rFont val="宋体"/>
        <charset val="134"/>
      </rPr>
      <t>信号</t>
    </r>
    <r>
      <rPr>
        <sz val="11"/>
        <color theme="1"/>
        <rFont val="Times New Roman"/>
        <charset val="134"/>
      </rPr>
      <t>-</t>
    </r>
    <r>
      <rPr>
        <sz val="11"/>
        <color theme="1"/>
        <rFont val="宋体"/>
        <charset val="134"/>
      </rPr>
      <t>（</t>
    </r>
    <r>
      <rPr>
        <sz val="11"/>
        <color theme="1"/>
        <rFont val="Times New Roman"/>
        <charset val="134"/>
      </rPr>
      <t>S-</t>
    </r>
    <r>
      <rPr>
        <sz val="11"/>
        <color theme="1"/>
        <rFont val="宋体"/>
        <charset val="134"/>
      </rPr>
      <t>）</t>
    </r>
  </si>
  <si>
    <t>2B</t>
  </si>
  <si>
    <t>2A</t>
  </si>
  <si>
    <t>3B</t>
  </si>
  <si>
    <t>3A</t>
  </si>
  <si>
    <t>4B</t>
  </si>
  <si>
    <t>4A</t>
  </si>
  <si>
    <t>5B</t>
  </si>
  <si>
    <t>5A</t>
  </si>
  <si>
    <t>6B</t>
  </si>
  <si>
    <t>6A</t>
  </si>
  <si>
    <t>7B</t>
  </si>
  <si>
    <t>7A</t>
  </si>
  <si>
    <t>8B</t>
  </si>
  <si>
    <t>8A</t>
  </si>
  <si>
    <r>
      <rPr>
        <sz val="11"/>
        <color theme="1"/>
        <rFont val="Times New Roman"/>
        <charset val="134"/>
      </rPr>
      <t>AI2</t>
    </r>
    <r>
      <rPr>
        <sz val="11"/>
        <color theme="1"/>
        <rFont val="宋体"/>
        <charset val="134"/>
      </rPr>
      <t>：柜内</t>
    </r>
    <r>
      <rPr>
        <sz val="11"/>
        <color theme="1"/>
        <rFont val="Times New Roman"/>
        <charset val="134"/>
      </rPr>
      <t>24VDC</t>
    </r>
    <r>
      <rPr>
        <sz val="11"/>
        <color theme="1"/>
        <rFont val="宋体"/>
        <charset val="134"/>
      </rPr>
      <t>单独供电</t>
    </r>
    <r>
      <rPr>
        <sz val="11"/>
        <color theme="1"/>
        <rFont val="Times New Roman"/>
        <charset val="134"/>
      </rPr>
      <t xml:space="preserve">
AI3</t>
    </r>
    <r>
      <rPr>
        <sz val="11"/>
        <color theme="1"/>
        <rFont val="宋体"/>
        <charset val="134"/>
      </rPr>
      <t>：柜内</t>
    </r>
    <r>
      <rPr>
        <sz val="11"/>
        <color theme="1"/>
        <rFont val="Times New Roman"/>
        <charset val="134"/>
      </rPr>
      <t>220VAC</t>
    </r>
    <r>
      <rPr>
        <sz val="11"/>
        <color theme="1"/>
        <rFont val="宋体"/>
        <charset val="134"/>
      </rPr>
      <t>单独供电</t>
    </r>
  </si>
  <si>
    <r>
      <rPr>
        <sz val="11"/>
        <color theme="1"/>
        <rFont val="宋体"/>
        <charset val="134"/>
      </rPr>
      <t>四线制变送器</t>
    </r>
  </si>
  <si>
    <t>2C</t>
  </si>
  <si>
    <t>3C</t>
  </si>
  <si>
    <t>USER</t>
  </si>
  <si>
    <r>
      <rPr>
        <sz val="11"/>
        <color theme="1"/>
        <rFont val="Times New Roman"/>
        <charset val="134"/>
      </rPr>
      <t>AI4</t>
    </r>
    <r>
      <rPr>
        <sz val="11"/>
        <color theme="1"/>
        <rFont val="宋体"/>
        <charset val="134"/>
      </rPr>
      <t>：柜外</t>
    </r>
    <r>
      <rPr>
        <sz val="11"/>
        <color theme="1"/>
        <rFont val="Times New Roman"/>
        <charset val="134"/>
      </rPr>
      <t>24VDC</t>
    </r>
    <r>
      <rPr>
        <sz val="11"/>
        <color theme="1"/>
        <rFont val="宋体"/>
        <charset val="134"/>
      </rPr>
      <t>单独供电</t>
    </r>
    <r>
      <rPr>
        <sz val="11"/>
        <color theme="1"/>
        <rFont val="Times New Roman"/>
        <charset val="134"/>
      </rPr>
      <t xml:space="preserve">
AI5</t>
    </r>
    <r>
      <rPr>
        <sz val="11"/>
        <color theme="1"/>
        <rFont val="宋体"/>
        <charset val="134"/>
      </rPr>
      <t>：柜外</t>
    </r>
    <r>
      <rPr>
        <sz val="11"/>
        <color theme="1"/>
        <rFont val="Times New Roman"/>
        <charset val="134"/>
      </rPr>
      <t>220VAC</t>
    </r>
    <r>
      <rPr>
        <sz val="11"/>
        <color theme="1"/>
        <rFont val="宋体"/>
        <charset val="134"/>
      </rPr>
      <t>单独供电</t>
    </r>
  </si>
  <si>
    <t>4C</t>
  </si>
  <si>
    <t>5C</t>
  </si>
  <si>
    <t>6C</t>
  </si>
  <si>
    <t>7C</t>
  </si>
  <si>
    <t>8C</t>
  </si>
  <si>
    <r>
      <rPr>
        <sz val="11"/>
        <color theme="1"/>
        <rFont val="Times New Roman"/>
        <charset val="134"/>
      </rPr>
      <t>4~20mA</t>
    </r>
    <r>
      <rPr>
        <sz val="11"/>
        <color theme="1"/>
        <rFont val="宋体"/>
        <charset val="134"/>
      </rPr>
      <t>带</t>
    </r>
    <r>
      <rPr>
        <sz val="11"/>
        <color theme="1"/>
        <rFont val="Times New Roman"/>
        <charset val="134"/>
      </rPr>
      <t>HART</t>
    </r>
  </si>
  <si>
    <r>
      <rPr>
        <sz val="11"/>
        <color theme="1"/>
        <rFont val="Times New Roman"/>
        <charset val="134"/>
      </rPr>
      <t>AI1</t>
    </r>
    <r>
      <rPr>
        <sz val="11"/>
        <color theme="1"/>
        <rFont val="宋体"/>
        <charset val="134"/>
      </rPr>
      <t>：板卡直供</t>
    </r>
    <r>
      <rPr>
        <sz val="11"/>
        <color theme="1"/>
        <rFont val="Times New Roman"/>
        <charset val="134"/>
      </rPr>
      <t>24VDC
AI6</t>
    </r>
    <r>
      <rPr>
        <sz val="11"/>
        <color theme="1"/>
        <rFont val="宋体"/>
        <charset val="134"/>
      </rPr>
      <t>：柜内</t>
    </r>
    <r>
      <rPr>
        <sz val="11"/>
        <color theme="1"/>
        <rFont val="Times New Roman"/>
        <charset val="134"/>
      </rPr>
      <t>220VAC</t>
    </r>
    <r>
      <rPr>
        <sz val="11"/>
        <color theme="1"/>
        <rFont val="宋体"/>
        <charset val="134"/>
      </rPr>
      <t>单独供电</t>
    </r>
  </si>
  <si>
    <r>
      <rPr>
        <strike/>
        <sz val="11"/>
        <color theme="1"/>
        <rFont val="Times New Roman"/>
        <charset val="134"/>
      </rPr>
      <t>RS485</t>
    </r>
    <r>
      <rPr>
        <strike/>
        <sz val="11"/>
        <color theme="1"/>
        <rFont val="宋体"/>
        <charset val="134"/>
      </rPr>
      <t>通讯接线</t>
    </r>
  </si>
  <si>
    <r>
      <rPr>
        <strike/>
        <sz val="11"/>
        <color theme="1"/>
        <rFont val="宋体"/>
        <charset val="134"/>
      </rPr>
      <t>通道</t>
    </r>
  </si>
  <si>
    <r>
      <rPr>
        <strike/>
        <sz val="11"/>
        <color theme="1"/>
        <rFont val="宋体"/>
        <charset val="134"/>
      </rPr>
      <t>通讯信号</t>
    </r>
    <r>
      <rPr>
        <strike/>
        <sz val="11"/>
        <color theme="1"/>
        <rFont val="Times New Roman"/>
        <charset val="134"/>
      </rPr>
      <t>+/</t>
    </r>
    <r>
      <rPr>
        <strike/>
        <sz val="11"/>
        <color theme="1"/>
        <rFont val="宋体"/>
        <charset val="134"/>
      </rPr>
      <t>端子</t>
    </r>
  </si>
  <si>
    <r>
      <rPr>
        <strike/>
        <sz val="11"/>
        <color theme="1"/>
        <rFont val="宋体"/>
        <charset val="134"/>
      </rPr>
      <t>通讯信号</t>
    </r>
    <r>
      <rPr>
        <strike/>
        <sz val="11"/>
        <color theme="1"/>
        <rFont val="Times New Roman"/>
        <charset val="134"/>
      </rPr>
      <t>-/</t>
    </r>
    <r>
      <rPr>
        <strike/>
        <sz val="11"/>
        <color theme="1"/>
        <rFont val="宋体"/>
        <charset val="134"/>
      </rPr>
      <t>端子</t>
    </r>
  </si>
  <si>
    <r>
      <rPr>
        <strike/>
        <sz val="11"/>
        <color theme="1"/>
        <rFont val="宋体"/>
        <charset val="134"/>
      </rPr>
      <t>屏蔽</t>
    </r>
    <r>
      <rPr>
        <strike/>
        <sz val="11"/>
        <color theme="1"/>
        <rFont val="Times New Roman"/>
        <charset val="134"/>
      </rPr>
      <t>/</t>
    </r>
    <r>
      <rPr>
        <strike/>
        <sz val="11"/>
        <color theme="1"/>
        <rFont val="宋体"/>
        <charset val="134"/>
      </rPr>
      <t>端子</t>
    </r>
  </si>
  <si>
    <t>RS485 A</t>
  </si>
  <si>
    <r>
      <rPr>
        <strike/>
        <sz val="11"/>
        <color theme="1"/>
        <rFont val="Times New Roman"/>
        <charset val="134"/>
      </rPr>
      <t>UART1_P</t>
    </r>
    <r>
      <rPr>
        <strike/>
        <sz val="11"/>
        <color theme="1"/>
        <rFont val="宋体"/>
        <charset val="134"/>
      </rPr>
      <t>：</t>
    </r>
    <r>
      <rPr>
        <strike/>
        <sz val="11"/>
        <color theme="1"/>
        <rFont val="Times New Roman"/>
        <charset val="134"/>
      </rPr>
      <t>U1P</t>
    </r>
  </si>
  <si>
    <r>
      <rPr>
        <strike/>
        <sz val="11"/>
        <color theme="1"/>
        <rFont val="Times New Roman"/>
        <charset val="134"/>
      </rPr>
      <t>UART1_N</t>
    </r>
    <r>
      <rPr>
        <strike/>
        <sz val="11"/>
        <color theme="1"/>
        <rFont val="宋体"/>
        <charset val="134"/>
      </rPr>
      <t>：</t>
    </r>
    <r>
      <rPr>
        <strike/>
        <sz val="11"/>
        <color theme="1"/>
        <rFont val="Times New Roman"/>
        <charset val="134"/>
      </rPr>
      <t>U1N</t>
    </r>
  </si>
  <si>
    <r>
      <rPr>
        <strike/>
        <sz val="11"/>
        <color theme="1"/>
        <rFont val="Times New Roman"/>
        <charset val="134"/>
      </rPr>
      <t>UART1_GND</t>
    </r>
    <r>
      <rPr>
        <strike/>
        <sz val="11"/>
        <color theme="1"/>
        <rFont val="宋体"/>
        <charset val="134"/>
      </rPr>
      <t>：</t>
    </r>
    <r>
      <rPr>
        <strike/>
        <sz val="11"/>
        <color theme="1"/>
        <rFont val="Times New Roman"/>
        <charset val="134"/>
      </rPr>
      <t>U1G</t>
    </r>
  </si>
  <si>
    <t>RS485 B</t>
  </si>
  <si>
    <r>
      <rPr>
        <strike/>
        <sz val="11"/>
        <color theme="1"/>
        <rFont val="Times New Roman"/>
        <charset val="134"/>
      </rPr>
      <t>UART2_P</t>
    </r>
    <r>
      <rPr>
        <strike/>
        <sz val="11"/>
        <color theme="1"/>
        <rFont val="宋体"/>
        <charset val="134"/>
      </rPr>
      <t>：</t>
    </r>
    <r>
      <rPr>
        <strike/>
        <sz val="11"/>
        <color theme="1"/>
        <rFont val="Times New Roman"/>
        <charset val="134"/>
      </rPr>
      <t>U2P</t>
    </r>
  </si>
  <si>
    <r>
      <rPr>
        <strike/>
        <sz val="11"/>
        <color theme="1"/>
        <rFont val="Times New Roman"/>
        <charset val="134"/>
      </rPr>
      <t>UART2_N</t>
    </r>
    <r>
      <rPr>
        <strike/>
        <sz val="11"/>
        <color theme="1"/>
        <rFont val="宋体"/>
        <charset val="134"/>
      </rPr>
      <t>：</t>
    </r>
    <r>
      <rPr>
        <strike/>
        <sz val="11"/>
        <color theme="1"/>
        <rFont val="Times New Roman"/>
        <charset val="134"/>
      </rPr>
      <t>U2N</t>
    </r>
  </si>
  <si>
    <r>
      <rPr>
        <strike/>
        <sz val="11"/>
        <color theme="1"/>
        <rFont val="Times New Roman"/>
        <charset val="134"/>
      </rPr>
      <t>UART2_GND</t>
    </r>
    <r>
      <rPr>
        <strike/>
        <sz val="11"/>
        <color theme="1"/>
        <rFont val="宋体"/>
        <charset val="134"/>
      </rPr>
      <t>：</t>
    </r>
    <r>
      <rPr>
        <strike/>
        <sz val="11"/>
        <color theme="1"/>
        <rFont val="Times New Roman"/>
        <charset val="134"/>
      </rPr>
      <t>U2G</t>
    </r>
  </si>
  <si>
    <t>PT100/
Cu100/
Cu50…</t>
  </si>
  <si>
    <r>
      <rPr>
        <sz val="11"/>
        <color theme="1"/>
        <rFont val="宋体"/>
        <charset val="134"/>
      </rPr>
      <t>两线制热电阻</t>
    </r>
  </si>
  <si>
    <r>
      <rPr>
        <sz val="11"/>
        <color theme="1"/>
        <rFont val="宋体"/>
        <charset val="134"/>
      </rPr>
      <t>三线制测量方式</t>
    </r>
  </si>
  <si>
    <r>
      <rPr>
        <sz val="11"/>
        <color theme="1"/>
        <rFont val="宋体"/>
        <charset val="134"/>
      </rPr>
      <t>四线制测量方式</t>
    </r>
  </si>
  <si>
    <t>2D</t>
  </si>
  <si>
    <t>3D</t>
  </si>
  <si>
    <t>4D</t>
  </si>
  <si>
    <t>5D</t>
  </si>
  <si>
    <t>6D</t>
  </si>
  <si>
    <t>7D</t>
  </si>
  <si>
    <r>
      <rPr>
        <sz val="11"/>
        <color theme="1"/>
        <rFont val="宋体"/>
        <charset val="134"/>
      </rPr>
      <t>三线制热电阻</t>
    </r>
  </si>
  <si>
    <r>
      <rPr>
        <sz val="11"/>
        <color theme="1"/>
        <rFont val="Times New Roman"/>
        <charset val="134"/>
      </rPr>
      <t>RTD</t>
    </r>
    <r>
      <rPr>
        <sz val="11"/>
        <color theme="1"/>
        <rFont val="宋体"/>
        <charset val="134"/>
      </rPr>
      <t>补偿端（</t>
    </r>
    <r>
      <rPr>
        <sz val="11"/>
        <color theme="1"/>
        <rFont val="Times New Roman"/>
        <charset val="134"/>
      </rPr>
      <t>C</t>
    </r>
    <r>
      <rPr>
        <sz val="11"/>
        <color theme="1"/>
        <rFont val="宋体"/>
        <charset val="134"/>
      </rPr>
      <t>）</t>
    </r>
  </si>
  <si>
    <r>
      <rPr>
        <sz val="11"/>
        <color theme="1"/>
        <rFont val="宋体"/>
        <charset val="134"/>
      </rPr>
      <t>四线制热电阻</t>
    </r>
  </si>
  <si>
    <r>
      <rPr>
        <sz val="11"/>
        <color theme="1"/>
        <rFont val="Times New Roman"/>
        <charset val="134"/>
      </rPr>
      <t>RTD</t>
    </r>
    <r>
      <rPr>
        <sz val="11"/>
        <color theme="1"/>
        <rFont val="宋体"/>
        <charset val="134"/>
      </rPr>
      <t>补偿端（</t>
    </r>
    <r>
      <rPr>
        <sz val="11"/>
        <color theme="1"/>
        <rFont val="Times New Roman"/>
        <charset val="134"/>
      </rPr>
      <t>E</t>
    </r>
    <r>
      <rPr>
        <sz val="11"/>
        <color theme="1"/>
        <rFont val="宋体"/>
        <charset val="134"/>
      </rPr>
      <t>）</t>
    </r>
  </si>
  <si>
    <t>TC-S/R/B/
K/N/E/J/T…</t>
  </si>
  <si>
    <r>
      <rPr>
        <sz val="11"/>
        <color theme="1"/>
        <rFont val="宋体"/>
        <charset val="134"/>
      </rPr>
      <t>热电偶</t>
    </r>
  </si>
  <si>
    <r>
      <rPr>
        <sz val="11"/>
        <color theme="1"/>
        <rFont val="Times New Roman"/>
        <charset val="134"/>
      </rPr>
      <t>AO1</t>
    </r>
    <r>
      <rPr>
        <sz val="11"/>
        <color theme="1"/>
        <rFont val="宋体"/>
        <charset val="134"/>
      </rPr>
      <t>：板卡直供</t>
    </r>
    <r>
      <rPr>
        <sz val="11"/>
        <color theme="1"/>
        <rFont val="Times New Roman"/>
        <charset val="134"/>
      </rPr>
      <t>24VDC</t>
    </r>
  </si>
  <si>
    <r>
      <rPr>
        <sz val="11"/>
        <color theme="1"/>
        <rFont val="宋体"/>
        <charset val="134"/>
      </rPr>
      <t>两线制</t>
    </r>
  </si>
  <si>
    <t>RS485 C</t>
  </si>
  <si>
    <r>
      <rPr>
        <strike/>
        <sz val="11"/>
        <color theme="1"/>
        <rFont val="Times New Roman"/>
        <charset val="134"/>
      </rPr>
      <t>RS485C_P</t>
    </r>
    <r>
      <rPr>
        <strike/>
        <sz val="11"/>
        <color theme="1"/>
        <rFont val="宋体"/>
        <charset val="134"/>
      </rPr>
      <t>：</t>
    </r>
    <r>
      <rPr>
        <strike/>
        <sz val="11"/>
        <color theme="1"/>
        <rFont val="Times New Roman"/>
        <charset val="134"/>
      </rPr>
      <t>2</t>
    </r>
  </si>
  <si>
    <r>
      <rPr>
        <strike/>
        <sz val="11"/>
        <color theme="1"/>
        <rFont val="Times New Roman"/>
        <charset val="134"/>
      </rPr>
      <t>RS485C_N</t>
    </r>
    <r>
      <rPr>
        <strike/>
        <sz val="11"/>
        <color theme="1"/>
        <rFont val="宋体"/>
        <charset val="134"/>
      </rPr>
      <t>：</t>
    </r>
    <r>
      <rPr>
        <strike/>
        <sz val="11"/>
        <color theme="1"/>
        <rFont val="Times New Roman"/>
        <charset val="134"/>
      </rPr>
      <t>4</t>
    </r>
  </si>
  <si>
    <t>RS485 D</t>
  </si>
  <si>
    <r>
      <rPr>
        <strike/>
        <sz val="11"/>
        <color theme="1"/>
        <rFont val="Times New Roman"/>
        <charset val="134"/>
      </rPr>
      <t>RS485D_P</t>
    </r>
    <r>
      <rPr>
        <strike/>
        <sz val="11"/>
        <color theme="1"/>
        <rFont val="宋体"/>
        <charset val="134"/>
      </rPr>
      <t>：</t>
    </r>
    <r>
      <rPr>
        <strike/>
        <sz val="11"/>
        <color theme="1"/>
        <rFont val="Times New Roman"/>
        <charset val="134"/>
      </rPr>
      <t>6</t>
    </r>
  </si>
  <si>
    <r>
      <rPr>
        <strike/>
        <sz val="11"/>
        <color theme="1"/>
        <rFont val="Times New Roman"/>
        <charset val="134"/>
      </rPr>
      <t>RS485D_N</t>
    </r>
    <r>
      <rPr>
        <strike/>
        <sz val="11"/>
        <color theme="1"/>
        <rFont val="宋体"/>
        <charset val="134"/>
      </rPr>
      <t>：</t>
    </r>
    <r>
      <rPr>
        <strike/>
        <sz val="11"/>
        <color theme="1"/>
        <rFont val="Times New Roman"/>
        <charset val="134"/>
      </rPr>
      <t>8</t>
    </r>
  </si>
  <si>
    <r>
      <rPr>
        <sz val="11"/>
        <color theme="1"/>
        <rFont val="Times New Roman"/>
        <charset val="134"/>
      </rPr>
      <t>DCS</t>
    </r>
    <r>
      <rPr>
        <sz val="11"/>
        <color theme="1"/>
        <rFont val="宋体"/>
        <charset val="134"/>
      </rPr>
      <t>有源</t>
    </r>
    <r>
      <rPr>
        <sz val="11"/>
        <color theme="1"/>
        <rFont val="Times New Roman"/>
        <charset val="134"/>
      </rPr>
      <t xml:space="preserve">/
</t>
    </r>
    <r>
      <rPr>
        <sz val="11"/>
        <color theme="1"/>
        <rFont val="宋体"/>
        <charset val="134"/>
      </rPr>
      <t>现场无源</t>
    </r>
    <r>
      <rPr>
        <sz val="11"/>
        <color theme="1"/>
        <rFont val="Times New Roman"/>
        <charset val="134"/>
      </rPr>
      <t xml:space="preserve">/
</t>
    </r>
    <r>
      <rPr>
        <sz val="11"/>
        <color theme="1"/>
        <rFont val="宋体"/>
        <charset val="134"/>
      </rPr>
      <t>现场干触点</t>
    </r>
  </si>
  <si>
    <r>
      <rPr>
        <sz val="11"/>
        <color theme="1"/>
        <rFont val="Times New Roman"/>
        <charset val="134"/>
      </rPr>
      <t>DI1</t>
    </r>
    <r>
      <rPr>
        <sz val="11"/>
        <color theme="1"/>
        <rFont val="宋体"/>
        <charset val="134"/>
      </rPr>
      <t>：板卡直供</t>
    </r>
    <r>
      <rPr>
        <sz val="11"/>
        <color theme="1"/>
        <rFont val="Times New Roman"/>
        <charset val="134"/>
      </rPr>
      <t>24VDC
DI2</t>
    </r>
    <r>
      <rPr>
        <sz val="11"/>
        <color theme="1"/>
        <rFont val="宋体"/>
        <charset val="134"/>
      </rPr>
      <t>：柜内独立</t>
    </r>
    <r>
      <rPr>
        <sz val="11"/>
        <color theme="1"/>
        <rFont val="Times New Roman"/>
        <charset val="134"/>
      </rPr>
      <t>24VDC</t>
    </r>
    <r>
      <rPr>
        <sz val="11"/>
        <color theme="1"/>
        <rFont val="宋体"/>
        <charset val="134"/>
      </rPr>
      <t>供中间继电器触点回路</t>
    </r>
    <r>
      <rPr>
        <sz val="11"/>
        <color theme="1"/>
        <rFont val="Times New Roman"/>
        <charset val="134"/>
      </rPr>
      <t xml:space="preserve">
DI3</t>
    </r>
    <r>
      <rPr>
        <sz val="11"/>
        <color theme="1"/>
        <rFont val="宋体"/>
        <charset val="134"/>
      </rPr>
      <t>：柜内独立</t>
    </r>
    <r>
      <rPr>
        <sz val="11"/>
        <color theme="1"/>
        <rFont val="Times New Roman"/>
        <charset val="134"/>
      </rPr>
      <t>220VAC</t>
    </r>
    <r>
      <rPr>
        <sz val="11"/>
        <color theme="1"/>
        <rFont val="宋体"/>
        <charset val="134"/>
      </rPr>
      <t>供中间继电器触点回路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宋体"/>
        <charset val="134"/>
      </rPr>
      <t>中间继电器线圈回路可由</t>
    </r>
    <r>
      <rPr>
        <sz val="11"/>
        <color theme="1"/>
        <rFont val="Times New Roman"/>
        <charset val="134"/>
      </rPr>
      <t>TB222</t>
    </r>
    <r>
      <rPr>
        <sz val="11"/>
        <color theme="1"/>
        <rFont val="宋体"/>
        <charset val="134"/>
      </rPr>
      <t>供电</t>
    </r>
  </si>
  <si>
    <r>
      <rPr>
        <sz val="11"/>
        <color theme="1"/>
        <rFont val="Times New Roman"/>
        <charset val="134"/>
      </rPr>
      <t>1</t>
    </r>
    <r>
      <rPr>
        <sz val="11"/>
        <color theme="1"/>
        <rFont val="宋体"/>
        <charset val="134"/>
      </rPr>
      <t>：</t>
    </r>
    <r>
      <rPr>
        <sz val="11"/>
        <color theme="1"/>
        <rFont val="Times New Roman"/>
        <charset val="134"/>
      </rPr>
      <t>“</t>
    </r>
    <r>
      <rPr>
        <sz val="11"/>
        <color theme="1"/>
        <rFont val="宋体"/>
        <charset val="134"/>
      </rPr>
      <t>组态</t>
    </r>
    <r>
      <rPr>
        <sz val="11"/>
        <color theme="1"/>
        <rFont val="Times New Roman"/>
        <charset val="134"/>
      </rPr>
      <t>1</t>
    </r>
    <r>
      <rPr>
        <sz val="11"/>
        <color theme="1"/>
        <rFont val="宋体"/>
        <charset val="134"/>
      </rPr>
      <t>有效</t>
    </r>
    <r>
      <rPr>
        <sz val="11"/>
        <color theme="1"/>
        <rFont val="Times New Roman"/>
        <charset val="134"/>
      </rPr>
      <t>”
0</t>
    </r>
    <r>
      <rPr>
        <sz val="11"/>
        <color theme="1"/>
        <rFont val="宋体"/>
        <charset val="134"/>
      </rPr>
      <t>：</t>
    </r>
    <r>
      <rPr>
        <sz val="11"/>
        <color theme="1"/>
        <rFont val="Times New Roman"/>
        <charset val="134"/>
      </rPr>
      <t>“</t>
    </r>
    <r>
      <rPr>
        <sz val="11"/>
        <color theme="1"/>
        <rFont val="宋体"/>
        <charset val="134"/>
      </rPr>
      <t>组态</t>
    </r>
    <r>
      <rPr>
        <sz val="11"/>
        <color theme="1"/>
        <rFont val="Times New Roman"/>
        <charset val="134"/>
      </rPr>
      <t>0</t>
    </r>
    <r>
      <rPr>
        <sz val="11"/>
        <color theme="1"/>
        <rFont val="宋体"/>
        <charset val="134"/>
      </rPr>
      <t>有效</t>
    </r>
    <r>
      <rPr>
        <sz val="11"/>
        <color theme="1"/>
        <rFont val="Times New Roman"/>
        <charset val="134"/>
      </rPr>
      <t>”</t>
    </r>
  </si>
  <si>
    <t>9A</t>
  </si>
  <si>
    <t>9B</t>
  </si>
  <si>
    <t>10A</t>
  </si>
  <si>
    <t>10B</t>
  </si>
  <si>
    <t>11A</t>
  </si>
  <si>
    <t>11B</t>
  </si>
  <si>
    <t>12A</t>
  </si>
  <si>
    <t>12B</t>
  </si>
  <si>
    <t>13A</t>
  </si>
  <si>
    <t>13B</t>
  </si>
  <si>
    <t>14A</t>
  </si>
  <si>
    <t>14B</t>
  </si>
  <si>
    <t>15A</t>
  </si>
  <si>
    <t>15B</t>
  </si>
  <si>
    <t>16A</t>
  </si>
  <si>
    <t>16B</t>
  </si>
  <si>
    <r>
      <rPr>
        <sz val="11"/>
        <color theme="1"/>
        <rFont val="Times New Roman"/>
        <charset val="134"/>
      </rPr>
      <t>DCS</t>
    </r>
    <r>
      <rPr>
        <sz val="11"/>
        <color theme="1"/>
        <rFont val="宋体"/>
        <charset val="134"/>
      </rPr>
      <t>无源</t>
    </r>
    <r>
      <rPr>
        <sz val="11"/>
        <color theme="1"/>
        <rFont val="Times New Roman"/>
        <charset val="134"/>
      </rPr>
      <t xml:space="preserve">/
</t>
    </r>
    <r>
      <rPr>
        <sz val="11"/>
        <color theme="1"/>
        <rFont val="宋体"/>
        <charset val="134"/>
      </rPr>
      <t>现场有源</t>
    </r>
    <r>
      <rPr>
        <sz val="11"/>
        <color theme="1"/>
        <rFont val="Times New Roman"/>
        <charset val="134"/>
      </rPr>
      <t xml:space="preserve">/
</t>
    </r>
    <r>
      <rPr>
        <sz val="11"/>
        <color theme="1"/>
        <rFont val="宋体"/>
        <charset val="134"/>
      </rPr>
      <t>现场湿触点</t>
    </r>
  </si>
  <si>
    <r>
      <rPr>
        <sz val="11"/>
        <color theme="1"/>
        <rFont val="Times New Roman"/>
        <charset val="134"/>
      </rPr>
      <t>DI4</t>
    </r>
    <r>
      <rPr>
        <sz val="11"/>
        <color theme="1"/>
        <rFont val="宋体"/>
        <charset val="134"/>
      </rPr>
      <t>：柜外</t>
    </r>
    <r>
      <rPr>
        <sz val="11"/>
        <color theme="1"/>
        <rFont val="Times New Roman"/>
        <charset val="134"/>
      </rPr>
      <t>24VDC</t>
    </r>
    <r>
      <rPr>
        <sz val="11"/>
        <color theme="1"/>
        <rFont val="宋体"/>
        <charset val="134"/>
      </rPr>
      <t>供中间继电器触点回路</t>
    </r>
    <r>
      <rPr>
        <sz val="11"/>
        <color theme="1"/>
        <rFont val="Times New Roman"/>
        <charset val="134"/>
      </rPr>
      <t xml:space="preserve">
DI5</t>
    </r>
    <r>
      <rPr>
        <sz val="11"/>
        <color theme="1"/>
        <rFont val="宋体"/>
        <charset val="134"/>
      </rPr>
      <t>：柜外</t>
    </r>
    <r>
      <rPr>
        <sz val="11"/>
        <color theme="1"/>
        <rFont val="Times New Roman"/>
        <charset val="134"/>
      </rPr>
      <t>220VAC</t>
    </r>
    <r>
      <rPr>
        <sz val="11"/>
        <color theme="1"/>
        <rFont val="宋体"/>
        <charset val="134"/>
      </rPr>
      <t>供中间继电器触点回路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宋体"/>
        <charset val="134"/>
      </rPr>
      <t>中间继电器线圈回路需柜内独立供电</t>
    </r>
  </si>
  <si>
    <r>
      <rPr>
        <sz val="11"/>
        <color theme="1"/>
        <rFont val="Times New Roman"/>
        <charset val="134"/>
      </rPr>
      <t>DCS</t>
    </r>
    <r>
      <rPr>
        <sz val="11"/>
        <color theme="1"/>
        <rFont val="宋体"/>
        <charset val="134"/>
      </rPr>
      <t>有源</t>
    </r>
    <r>
      <rPr>
        <sz val="11"/>
        <color theme="1"/>
        <rFont val="Times New Roman"/>
        <charset val="134"/>
      </rPr>
      <t xml:space="preserve">/
</t>
    </r>
    <r>
      <rPr>
        <sz val="11"/>
        <color theme="1"/>
        <rFont val="宋体"/>
        <charset val="134"/>
      </rPr>
      <t>现场无源</t>
    </r>
  </si>
  <si>
    <r>
      <rPr>
        <sz val="11"/>
        <color theme="1"/>
        <rFont val="Times New Roman"/>
        <charset val="134"/>
      </rPr>
      <t>DO1</t>
    </r>
    <r>
      <rPr>
        <sz val="11"/>
        <color theme="1"/>
        <rFont val="宋体"/>
        <charset val="134"/>
      </rPr>
      <t>：板卡直供</t>
    </r>
    <r>
      <rPr>
        <sz val="11"/>
        <color theme="1"/>
        <rFont val="Times New Roman"/>
        <charset val="134"/>
      </rPr>
      <t>24VDC
DO2</t>
    </r>
    <r>
      <rPr>
        <sz val="11"/>
        <color theme="1"/>
        <rFont val="宋体"/>
        <charset val="134"/>
      </rPr>
      <t>：柜内独立</t>
    </r>
    <r>
      <rPr>
        <sz val="11"/>
        <color theme="1"/>
        <rFont val="Times New Roman"/>
        <charset val="134"/>
      </rPr>
      <t>24VDC</t>
    </r>
    <r>
      <rPr>
        <sz val="11"/>
        <color theme="1"/>
        <rFont val="宋体"/>
        <charset val="134"/>
      </rPr>
      <t>供中间继电器触点回路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宋体"/>
        <charset val="134"/>
      </rPr>
      <t>（现场设备功率较小时，仅使用</t>
    </r>
    <r>
      <rPr>
        <sz val="11"/>
        <color theme="1"/>
        <rFont val="Times New Roman"/>
        <charset val="134"/>
      </rPr>
      <t>TB233</t>
    </r>
    <r>
      <rPr>
        <sz val="11"/>
        <color theme="1"/>
        <rFont val="宋体"/>
        <charset val="134"/>
      </rPr>
      <t>自带继电器即为</t>
    </r>
    <r>
      <rPr>
        <sz val="11"/>
        <color theme="1"/>
        <rFont val="Times New Roman"/>
        <charset val="134"/>
      </rPr>
      <t>DO2</t>
    </r>
    <r>
      <rPr>
        <sz val="11"/>
        <color theme="1"/>
        <rFont val="宋体"/>
        <charset val="134"/>
      </rPr>
      <t>，</t>
    </r>
    <r>
      <rPr>
        <sz val="11"/>
        <color theme="1"/>
        <rFont val="Times New Roman"/>
        <charset val="134"/>
      </rPr>
      <t>TB233</t>
    </r>
    <r>
      <rPr>
        <sz val="11"/>
        <color theme="1"/>
        <rFont val="宋体"/>
        <charset val="134"/>
      </rPr>
      <t>自带继电器不能屏蔽，因此严格来说龙鳍无</t>
    </r>
    <r>
      <rPr>
        <sz val="11"/>
        <color theme="1"/>
        <rFont val="Times New Roman"/>
        <charset val="134"/>
      </rPr>
      <t>DO1</t>
    </r>
    <r>
      <rPr>
        <sz val="11"/>
        <color theme="1"/>
        <rFont val="宋体"/>
        <charset val="134"/>
      </rPr>
      <t>接法）</t>
    </r>
  </si>
  <si>
    <r>
      <rPr>
        <sz val="11"/>
        <color theme="1"/>
        <rFont val="Times New Roman"/>
        <charset val="134"/>
      </rPr>
      <t>1</t>
    </r>
    <r>
      <rPr>
        <sz val="11"/>
        <color theme="1"/>
        <rFont val="宋体"/>
        <charset val="134"/>
      </rPr>
      <t>：</t>
    </r>
    <r>
      <rPr>
        <sz val="11"/>
        <color theme="1"/>
        <rFont val="Times New Roman"/>
        <charset val="134"/>
      </rPr>
      <t>“</t>
    </r>
    <r>
      <rPr>
        <sz val="11"/>
        <color theme="1"/>
        <rFont val="宋体"/>
        <charset val="134"/>
      </rPr>
      <t>常闭</t>
    </r>
    <r>
      <rPr>
        <sz val="11"/>
        <color theme="1"/>
        <rFont val="Times New Roman"/>
        <charset val="134"/>
      </rPr>
      <t>”</t>
    </r>
    <r>
      <rPr>
        <sz val="11"/>
        <color theme="1"/>
        <rFont val="宋体"/>
        <charset val="134"/>
      </rPr>
      <t>或</t>
    </r>
    <r>
      <rPr>
        <sz val="11"/>
        <color theme="1"/>
        <rFont val="Times New Roman"/>
        <charset val="134"/>
      </rPr>
      <t>“</t>
    </r>
    <r>
      <rPr>
        <sz val="11"/>
        <color theme="1"/>
        <rFont val="宋体"/>
        <charset val="134"/>
      </rPr>
      <t>组态</t>
    </r>
    <r>
      <rPr>
        <sz val="11"/>
        <color theme="1"/>
        <rFont val="Times New Roman"/>
        <charset val="134"/>
      </rPr>
      <t>1</t>
    </r>
    <r>
      <rPr>
        <sz val="11"/>
        <color theme="1"/>
        <rFont val="宋体"/>
        <charset val="134"/>
      </rPr>
      <t>有效</t>
    </r>
    <r>
      <rPr>
        <sz val="11"/>
        <color theme="1"/>
        <rFont val="Times New Roman"/>
        <charset val="134"/>
      </rPr>
      <t>”
0</t>
    </r>
    <r>
      <rPr>
        <sz val="11"/>
        <color theme="1"/>
        <rFont val="宋体"/>
        <charset val="134"/>
      </rPr>
      <t>：</t>
    </r>
    <r>
      <rPr>
        <sz val="11"/>
        <color theme="1"/>
        <rFont val="Times New Roman"/>
        <charset val="134"/>
      </rPr>
      <t>“</t>
    </r>
    <r>
      <rPr>
        <sz val="11"/>
        <color theme="1"/>
        <rFont val="宋体"/>
        <charset val="134"/>
      </rPr>
      <t>常开</t>
    </r>
    <r>
      <rPr>
        <sz val="11"/>
        <color theme="1"/>
        <rFont val="Times New Roman"/>
        <charset val="134"/>
      </rPr>
      <t>”</t>
    </r>
    <r>
      <rPr>
        <sz val="11"/>
        <color theme="1"/>
        <rFont val="宋体"/>
        <charset val="134"/>
      </rPr>
      <t>或</t>
    </r>
    <r>
      <rPr>
        <sz val="11"/>
        <color theme="1"/>
        <rFont val="Times New Roman"/>
        <charset val="134"/>
      </rPr>
      <t>“</t>
    </r>
    <r>
      <rPr>
        <sz val="11"/>
        <color theme="1"/>
        <rFont val="宋体"/>
        <charset val="134"/>
      </rPr>
      <t>组态</t>
    </r>
    <r>
      <rPr>
        <sz val="11"/>
        <color theme="1"/>
        <rFont val="Times New Roman"/>
        <charset val="134"/>
      </rPr>
      <t>0</t>
    </r>
    <r>
      <rPr>
        <sz val="11"/>
        <color theme="1"/>
        <rFont val="宋体"/>
        <charset val="134"/>
      </rPr>
      <t>有效</t>
    </r>
    <r>
      <rPr>
        <sz val="11"/>
        <color theme="1"/>
        <rFont val="Times New Roman"/>
        <charset val="134"/>
      </rPr>
      <t>”</t>
    </r>
  </si>
  <si>
    <r>
      <rPr>
        <sz val="11"/>
        <color theme="1"/>
        <rFont val="宋体"/>
        <charset val="134"/>
      </rPr>
      <t>常开</t>
    </r>
    <r>
      <rPr>
        <sz val="11"/>
        <color theme="1"/>
        <rFont val="Times New Roman"/>
        <charset val="134"/>
      </rPr>
      <t>+</t>
    </r>
    <r>
      <rPr>
        <sz val="11"/>
        <color theme="1"/>
        <rFont val="宋体"/>
        <charset val="134"/>
      </rPr>
      <t>端</t>
    </r>
  </si>
  <si>
    <r>
      <rPr>
        <sz val="11"/>
        <color theme="1"/>
        <rFont val="宋体"/>
        <charset val="134"/>
      </rPr>
      <t>常闭</t>
    </r>
    <r>
      <rPr>
        <sz val="11"/>
        <color theme="1"/>
        <rFont val="Times New Roman"/>
        <charset val="134"/>
      </rPr>
      <t>+</t>
    </r>
    <r>
      <rPr>
        <sz val="11"/>
        <color theme="1"/>
        <rFont val="宋体"/>
        <charset val="134"/>
      </rPr>
      <t>端</t>
    </r>
  </si>
  <si>
    <r>
      <rPr>
        <sz val="11"/>
        <color theme="1"/>
        <rFont val="Times New Roman"/>
        <charset val="134"/>
      </rPr>
      <t xml:space="preserve"> -</t>
    </r>
    <r>
      <rPr>
        <sz val="11"/>
        <color theme="1"/>
        <rFont val="宋体"/>
        <charset val="134"/>
      </rPr>
      <t>端</t>
    </r>
  </si>
  <si>
    <t>9C</t>
  </si>
  <si>
    <t>10C</t>
  </si>
  <si>
    <t>11C</t>
  </si>
  <si>
    <t>12C</t>
  </si>
  <si>
    <t>13C</t>
  </si>
  <si>
    <t>14C</t>
  </si>
  <si>
    <t>15C</t>
  </si>
  <si>
    <t>16C</t>
  </si>
  <si>
    <r>
      <rPr>
        <sz val="11"/>
        <color theme="1"/>
        <rFont val="Times New Roman"/>
        <charset val="134"/>
      </rPr>
      <t>DO2</t>
    </r>
    <r>
      <rPr>
        <sz val="11"/>
        <color theme="1"/>
        <rFont val="宋体"/>
        <charset val="134"/>
      </rPr>
      <t>：柜内独立</t>
    </r>
    <r>
      <rPr>
        <sz val="11"/>
        <color theme="1"/>
        <rFont val="Times New Roman"/>
        <charset val="134"/>
      </rPr>
      <t>24VDC</t>
    </r>
    <r>
      <rPr>
        <sz val="11"/>
        <color theme="1"/>
        <rFont val="宋体"/>
        <charset val="134"/>
      </rPr>
      <t>供中间继电器触点回路</t>
    </r>
    <r>
      <rPr>
        <sz val="11"/>
        <color theme="1"/>
        <rFont val="Times New Roman"/>
        <charset val="134"/>
      </rPr>
      <t xml:space="preserve">
</t>
    </r>
    <r>
      <rPr>
        <sz val="11"/>
        <color theme="1"/>
        <rFont val="宋体"/>
        <charset val="134"/>
      </rPr>
      <t>（现场设备功率较大时，使用大功率中间继电器）</t>
    </r>
  </si>
  <si>
    <r>
      <rPr>
        <sz val="11"/>
        <color theme="1"/>
        <rFont val="宋体"/>
        <charset val="134"/>
      </rPr>
      <t>根据实际独立大功率继电器的端接填写</t>
    </r>
  </si>
  <si>
    <r>
      <rPr>
        <sz val="11"/>
        <color theme="1"/>
        <rFont val="Times New Roman"/>
        <charset val="134"/>
      </rPr>
      <t>DO3</t>
    </r>
    <r>
      <rPr>
        <sz val="11"/>
        <color theme="1"/>
        <rFont val="宋体"/>
        <charset val="134"/>
      </rPr>
      <t>：柜内独立</t>
    </r>
    <r>
      <rPr>
        <sz val="11"/>
        <color theme="1"/>
        <rFont val="Times New Roman"/>
        <charset val="134"/>
      </rPr>
      <t>220VAC</t>
    </r>
    <r>
      <rPr>
        <sz val="11"/>
        <color theme="1"/>
        <rFont val="宋体"/>
        <charset val="134"/>
      </rPr>
      <t>供中间继电器触点回路</t>
    </r>
  </si>
  <si>
    <r>
      <rPr>
        <sz val="11"/>
        <color theme="1"/>
        <rFont val="Times New Roman"/>
        <charset val="134"/>
      </rPr>
      <t>DCS</t>
    </r>
    <r>
      <rPr>
        <sz val="11"/>
        <color theme="1"/>
        <rFont val="宋体"/>
        <charset val="134"/>
      </rPr>
      <t>无源</t>
    </r>
    <r>
      <rPr>
        <sz val="11"/>
        <color theme="1"/>
        <rFont val="Times New Roman"/>
        <charset val="134"/>
      </rPr>
      <t xml:space="preserve">/
</t>
    </r>
    <r>
      <rPr>
        <sz val="11"/>
        <color theme="1"/>
        <rFont val="宋体"/>
        <charset val="134"/>
      </rPr>
      <t>现场有源</t>
    </r>
  </si>
  <si>
    <r>
      <rPr>
        <sz val="11"/>
        <color theme="1"/>
        <rFont val="Times New Roman"/>
        <charset val="134"/>
      </rPr>
      <t>DO4</t>
    </r>
    <r>
      <rPr>
        <sz val="11"/>
        <color theme="1"/>
        <rFont val="宋体"/>
        <charset val="134"/>
      </rPr>
      <t>：柜外</t>
    </r>
    <r>
      <rPr>
        <sz val="11"/>
        <color theme="1"/>
        <rFont val="Times New Roman"/>
        <charset val="134"/>
      </rPr>
      <t>24VDC</t>
    </r>
    <r>
      <rPr>
        <sz val="11"/>
        <color theme="1"/>
        <rFont val="宋体"/>
        <charset val="134"/>
      </rPr>
      <t>供中间继电器触点回路</t>
    </r>
    <r>
      <rPr>
        <sz val="11"/>
        <color theme="1"/>
        <rFont val="Times New Roman"/>
        <charset val="134"/>
      </rPr>
      <t xml:space="preserve">
DO5</t>
    </r>
    <r>
      <rPr>
        <sz val="11"/>
        <color theme="1"/>
        <rFont val="宋体"/>
        <charset val="134"/>
      </rPr>
      <t>：柜外</t>
    </r>
    <r>
      <rPr>
        <sz val="11"/>
        <color theme="1"/>
        <rFont val="Times New Roman"/>
        <charset val="134"/>
      </rPr>
      <t>220VAC</t>
    </r>
    <r>
      <rPr>
        <sz val="11"/>
        <color theme="1"/>
        <rFont val="宋体"/>
        <charset val="134"/>
      </rPr>
      <t>供中间继电器触点回路</t>
    </r>
  </si>
  <si>
    <r>
      <rPr>
        <sz val="11"/>
        <color theme="1"/>
        <rFont val="宋体"/>
        <charset val="134"/>
      </rPr>
      <t>脉冲</t>
    </r>
  </si>
  <si>
    <r>
      <rPr>
        <sz val="11"/>
        <color theme="1"/>
        <rFont val="Times New Roman"/>
        <charset val="134"/>
      </rPr>
      <t>P1</t>
    </r>
    <r>
      <rPr>
        <sz val="11"/>
        <color theme="1"/>
        <rFont val="宋体"/>
        <charset val="134"/>
      </rPr>
      <t>：柜内</t>
    </r>
    <r>
      <rPr>
        <sz val="11"/>
        <color theme="1"/>
        <rFont val="Times New Roman"/>
        <charset val="134"/>
      </rPr>
      <t>24VDC</t>
    </r>
    <r>
      <rPr>
        <sz val="11"/>
        <color theme="1"/>
        <rFont val="宋体"/>
        <charset val="134"/>
      </rPr>
      <t>单独供电</t>
    </r>
    <r>
      <rPr>
        <sz val="11"/>
        <color theme="1"/>
        <rFont val="Times New Roman"/>
        <charset val="134"/>
      </rPr>
      <t xml:space="preserve">
P2</t>
    </r>
    <r>
      <rPr>
        <sz val="11"/>
        <color theme="1"/>
        <rFont val="宋体"/>
        <charset val="134"/>
      </rPr>
      <t>：柜内</t>
    </r>
    <r>
      <rPr>
        <sz val="11"/>
        <color theme="1"/>
        <rFont val="Times New Roman"/>
        <charset val="134"/>
      </rPr>
      <t>220VAC</t>
    </r>
    <r>
      <rPr>
        <sz val="11"/>
        <color theme="1"/>
        <rFont val="宋体"/>
        <charset val="134"/>
      </rPr>
      <t>单独供电</t>
    </r>
    <r>
      <rPr>
        <sz val="11"/>
        <color theme="1"/>
        <rFont val="Times New Roman"/>
        <charset val="134"/>
      </rPr>
      <t xml:space="preserve">
P3</t>
    </r>
    <r>
      <rPr>
        <sz val="11"/>
        <color theme="1"/>
        <rFont val="宋体"/>
        <charset val="134"/>
      </rPr>
      <t>：柜内不供电</t>
    </r>
  </si>
  <si>
    <t>--</t>
  </si>
  <si>
    <t>RTU</t>
  </si>
  <si>
    <r>
      <rPr>
        <sz val="11"/>
        <color theme="1"/>
        <rFont val="Times New Roman"/>
        <charset val="134"/>
      </rPr>
      <t>RS485</t>
    </r>
    <r>
      <rPr>
        <sz val="11"/>
        <color theme="1"/>
        <rFont val="宋体"/>
        <charset val="134"/>
      </rPr>
      <t>通讯接线</t>
    </r>
  </si>
  <si>
    <r>
      <rPr>
        <sz val="11"/>
        <color theme="1"/>
        <rFont val="宋体"/>
        <charset val="134"/>
      </rPr>
      <t>通道</t>
    </r>
  </si>
  <si>
    <r>
      <rPr>
        <sz val="11"/>
        <color theme="1"/>
        <rFont val="宋体"/>
        <charset val="134"/>
      </rPr>
      <t>差分线</t>
    </r>
    <r>
      <rPr>
        <sz val="11"/>
        <color theme="1"/>
        <rFont val="Times New Roman"/>
        <charset val="134"/>
      </rPr>
      <t>A</t>
    </r>
  </si>
  <si>
    <r>
      <rPr>
        <sz val="11"/>
        <color theme="1"/>
        <rFont val="宋体"/>
        <charset val="134"/>
      </rPr>
      <t>差分线</t>
    </r>
    <r>
      <rPr>
        <sz val="11"/>
        <color theme="1"/>
        <rFont val="Times New Roman"/>
        <charset val="134"/>
      </rPr>
      <t>B</t>
    </r>
  </si>
  <si>
    <t>GND</t>
  </si>
  <si>
    <r>
      <rPr>
        <sz val="11"/>
        <color theme="1"/>
        <rFont val="宋体"/>
        <charset val="134"/>
      </rPr>
      <t>总线</t>
    </r>
    <r>
      <rPr>
        <sz val="11"/>
        <color theme="1"/>
        <rFont val="Times New Roman"/>
        <charset val="134"/>
      </rPr>
      <t>1/CH1</t>
    </r>
  </si>
  <si>
    <r>
      <rPr>
        <sz val="11"/>
        <color theme="1"/>
        <rFont val="宋体"/>
        <charset val="134"/>
      </rPr>
      <t>总线</t>
    </r>
    <r>
      <rPr>
        <sz val="11"/>
        <color theme="1"/>
        <rFont val="Times New Roman"/>
        <charset val="134"/>
      </rPr>
      <t>2/CH2</t>
    </r>
  </si>
  <si>
    <t>修改内容</t>
  </si>
  <si>
    <t>修改人</t>
  </si>
  <si>
    <t>修改日期</t>
  </si>
  <si>
    <t>修改《IO分站清单》表中T、U、V列接线端子中的公式，增加TB271接线端子判断</t>
  </si>
  <si>
    <t>刘国鑫</t>
  </si>
  <si>
    <t>修改《IO分站清单》板卡类型、端子板型号、编号、信号端子、供电方式列公式；增加AOH接线端子判断；
AI2/AI3/DO3类型供电方式改为DCS；
DP信号接线端子改为省略号“--”格式；</t>
  </si>
  <si>
    <t>尹晨旭</t>
  </si>
  <si>
    <t>G1</t>
  </si>
  <si>
    <t>修改《板卡清单》地址、板卡类型、编号、端子板类型、编号列公式，修改板卡描述，恢复电源板卡编号；
板卡统计中删除AO212、AI231类型，为辅助子项增加AI212类型；</t>
  </si>
  <si>
    <t>G2</t>
  </si>
  <si>
    <t>《IO分站清单》增加FF从站模块型号、模块编号、信号+（S+）、信号-（S-）</t>
  </si>
  <si>
    <t>G3</t>
  </si>
  <si>
    <t>修改《IO分站清单》表头，调整就地箱号列位置，删除P&amp;ID图号、隔离、远程IO、趋势、为0时状态、为1时状态、信号终点、注释列，增加修改说明列；
修改《填写说明》;
《板卡清单》增加修改说明列，修改公式引用范围；</t>
  </si>
  <si>
    <t>G4</t>
  </si>
  <si>
    <t>增加MD211端子GND接线；
更新AI232端子接线说明；
去除信号有效方式列计算公式；
修改《IO分站清单》标签名称列公式</t>
  </si>
  <si>
    <t>G5</t>
  </si>
  <si>
    <t>《IO分站清单》修改FF信号端子接线为1、2、S；
修改FF从站模块编号；
增加DI6类型信号</t>
  </si>
  <si>
    <t>G6</t>
  </si>
  <si>
    <t>《IO分站清单》增加OPC类型信号；
增加AI1NH~AI6NH非HART类型信号；
AO信号"供电方式"列公式不再引用"传感器类型"列信息；
《填写说明》添加板卡清单填写说明</t>
  </si>
  <si>
    <t>G7</t>
  </si>
  <si>
    <t>《板卡清单》修改冗余FF卡件端子板编号；
《IO分站清单》修改"OF - 显示格式"公式；
修改DI4、DI5类型信号端子板；
增加FF从站模块对四线制模拟信号，常闭开出信号的支持</t>
  </si>
  <si>
    <t>G8</t>
  </si>
  <si>
    <t>增加《机柜报警》工作表</t>
  </si>
  <si>
    <t>H1</t>
  </si>
  <si>
    <t>修改《板卡清单》板卡类型列公式</t>
  </si>
  <si>
    <t>H2</t>
  </si>
  <si>
    <t>1.统一两个平台《IO分站清单》列定义；
2.增加《修改记录》表；
3.《板卡清单》增加版本列；</t>
  </si>
  <si>
    <t>I1</t>
  </si>
  <si>
    <t>修改《填写说明》</t>
  </si>
  <si>
    <t>I2</t>
  </si>
  <si>
    <t>规范为核化工标准化模板</t>
  </si>
  <si>
    <t>V1.0</t>
  </si>
  <si>
    <t>刘跃锋</t>
  </si>
  <si>
    <t>修改FF信号浪涌保护器端子接线</t>
  </si>
  <si>
    <t>V1.1</t>
  </si>
</sst>
</file>

<file path=xl/styles.xml><?xml version="1.0" encoding="utf-8"?>
<styleSheet xmlns="http://schemas.openxmlformats.org/spreadsheetml/2006/main">
  <numFmts count="8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00"/>
    <numFmt numFmtId="177" formatCode="[$-409]mmm\-yy;@"/>
    <numFmt numFmtId="178" formatCode="yyyy/mm/dd"/>
    <numFmt numFmtId="179" formatCode="yyyy\-mm\-dd"/>
  </numFmts>
  <fonts count="56">
    <font>
      <sz val="11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1"/>
      <color theme="1"/>
      <name val="宋体"/>
      <charset val="134"/>
    </font>
    <font>
      <b/>
      <sz val="11"/>
      <color theme="1"/>
      <name val="Times New Roman"/>
      <charset val="134"/>
    </font>
    <font>
      <sz val="11"/>
      <color theme="1"/>
      <name val="Times New Roman"/>
      <charset val="134"/>
    </font>
    <font>
      <strike/>
      <sz val="11"/>
      <color theme="1"/>
      <name val="Times New Roman"/>
      <charset val="134"/>
    </font>
    <font>
      <sz val="11"/>
      <name val="Times New Roman"/>
      <charset val="134"/>
    </font>
    <font>
      <sz val="10"/>
      <color theme="1"/>
      <name val="Times New Roman"/>
      <charset val="134"/>
    </font>
    <font>
      <b/>
      <sz val="10"/>
      <color theme="1"/>
      <name val="Times New Roman"/>
      <charset val="134"/>
    </font>
    <font>
      <b/>
      <sz val="10"/>
      <color theme="1"/>
      <name val="宋体"/>
      <charset val="134"/>
    </font>
    <font>
      <b/>
      <sz val="10"/>
      <name val="宋体"/>
      <charset val="134"/>
    </font>
    <font>
      <sz val="10"/>
      <color theme="1"/>
      <name val="宋体"/>
      <charset val="134"/>
    </font>
    <font>
      <sz val="10"/>
      <name val="Times New Roman"/>
      <charset val="134"/>
    </font>
    <font>
      <b/>
      <sz val="10"/>
      <name val="Times New Roman"/>
      <charset val="134"/>
    </font>
    <font>
      <sz val="10"/>
      <name val="宋体"/>
      <charset val="134"/>
    </font>
    <font>
      <sz val="11"/>
      <color rgb="FFFF0000"/>
      <name val="宋体"/>
      <charset val="134"/>
    </font>
    <font>
      <sz val="11"/>
      <name val="宋体"/>
      <charset val="134"/>
    </font>
    <font>
      <sz val="10"/>
      <color rgb="FFFF0000"/>
      <name val="宋体"/>
      <charset val="134"/>
    </font>
    <font>
      <sz val="10"/>
      <color rgb="FFFF0000"/>
      <name val="Times New Roman"/>
      <charset val="134"/>
    </font>
    <font>
      <sz val="14"/>
      <name val="Times New Roman"/>
      <charset val="134"/>
    </font>
    <font>
      <sz val="14"/>
      <color theme="1"/>
      <name val="Times New Roman"/>
      <charset val="134"/>
    </font>
    <font>
      <sz val="12"/>
      <color theme="1"/>
      <name val="Times New Roman"/>
      <charset val="134"/>
    </font>
    <font>
      <sz val="12"/>
      <color theme="1"/>
      <name val="宋体"/>
      <charset val="134"/>
    </font>
    <font>
      <sz val="11"/>
      <color theme="1"/>
      <name val="宋体"/>
      <charset val="134"/>
    </font>
    <font>
      <sz val="16"/>
      <color theme="1"/>
      <name val="宋体"/>
      <charset val="134"/>
    </font>
    <font>
      <sz val="12"/>
      <color theme="1"/>
      <name val="等线"/>
      <charset val="134"/>
      <scheme val="minor"/>
    </font>
    <font>
      <b/>
      <sz val="14"/>
      <color theme="1"/>
      <name val="宋体"/>
      <charset val="134"/>
    </font>
    <font>
      <b/>
      <sz val="14"/>
      <color theme="1"/>
      <name val="Calibri"/>
      <charset val="134"/>
    </font>
    <font>
      <b/>
      <sz val="14"/>
      <color theme="1"/>
      <name val="Times New Roman"/>
      <charset val="134"/>
    </font>
    <font>
      <sz val="10.5"/>
      <color theme="1"/>
      <name val="Times New Roman"/>
      <charset val="134"/>
    </font>
    <font>
      <sz val="12"/>
      <color theme="1"/>
      <name val="Arial"/>
      <charset val="134"/>
    </font>
    <font>
      <sz val="11"/>
      <color theme="1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sz val="12"/>
      <name val="宋体"/>
      <charset val="134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6500"/>
      <name val="等线"/>
      <charset val="0"/>
      <scheme val="minor"/>
    </font>
    <font>
      <sz val="10"/>
      <name val="Arial"/>
      <charset val="134"/>
    </font>
    <font>
      <strike/>
      <sz val="11"/>
      <color theme="1"/>
      <name val="宋体"/>
      <charset val="134"/>
    </font>
    <font>
      <sz val="14"/>
      <name val="宋体"/>
      <charset val="134"/>
    </font>
    <font>
      <sz val="14"/>
      <color theme="1"/>
      <name val="宋体"/>
      <charset val="134"/>
    </font>
    <font>
      <sz val="10.5"/>
      <color theme="1"/>
      <name val="宋体"/>
      <charset val="134"/>
    </font>
  </fonts>
  <fills count="39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6"/>
        <bgColor indexed="64"/>
      </patternFill>
    </fill>
    <fill>
      <patternFill patternType="solid">
        <fgColor theme="8" tint="0.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3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9">
    <xf numFmtId="0" fontId="0" fillId="0" borderId="0"/>
    <xf numFmtId="42" fontId="0" fillId="0" borderId="0" applyFont="0" applyFill="0" applyBorder="0" applyAlignment="0" applyProtection="0">
      <alignment vertical="center"/>
    </xf>
    <xf numFmtId="0" fontId="31" fillId="8" borderId="0" applyNumberFormat="0" applyBorder="0" applyAlignment="0" applyProtection="0">
      <alignment vertical="center"/>
    </xf>
    <xf numFmtId="0" fontId="32" fillId="9" borderId="2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0" fontId="0" fillId="0" borderId="0"/>
    <xf numFmtId="41" fontId="0" fillId="0" borderId="0" applyFont="0" applyFill="0" applyBorder="0" applyAlignment="0" applyProtection="0">
      <alignment vertical="center"/>
    </xf>
    <xf numFmtId="0" fontId="31" fillId="10" borderId="0" applyNumberFormat="0" applyBorder="0" applyAlignment="0" applyProtection="0">
      <alignment vertical="center"/>
    </xf>
    <xf numFmtId="0" fontId="33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34" fillId="12" borderId="0" applyNumberFormat="0" applyBorder="0" applyAlignment="0" applyProtection="0">
      <alignment vertical="center"/>
    </xf>
    <xf numFmtId="0" fontId="35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36" fillId="0" borderId="0" applyNumberFormat="0" applyFill="0" applyBorder="0" applyAlignment="0" applyProtection="0">
      <alignment vertical="center"/>
    </xf>
    <xf numFmtId="0" fontId="0" fillId="13" borderId="26" applyNumberFormat="0" applyFont="0" applyAlignment="0" applyProtection="0">
      <alignment vertical="center"/>
    </xf>
    <xf numFmtId="0" fontId="34" fillId="14" borderId="0" applyNumberFormat="0" applyBorder="0" applyAlignment="0" applyProtection="0">
      <alignment vertical="center"/>
    </xf>
    <xf numFmtId="0" fontId="37" fillId="0" borderId="0" applyNumberFormat="0" applyFill="0" applyBorder="0" applyAlignment="0" applyProtection="0">
      <alignment vertical="center"/>
    </xf>
    <xf numFmtId="0" fontId="38" fillId="0" borderId="0" applyNumberFormat="0" applyFill="0" applyBorder="0" applyAlignment="0" applyProtection="0">
      <alignment vertical="center"/>
    </xf>
    <xf numFmtId="0" fontId="39" fillId="0" borderId="0" applyNumberFormat="0" applyFill="0" applyBorder="0" applyAlignment="0" applyProtection="0">
      <alignment vertical="center"/>
    </xf>
    <xf numFmtId="0" fontId="40" fillId="0" borderId="0" applyNumberFormat="0" applyFill="0" applyBorder="0" applyAlignment="0" applyProtection="0">
      <alignment vertical="center"/>
    </xf>
    <xf numFmtId="0" fontId="41" fillId="0" borderId="0"/>
    <xf numFmtId="0" fontId="42" fillId="0" borderId="27" applyNumberFormat="0" applyFill="0" applyAlignment="0" applyProtection="0">
      <alignment vertical="center"/>
    </xf>
    <xf numFmtId="0" fontId="43" fillId="0" borderId="27" applyNumberFormat="0" applyFill="0" applyAlignment="0" applyProtection="0">
      <alignment vertical="center"/>
    </xf>
    <xf numFmtId="0" fontId="34" fillId="15" borderId="0" applyNumberFormat="0" applyBorder="0" applyAlignment="0" applyProtection="0">
      <alignment vertical="center"/>
    </xf>
    <xf numFmtId="0" fontId="37" fillId="0" borderId="28" applyNumberFormat="0" applyFill="0" applyAlignment="0" applyProtection="0">
      <alignment vertical="center"/>
    </xf>
    <xf numFmtId="0" fontId="34" fillId="16" borderId="0" applyNumberFormat="0" applyBorder="0" applyAlignment="0" applyProtection="0">
      <alignment vertical="center"/>
    </xf>
    <xf numFmtId="0" fontId="44" fillId="17" borderId="29" applyNumberFormat="0" applyAlignment="0" applyProtection="0">
      <alignment vertical="center"/>
    </xf>
    <xf numFmtId="0" fontId="45" fillId="17" borderId="25" applyNumberFormat="0" applyAlignment="0" applyProtection="0">
      <alignment vertical="center"/>
    </xf>
    <xf numFmtId="0" fontId="46" fillId="18" borderId="30" applyNumberFormat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4" fillId="20" borderId="0" applyNumberFormat="0" applyBorder="0" applyAlignment="0" applyProtection="0">
      <alignment vertical="center"/>
    </xf>
    <xf numFmtId="0" fontId="47" fillId="0" borderId="31" applyNumberFormat="0" applyFill="0" applyAlignment="0" applyProtection="0">
      <alignment vertical="center"/>
    </xf>
    <xf numFmtId="0" fontId="48" fillId="0" borderId="32" applyNumberFormat="0" applyFill="0" applyAlignment="0" applyProtection="0">
      <alignment vertical="center"/>
    </xf>
    <xf numFmtId="0" fontId="49" fillId="21" borderId="0" applyNumberFormat="0" applyBorder="0" applyAlignment="0" applyProtection="0">
      <alignment vertical="center"/>
    </xf>
    <xf numFmtId="0" fontId="50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4" fillId="24" borderId="0" applyNumberFormat="0" applyBorder="0" applyAlignment="0" applyProtection="0">
      <alignment vertical="center"/>
    </xf>
    <xf numFmtId="0" fontId="31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1" fillId="28" borderId="0" applyNumberFormat="0" applyBorder="0" applyAlignment="0" applyProtection="0">
      <alignment vertical="center"/>
    </xf>
    <xf numFmtId="0" fontId="34" fillId="29" borderId="0" applyNumberFormat="0" applyBorder="0" applyAlignment="0" applyProtection="0">
      <alignment vertical="center"/>
    </xf>
    <xf numFmtId="0" fontId="51" fillId="0" borderId="0"/>
    <xf numFmtId="0" fontId="34" fillId="30" borderId="0" applyNumberFormat="0" applyBorder="0" applyAlignment="0" applyProtection="0">
      <alignment vertical="center"/>
    </xf>
    <xf numFmtId="0" fontId="31" fillId="31" borderId="0" applyNumberFormat="0" applyBorder="0" applyAlignment="0" applyProtection="0">
      <alignment vertical="center"/>
    </xf>
    <xf numFmtId="0" fontId="31" fillId="32" borderId="0" applyNumberFormat="0" applyBorder="0" applyAlignment="0" applyProtection="0">
      <alignment vertical="center"/>
    </xf>
    <xf numFmtId="0" fontId="34" fillId="33" borderId="0" applyNumberFormat="0" applyBorder="0" applyAlignment="0" applyProtection="0">
      <alignment vertical="center"/>
    </xf>
    <xf numFmtId="0" fontId="0" fillId="0" borderId="0">
      <alignment vertical="center"/>
    </xf>
    <xf numFmtId="0" fontId="31" fillId="34" borderId="0" applyNumberFormat="0" applyBorder="0" applyAlignment="0" applyProtection="0">
      <alignment vertical="center"/>
    </xf>
    <xf numFmtId="0" fontId="34" fillId="35" borderId="0" applyNumberFormat="0" applyBorder="0" applyAlignment="0" applyProtection="0">
      <alignment vertical="center"/>
    </xf>
    <xf numFmtId="0" fontId="34" fillId="36" borderId="0" applyNumberFormat="0" applyBorder="0" applyAlignment="0" applyProtection="0">
      <alignment vertical="center"/>
    </xf>
    <xf numFmtId="0" fontId="0" fillId="0" borderId="1"/>
    <xf numFmtId="0" fontId="31" fillId="37" borderId="0" applyNumberFormat="0" applyBorder="0" applyAlignment="0" applyProtection="0">
      <alignment vertical="center"/>
    </xf>
    <xf numFmtId="0" fontId="34" fillId="38" borderId="0" applyNumberFormat="0" applyBorder="0" applyAlignment="0" applyProtection="0">
      <alignment vertical="center"/>
    </xf>
    <xf numFmtId="0" fontId="0" fillId="0" borderId="1"/>
    <xf numFmtId="0" fontId="14" fillId="0" borderId="0"/>
    <xf numFmtId="0" fontId="0" fillId="0" borderId="0"/>
    <xf numFmtId="0" fontId="0" fillId="0" borderId="0">
      <alignment vertical="center"/>
    </xf>
    <xf numFmtId="0" fontId="0" fillId="0" borderId="0">
      <alignment vertical="center"/>
    </xf>
  </cellStyleXfs>
  <cellXfs count="322">
    <xf numFmtId="0" fontId="0" fillId="0" borderId="0" xfId="0"/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vertic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left" vertical="center" wrapText="1"/>
    </xf>
    <xf numFmtId="0" fontId="0" fillId="0" borderId="1" xfId="0" applyBorder="1" applyAlignment="1">
      <alignment horizontal="left"/>
    </xf>
    <xf numFmtId="0" fontId="0" fillId="0" borderId="1" xfId="0" applyBorder="1" applyAlignment="1">
      <alignment horizontal="left" wrapText="1"/>
    </xf>
    <xf numFmtId="0" fontId="0" fillId="0" borderId="1" xfId="0" applyFill="1" applyBorder="1" applyAlignment="1">
      <alignment horizontal="left" vertical="center" wrapText="1"/>
    </xf>
    <xf numFmtId="0" fontId="0" fillId="0" borderId="1" xfId="0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Fill="1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center"/>
    </xf>
    <xf numFmtId="0" fontId="4" fillId="0" borderId="5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 wrapText="1"/>
    </xf>
    <xf numFmtId="0" fontId="4" fillId="0" borderId="6" xfId="0" applyFont="1" applyBorder="1" applyAlignment="1">
      <alignment horizontal="center" vertical="center"/>
    </xf>
    <xf numFmtId="0" fontId="4" fillId="0" borderId="6" xfId="0" applyFont="1" applyBorder="1" applyAlignment="1">
      <alignment horizontal="center" vertical="center" wrapText="1"/>
    </xf>
    <xf numFmtId="0" fontId="4" fillId="0" borderId="7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" xfId="0" applyFont="1" applyBorder="1" applyAlignment="1">
      <alignment horizontal="center"/>
    </xf>
    <xf numFmtId="0" fontId="5" fillId="0" borderId="7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0" fontId="5" fillId="0" borderId="4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4" fillId="0" borderId="14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9" xfId="0" applyFont="1" applyBorder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7" fillId="0" borderId="0" xfId="56" applyFont="1" applyAlignment="1">
      <alignment horizontal="center" vertical="center"/>
    </xf>
    <xf numFmtId="0" fontId="7" fillId="0" borderId="0" xfId="56" applyFont="1" applyAlignment="1">
      <alignment vertical="center"/>
    </xf>
    <xf numFmtId="0" fontId="8" fillId="0" borderId="0" xfId="56" applyFont="1" applyAlignment="1">
      <alignment horizontal="center" vertical="center"/>
    </xf>
    <xf numFmtId="0" fontId="7" fillId="0" borderId="0" xfId="56" applyFont="1" applyFill="1" applyAlignment="1">
      <alignment horizontal="center" vertical="center"/>
    </xf>
    <xf numFmtId="0" fontId="9" fillId="0" borderId="1" xfId="56" applyFont="1" applyBorder="1" applyAlignment="1">
      <alignment horizontal="center" vertical="center"/>
    </xf>
    <xf numFmtId="0" fontId="9" fillId="0" borderId="1" xfId="56" applyFont="1" applyFill="1" applyBorder="1" applyAlignment="1">
      <alignment horizontal="center" vertical="center"/>
    </xf>
    <xf numFmtId="0" fontId="7" fillId="0" borderId="1" xfId="56" applyFont="1" applyBorder="1" applyAlignment="1">
      <alignment horizontal="center" vertical="center"/>
    </xf>
    <xf numFmtId="0" fontId="9" fillId="0" borderId="4" xfId="56" applyFont="1" applyBorder="1" applyAlignment="1">
      <alignment horizontal="center" vertical="center"/>
    </xf>
    <xf numFmtId="0" fontId="7" fillId="0" borderId="1" xfId="56" applyFont="1" applyFill="1" applyBorder="1" applyAlignment="1">
      <alignment horizontal="center" vertical="center"/>
    </xf>
    <xf numFmtId="0" fontId="10" fillId="2" borderId="1" xfId="0" applyFont="1" applyFill="1" applyBorder="1" applyAlignment="1">
      <alignment horizontal="center" vertical="center"/>
    </xf>
    <xf numFmtId="0" fontId="11" fillId="0" borderId="1" xfId="56" applyFont="1" applyBorder="1" applyAlignment="1">
      <alignment horizontal="center" vertical="center"/>
    </xf>
    <xf numFmtId="0" fontId="12" fillId="0" borderId="1" xfId="56" applyFont="1" applyFill="1" applyBorder="1" applyAlignment="1">
      <alignment horizontal="center" vertical="center"/>
    </xf>
    <xf numFmtId="0" fontId="9" fillId="0" borderId="5" xfId="56" applyFont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  <xf numFmtId="0" fontId="11" fillId="0" borderId="1" xfId="47" applyFont="1" applyFill="1" applyBorder="1" applyAlignment="1">
      <alignment horizontal="center" vertical="center"/>
    </xf>
    <xf numFmtId="0" fontId="7" fillId="0" borderId="1" xfId="47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1" fillId="0" borderId="1" xfId="47" applyFont="1" applyFill="1" applyBorder="1" applyAlignment="1">
      <alignment horizontal="center" vertical="center" wrapText="1"/>
    </xf>
    <xf numFmtId="0" fontId="11" fillId="0" borderId="1" xfId="56" applyFont="1" applyFill="1" applyBorder="1" applyAlignment="1">
      <alignment horizontal="center" vertical="center"/>
    </xf>
    <xf numFmtId="176" fontId="12" fillId="0" borderId="1" xfId="54" applyNumberFormat="1" applyFont="1" applyFill="1" applyBorder="1" applyAlignment="1">
      <alignment horizontal="center" vertical="center"/>
    </xf>
    <xf numFmtId="0" fontId="7" fillId="0" borderId="22" xfId="56" applyFont="1" applyBorder="1" applyAlignment="1">
      <alignment horizontal="center" vertical="center"/>
    </xf>
    <xf numFmtId="0" fontId="9" fillId="0" borderId="23" xfId="56" applyFont="1" applyBorder="1" applyAlignment="1">
      <alignment horizontal="center" vertical="center"/>
    </xf>
    <xf numFmtId="0" fontId="7" fillId="0" borderId="22" xfId="56" applyFont="1" applyFill="1" applyBorder="1" applyAlignment="1">
      <alignment horizontal="center" vertical="center"/>
    </xf>
    <xf numFmtId="0" fontId="10" fillId="3" borderId="22" xfId="0" applyFont="1" applyFill="1" applyBorder="1" applyAlignment="1">
      <alignment horizontal="center" vertical="center"/>
    </xf>
    <xf numFmtId="0" fontId="11" fillId="0" borderId="22" xfId="47" applyFont="1" applyFill="1" applyBorder="1" applyAlignment="1">
      <alignment horizontal="center" vertical="center"/>
    </xf>
    <xf numFmtId="0" fontId="7" fillId="0" borderId="22" xfId="47" applyFont="1" applyFill="1" applyBorder="1" applyAlignment="1">
      <alignment horizontal="center" vertical="center"/>
    </xf>
    <xf numFmtId="0" fontId="11" fillId="0" borderId="22" xfId="47" applyFont="1" applyFill="1" applyBorder="1" applyAlignment="1">
      <alignment horizontal="center" vertical="center" wrapText="1"/>
    </xf>
    <xf numFmtId="0" fontId="8" fillId="0" borderId="24" xfId="56" applyFont="1" applyBorder="1" applyAlignment="1">
      <alignment horizontal="center" vertical="center"/>
    </xf>
    <xf numFmtId="0" fontId="8" fillId="0" borderId="24" xfId="56" applyFont="1" applyFill="1" applyBorder="1" applyAlignment="1">
      <alignment horizontal="center" vertical="center"/>
    </xf>
    <xf numFmtId="0" fontId="7" fillId="0" borderId="6" xfId="56" applyFont="1" applyBorder="1" applyAlignment="1">
      <alignment horizontal="center" vertical="center"/>
    </xf>
    <xf numFmtId="0" fontId="8" fillId="0" borderId="5" xfId="56" applyFont="1" applyBorder="1" applyAlignment="1">
      <alignment horizontal="center" vertical="center"/>
    </xf>
    <xf numFmtId="0" fontId="13" fillId="2" borderId="6" xfId="0" applyFont="1" applyFill="1" applyBorder="1" applyAlignment="1">
      <alignment horizontal="center" vertical="center" wrapText="1"/>
    </xf>
    <xf numFmtId="0" fontId="11" fillId="0" borderId="6" xfId="56" applyFont="1" applyBorder="1" applyAlignment="1">
      <alignment horizontal="center" vertical="center"/>
    </xf>
    <xf numFmtId="0" fontId="12" fillId="0" borderId="6" xfId="56" applyFont="1" applyFill="1" applyBorder="1" applyAlignment="1">
      <alignment horizontal="center" vertical="center"/>
    </xf>
    <xf numFmtId="0" fontId="7" fillId="0" borderId="6" xfId="56" applyFont="1" applyBorder="1" applyAlignment="1">
      <alignment vertical="center"/>
    </xf>
    <xf numFmtId="0" fontId="13" fillId="3" borderId="1" xfId="0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 wrapText="1"/>
    </xf>
    <xf numFmtId="0" fontId="7" fillId="0" borderId="1" xfId="56" applyFont="1" applyBorder="1" applyAlignment="1">
      <alignment vertical="center"/>
    </xf>
    <xf numFmtId="49" fontId="13" fillId="3" borderId="1" xfId="0" applyNumberFormat="1" applyFont="1" applyFill="1" applyBorder="1" applyAlignment="1">
      <alignment horizontal="center" vertical="center" wrapText="1"/>
    </xf>
    <xf numFmtId="49" fontId="12" fillId="0" borderId="1" xfId="0" applyNumberFormat="1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2" fillId="0" borderId="1" xfId="54" applyFont="1" applyFill="1" applyBorder="1" applyAlignment="1">
      <alignment horizontal="center" vertical="center"/>
    </xf>
    <xf numFmtId="0" fontId="14" fillId="0" borderId="1" xfId="56" applyFont="1" applyFill="1" applyBorder="1" applyAlignment="1">
      <alignment horizontal="center" vertical="center" wrapText="1"/>
    </xf>
    <xf numFmtId="0" fontId="12" fillId="0" borderId="1" xfId="0" applyFont="1" applyFill="1" applyBorder="1" applyAlignment="1">
      <alignment horizontal="center" vertical="center"/>
    </xf>
    <xf numFmtId="0" fontId="13" fillId="4" borderId="1" xfId="0" applyFont="1" applyFill="1" applyBorder="1" applyAlignment="1">
      <alignment horizontal="center" vertical="center" wrapText="1"/>
    </xf>
    <xf numFmtId="0" fontId="12" fillId="0" borderId="1" xfId="54" applyFont="1" applyFill="1" applyBorder="1" applyAlignment="1">
      <alignment horizontal="center" vertical="center" wrapText="1"/>
    </xf>
    <xf numFmtId="176" fontId="13" fillId="3" borderId="1" xfId="0" applyNumberFormat="1" applyFont="1" applyFill="1" applyBorder="1" applyAlignment="1">
      <alignment horizontal="center" vertical="center" wrapText="1"/>
    </xf>
    <xf numFmtId="0" fontId="11" fillId="0" borderId="1" xfId="56" applyFont="1" applyBorder="1" applyAlignment="1">
      <alignment vertical="center"/>
    </xf>
    <xf numFmtId="0" fontId="11" fillId="0" borderId="1" xfId="56" applyFont="1" applyBorder="1" applyAlignment="1">
      <alignment vertical="center" wrapText="1"/>
    </xf>
    <xf numFmtId="0" fontId="13" fillId="0" borderId="1" xfId="54" applyFont="1" applyFill="1" applyBorder="1" applyAlignment="1">
      <alignment horizontal="center" vertical="center" wrapText="1"/>
    </xf>
    <xf numFmtId="0" fontId="13" fillId="2" borderId="1" xfId="54" applyFont="1" applyFill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/>
    </xf>
    <xf numFmtId="0" fontId="14" fillId="0" borderId="1" xfId="54" applyFont="1" applyFill="1" applyBorder="1" applyAlignment="1">
      <alignment horizontal="center" vertical="center"/>
    </xf>
    <xf numFmtId="0" fontId="13" fillId="4" borderId="1" xfId="56" applyFont="1" applyFill="1" applyBorder="1" applyAlignment="1">
      <alignment horizontal="center" vertical="center" wrapText="1"/>
    </xf>
    <xf numFmtId="177" fontId="13" fillId="3" borderId="1" xfId="0" applyNumberFormat="1" applyFont="1" applyFill="1" applyBorder="1" applyAlignment="1">
      <alignment horizontal="center" vertical="center" wrapText="1"/>
    </xf>
    <xf numFmtId="0" fontId="11" fillId="0" borderId="1" xfId="56" applyFont="1" applyFill="1" applyBorder="1" applyAlignment="1">
      <alignment vertical="center"/>
    </xf>
    <xf numFmtId="0" fontId="13" fillId="3" borderId="1" xfId="56" applyFont="1" applyFill="1" applyBorder="1" applyAlignment="1">
      <alignment horizontal="center" vertical="center" wrapText="1"/>
    </xf>
    <xf numFmtId="0" fontId="14" fillId="0" borderId="1" xfId="56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 wrapText="1"/>
    </xf>
    <xf numFmtId="0" fontId="12" fillId="0" borderId="1" xfId="56" applyFont="1" applyFill="1" applyBorder="1" applyAlignment="1">
      <alignment horizontal="center" vertical="center" wrapText="1"/>
    </xf>
    <xf numFmtId="0" fontId="9" fillId="0" borderId="0" xfId="56" applyFont="1" applyFill="1" applyBorder="1" applyAlignment="1">
      <alignment vertical="center"/>
    </xf>
    <xf numFmtId="0" fontId="7" fillId="3" borderId="0" xfId="56" applyFont="1" applyFill="1" applyBorder="1" applyAlignment="1">
      <alignment vertical="center"/>
    </xf>
    <xf numFmtId="0" fontId="7" fillId="4" borderId="0" xfId="56" applyFont="1" applyFill="1" applyBorder="1" applyAlignment="1">
      <alignment vertical="center"/>
    </xf>
    <xf numFmtId="0" fontId="7" fillId="2" borderId="0" xfId="56" applyFont="1" applyFill="1" applyBorder="1" applyAlignment="1">
      <alignment vertical="center"/>
    </xf>
    <xf numFmtId="0" fontId="7" fillId="0" borderId="0" xfId="56" applyFont="1" applyFill="1" applyBorder="1" applyAlignment="1">
      <alignment vertical="center"/>
    </xf>
    <xf numFmtId="0" fontId="8" fillId="0" borderId="0" xfId="56" applyFont="1" applyFill="1" applyBorder="1" applyAlignment="1">
      <alignment vertical="center"/>
    </xf>
    <xf numFmtId="0" fontId="6" fillId="0" borderId="0" xfId="0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left" vertical="center"/>
    </xf>
    <xf numFmtId="49" fontId="6" fillId="0" borderId="0" xfId="0" applyNumberFormat="1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 vertical="center"/>
    </xf>
    <xf numFmtId="176" fontId="6" fillId="0" borderId="0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0" fontId="8" fillId="0" borderId="23" xfId="56" applyFont="1" applyBorder="1" applyAlignment="1">
      <alignment horizontal="center" vertical="center"/>
    </xf>
    <xf numFmtId="0" fontId="10" fillId="2" borderId="22" xfId="0" applyFont="1" applyFill="1" applyBorder="1" applyAlignment="1">
      <alignment horizontal="center" vertical="center" wrapText="1"/>
    </xf>
    <xf numFmtId="0" fontId="11" fillId="0" borderId="22" xfId="56" applyFont="1" applyBorder="1" applyAlignment="1">
      <alignment horizontal="center" vertical="center"/>
    </xf>
    <xf numFmtId="0" fontId="12" fillId="0" borderId="22" xfId="56" applyFont="1" applyFill="1" applyBorder="1" applyAlignment="1">
      <alignment horizontal="center" vertical="center" wrapText="1"/>
    </xf>
    <xf numFmtId="0" fontId="7" fillId="0" borderId="22" xfId="56" applyFont="1" applyFill="1" applyBorder="1" applyAlignment="1">
      <alignment vertical="center"/>
    </xf>
    <xf numFmtId="0" fontId="7" fillId="0" borderId="24" xfId="56" applyFont="1" applyBorder="1" applyAlignment="1">
      <alignment horizontal="center" vertical="center"/>
    </xf>
    <xf numFmtId="0" fontId="7" fillId="0" borderId="24" xfId="56" applyFont="1" applyFill="1" applyBorder="1" applyAlignment="1">
      <alignment horizontal="center" vertical="center"/>
    </xf>
    <xf numFmtId="0" fontId="7" fillId="0" borderId="24" xfId="56" applyFont="1" applyBorder="1" applyAlignment="1">
      <alignment vertical="center"/>
    </xf>
    <xf numFmtId="0" fontId="7" fillId="0" borderId="6" xfId="56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0" borderId="4" xfId="56" applyFont="1" applyBorder="1" applyAlignment="1">
      <alignment horizontal="center" vertical="center"/>
    </xf>
    <xf numFmtId="0" fontId="7" fillId="0" borderId="1" xfId="47" applyFont="1" applyFill="1" applyBorder="1" applyAlignment="1">
      <alignment horizontal="center" vertical="center" wrapText="1"/>
    </xf>
    <xf numFmtId="0" fontId="13" fillId="3" borderId="22" xfId="0" applyFont="1" applyFill="1" applyBorder="1" applyAlignment="1">
      <alignment horizontal="center" vertical="center"/>
    </xf>
    <xf numFmtId="0" fontId="7" fillId="0" borderId="22" xfId="47" applyFont="1" applyFill="1" applyBorder="1" applyAlignment="1">
      <alignment horizontal="left" vertical="center"/>
    </xf>
    <xf numFmtId="0" fontId="7" fillId="0" borderId="22" xfId="47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6" fillId="0" borderId="0" xfId="0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16" fillId="0" borderId="0" xfId="0" applyFont="1" applyAlignment="1">
      <alignment horizontal="center" vertical="center"/>
    </xf>
    <xf numFmtId="176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 wrapText="1"/>
    </xf>
    <xf numFmtId="0" fontId="12" fillId="0" borderId="0" xfId="0" applyFont="1" applyFill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6" fillId="5" borderId="3" xfId="0" applyFont="1" applyFill="1" applyBorder="1" applyAlignment="1">
      <alignment horizontal="center" vertical="center"/>
    </xf>
    <xf numFmtId="0" fontId="6" fillId="5" borderId="7" xfId="0" applyFont="1" applyFill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/>
    </xf>
    <xf numFmtId="0" fontId="16" fillId="5" borderId="1" xfId="0" applyFont="1" applyFill="1" applyBorder="1" applyAlignment="1">
      <alignment horizontal="center" vertical="center"/>
    </xf>
    <xf numFmtId="0" fontId="12" fillId="6" borderId="1" xfId="0" applyFont="1" applyFill="1" applyBorder="1" applyAlignment="1">
      <alignment horizontal="center" vertical="center" wrapText="1"/>
    </xf>
    <xf numFmtId="49" fontId="12" fillId="6" borderId="1" xfId="0" applyNumberFormat="1" applyFont="1" applyFill="1" applyBorder="1" applyAlignment="1">
      <alignment horizontal="center" vertical="center" wrapText="1"/>
    </xf>
    <xf numFmtId="0" fontId="12" fillId="6" borderId="1" xfId="0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center" vertical="center" wrapText="1"/>
    </xf>
    <xf numFmtId="0" fontId="12" fillId="6" borderId="1" xfId="54" applyFont="1" applyFill="1" applyBorder="1" applyAlignment="1">
      <alignment horizontal="center" vertical="center" wrapText="1"/>
    </xf>
    <xf numFmtId="0" fontId="14" fillId="0" borderId="1" xfId="0" applyFont="1" applyFill="1" applyBorder="1" applyAlignment="1">
      <alignment horizontal="center" vertical="center"/>
    </xf>
    <xf numFmtId="0" fontId="14" fillId="6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 wrapText="1"/>
    </xf>
    <xf numFmtId="49" fontId="12" fillId="7" borderId="1" xfId="0" applyNumberFormat="1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/>
    </xf>
    <xf numFmtId="0" fontId="14" fillId="7" borderId="1" xfId="0" applyFont="1" applyFill="1" applyBorder="1" applyAlignment="1">
      <alignment horizontal="center" vertical="center"/>
    </xf>
    <xf numFmtId="0" fontId="12" fillId="7" borderId="1" xfId="54" applyFont="1" applyFill="1" applyBorder="1" applyAlignment="1">
      <alignment horizontal="center" vertical="center" wrapText="1"/>
    </xf>
    <xf numFmtId="0" fontId="6" fillId="0" borderId="1" xfId="0" applyFont="1" applyFill="1" applyBorder="1" applyAlignment="1">
      <alignment horizontal="center" vertical="center"/>
    </xf>
    <xf numFmtId="176" fontId="6" fillId="5" borderId="1" xfId="0" applyNumberFormat="1" applyFont="1" applyFill="1" applyBorder="1" applyAlignment="1">
      <alignment horizontal="center" vertical="center"/>
    </xf>
    <xf numFmtId="49" fontId="6" fillId="0" borderId="1" xfId="0" applyNumberFormat="1" applyFont="1" applyBorder="1" applyAlignment="1">
      <alignment horizontal="center" vertical="center"/>
    </xf>
    <xf numFmtId="176" fontId="6" fillId="0" borderId="1" xfId="0" applyNumberFormat="1" applyFont="1" applyBorder="1" applyAlignment="1">
      <alignment horizontal="center" vertical="center"/>
    </xf>
    <xf numFmtId="176" fontId="10" fillId="3" borderId="1" xfId="0" applyNumberFormat="1" applyFont="1" applyFill="1" applyBorder="1" applyAlignment="1">
      <alignment horizontal="center" vertical="center" wrapText="1"/>
    </xf>
    <xf numFmtId="0" fontId="12" fillId="6" borderId="1" xfId="54" applyFont="1" applyFill="1" applyBorder="1" applyAlignment="1">
      <alignment horizontal="center" vertical="center"/>
    </xf>
    <xf numFmtId="49" fontId="12" fillId="6" borderId="1" xfId="54" applyNumberFormat="1" applyFont="1" applyFill="1" applyBorder="1" applyAlignment="1">
      <alignment horizontal="center" vertical="center" wrapText="1"/>
    </xf>
    <xf numFmtId="49" fontId="12" fillId="0" borderId="1" xfId="54" applyNumberFormat="1" applyFont="1" applyFill="1" applyBorder="1" applyAlignment="1">
      <alignment horizontal="center" vertical="center" wrapText="1"/>
    </xf>
    <xf numFmtId="0" fontId="12" fillId="7" borderId="1" xfId="54" applyFont="1" applyFill="1" applyBorder="1" applyAlignment="1">
      <alignment horizontal="center" vertical="center"/>
    </xf>
    <xf numFmtId="0" fontId="12" fillId="7" borderId="1" xfId="54" applyNumberFormat="1" applyFont="1" applyFill="1" applyBorder="1" applyAlignment="1">
      <alignment horizontal="center" vertical="center" wrapText="1"/>
    </xf>
    <xf numFmtId="0" fontId="12" fillId="0" borderId="1" xfId="54" applyNumberFormat="1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5" borderId="1" xfId="0" applyFont="1" applyFill="1" applyBorder="1" applyAlignment="1">
      <alignment horizontal="center" vertical="center" wrapText="1"/>
    </xf>
    <xf numFmtId="0" fontId="14" fillId="6" borderId="1" xfId="54" applyFont="1" applyFill="1" applyBorder="1" applyAlignment="1">
      <alignment horizontal="center" vertical="center" wrapText="1"/>
    </xf>
    <xf numFmtId="176" fontId="12" fillId="6" borderId="1" xfId="54" applyNumberFormat="1" applyFont="1" applyFill="1" applyBorder="1" applyAlignment="1">
      <alignment horizontal="center" vertical="center"/>
    </xf>
    <xf numFmtId="0" fontId="14" fillId="0" borderId="1" xfId="54" applyFont="1" applyFill="1" applyBorder="1" applyAlignment="1">
      <alignment horizontal="center" vertical="center" wrapText="1"/>
    </xf>
    <xf numFmtId="0" fontId="17" fillId="0" borderId="1" xfId="54" applyFont="1" applyFill="1" applyBorder="1" applyAlignment="1">
      <alignment horizontal="center" vertical="center" wrapText="1"/>
    </xf>
    <xf numFmtId="0" fontId="18" fillId="6" borderId="1" xfId="54" applyFont="1" applyFill="1" applyBorder="1" applyAlignment="1">
      <alignment horizontal="center" vertical="center" wrapText="1"/>
    </xf>
    <xf numFmtId="0" fontId="17" fillId="0" borderId="1" xfId="54" applyFont="1" applyFill="1" applyBorder="1" applyAlignment="1">
      <alignment horizontal="center" vertical="center"/>
    </xf>
    <xf numFmtId="0" fontId="17" fillId="6" borderId="1" xfId="54" applyFont="1" applyFill="1" applyBorder="1" applyAlignment="1">
      <alignment horizontal="center" vertical="center"/>
    </xf>
    <xf numFmtId="0" fontId="14" fillId="6" borderId="1" xfId="54" applyFont="1" applyFill="1" applyBorder="1" applyAlignment="1">
      <alignment horizontal="center" vertical="center"/>
    </xf>
    <xf numFmtId="0" fontId="14" fillId="7" borderId="1" xfId="54" applyFont="1" applyFill="1" applyBorder="1" applyAlignment="1">
      <alignment horizontal="center" vertical="center" wrapText="1"/>
    </xf>
    <xf numFmtId="176" fontId="12" fillId="7" borderId="1" xfId="54" applyNumberFormat="1" applyFont="1" applyFill="1" applyBorder="1" applyAlignment="1">
      <alignment horizontal="center" vertical="center"/>
    </xf>
    <xf numFmtId="176" fontId="18" fillId="0" borderId="1" xfId="54" applyNumberFormat="1" applyFont="1" applyFill="1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 wrapText="1"/>
    </xf>
    <xf numFmtId="0" fontId="10" fillId="0" borderId="1" xfId="0" applyFont="1" applyFill="1" applyBorder="1" applyAlignment="1">
      <alignment horizontal="center" vertical="center" wrapText="1"/>
    </xf>
    <xf numFmtId="0" fontId="10" fillId="7" borderId="1" xfId="0" applyFont="1" applyFill="1" applyBorder="1" applyAlignment="1">
      <alignment horizontal="center" vertical="center" wrapText="1"/>
    </xf>
    <xf numFmtId="0" fontId="6" fillId="7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0" fontId="10" fillId="2" borderId="1" xfId="0" applyFont="1" applyFill="1" applyBorder="1" applyAlignment="1">
      <alignment horizontal="center" vertical="center" wrapText="1"/>
    </xf>
    <xf numFmtId="49" fontId="12" fillId="7" borderId="1" xfId="54" applyNumberFormat="1" applyFont="1" applyFill="1" applyBorder="1" applyAlignment="1">
      <alignment horizontal="center" vertical="center" wrapText="1"/>
    </xf>
    <xf numFmtId="0" fontId="6" fillId="6" borderId="1" xfId="0" applyFont="1" applyFill="1" applyBorder="1" applyAlignment="1">
      <alignment horizontal="center" vertical="center"/>
    </xf>
    <xf numFmtId="49" fontId="18" fillId="0" borderId="1" xfId="54" applyNumberFormat="1" applyFont="1" applyFill="1" applyBorder="1" applyAlignment="1">
      <alignment horizontal="center" vertical="center" wrapText="1"/>
    </xf>
    <xf numFmtId="0" fontId="18" fillId="0" borderId="1" xfId="54" applyFont="1" applyFill="1" applyBorder="1" applyAlignment="1">
      <alignment horizontal="center" vertical="center" wrapText="1"/>
    </xf>
    <xf numFmtId="0" fontId="4" fillId="0" borderId="0" xfId="0" applyFont="1"/>
    <xf numFmtId="0" fontId="4" fillId="0" borderId="0" xfId="0" applyFont="1" applyAlignment="1">
      <alignment vertical="center"/>
    </xf>
    <xf numFmtId="0" fontId="13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2" xfId="0" applyFont="1" applyFill="1" applyBorder="1" applyAlignment="1">
      <alignment horizontal="center" vertical="center" wrapText="1"/>
    </xf>
    <xf numFmtId="0" fontId="12" fillId="0" borderId="6" xfId="0" applyFont="1" applyBorder="1" applyAlignment="1">
      <alignment horizontal="center" vertical="center"/>
    </xf>
    <xf numFmtId="0" fontId="12" fillId="0" borderId="6" xfId="0" applyFont="1" applyFill="1" applyBorder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2" fillId="0" borderId="22" xfId="0" applyFont="1" applyBorder="1" applyAlignment="1">
      <alignment horizontal="center" vertical="center" wrapText="1"/>
    </xf>
    <xf numFmtId="0" fontId="6" fillId="0" borderId="0" xfId="0" applyFont="1"/>
    <xf numFmtId="0" fontId="19" fillId="0" borderId="2" xfId="0" applyFont="1" applyBorder="1" applyAlignment="1">
      <alignment horizontal="center" vertical="center"/>
    </xf>
    <xf numFmtId="0" fontId="19" fillId="0" borderId="3" xfId="0" applyFont="1" applyBorder="1" applyAlignment="1">
      <alignment horizontal="center" vertical="center"/>
    </xf>
    <xf numFmtId="0" fontId="19" fillId="0" borderId="1" xfId="0" applyFont="1" applyBorder="1" applyAlignment="1">
      <alignment horizontal="center" vertical="center"/>
    </xf>
    <xf numFmtId="0" fontId="20" fillId="0" borderId="1" xfId="0" applyFont="1" applyFill="1" applyBorder="1" applyAlignment="1">
      <alignment horizontal="center" vertical="center"/>
    </xf>
    <xf numFmtId="0" fontId="20" fillId="0" borderId="4" xfId="0" applyFont="1" applyFill="1" applyBorder="1" applyAlignment="1">
      <alignment horizontal="center" vertical="center"/>
    </xf>
    <xf numFmtId="0" fontId="4" fillId="0" borderId="6" xfId="0" applyFont="1" applyFill="1" applyBorder="1" applyAlignment="1">
      <alignment horizontal="center" vertical="center"/>
    </xf>
    <xf numFmtId="0" fontId="19" fillId="0" borderId="0" xfId="0" applyFont="1" applyBorder="1" applyAlignment="1">
      <alignment horizontal="center" vertical="center"/>
    </xf>
    <xf numFmtId="0" fontId="20" fillId="0" borderId="0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19" fillId="0" borderId="4" xfId="0" applyFont="1" applyBorder="1" applyAlignment="1">
      <alignment horizontal="center" vertical="center"/>
    </xf>
    <xf numFmtId="0" fontId="20" fillId="0" borderId="6" xfId="0" applyFont="1" applyBorder="1" applyAlignment="1">
      <alignment horizontal="center" vertical="center"/>
    </xf>
    <xf numFmtId="0" fontId="19" fillId="0" borderId="6" xfId="0" applyFont="1" applyBorder="1" applyAlignment="1">
      <alignment horizontal="center" vertical="center"/>
    </xf>
    <xf numFmtId="0" fontId="20" fillId="0" borderId="5" xfId="0" applyFont="1" applyBorder="1" applyAlignment="1">
      <alignment horizontal="center" vertical="center"/>
    </xf>
    <xf numFmtId="0" fontId="19" fillId="0" borderId="5" xfId="0" applyFont="1" applyBorder="1" applyAlignment="1">
      <alignment horizontal="center" vertical="center"/>
    </xf>
    <xf numFmtId="0" fontId="20" fillId="0" borderId="0" xfId="0" applyFont="1" applyBorder="1" applyAlignment="1">
      <alignment horizontal="center" vertical="center"/>
    </xf>
    <xf numFmtId="0" fontId="21" fillId="0" borderId="20" xfId="54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4" fillId="0" borderId="6" xfId="54" applyFont="1" applyFill="1" applyBorder="1" applyAlignment="1">
      <alignment horizontal="center" vertical="center" wrapText="1"/>
    </xf>
    <xf numFmtId="0" fontId="4" fillId="0" borderId="1" xfId="54" applyFont="1" applyFill="1" applyBorder="1" applyAlignment="1">
      <alignment horizontal="center" vertical="center" wrapText="1"/>
    </xf>
    <xf numFmtId="178" fontId="4" fillId="0" borderId="1" xfId="54" applyNumberFormat="1" applyFont="1" applyFill="1" applyBorder="1" applyAlignment="1">
      <alignment horizontal="center" vertical="center" wrapText="1"/>
    </xf>
    <xf numFmtId="0" fontId="23" fillId="0" borderId="1" xfId="54" applyFont="1" applyFill="1" applyBorder="1" applyAlignment="1">
      <alignment horizontal="center" vertical="center" wrapText="1"/>
    </xf>
    <xf numFmtId="0" fontId="23" fillId="0" borderId="1" xfId="54" applyFont="1" applyFill="1" applyBorder="1" applyAlignment="1">
      <alignment horizontal="left" vertical="center" wrapText="1"/>
    </xf>
    <xf numFmtId="0" fontId="4" fillId="0" borderId="1" xfId="0" applyFont="1" applyBorder="1"/>
    <xf numFmtId="0" fontId="0" fillId="0" borderId="0" xfId="57" applyAlignment="1">
      <alignment horizontal="center" vertical="center"/>
    </xf>
    <xf numFmtId="0" fontId="24" fillId="0" borderId="0" xfId="57" applyFont="1" applyAlignment="1">
      <alignment horizontal="center" vertical="center"/>
    </xf>
    <xf numFmtId="0" fontId="20" fillId="0" borderId="1" xfId="57" applyFont="1" applyBorder="1" applyAlignment="1">
      <alignment horizontal="center" vertical="center"/>
    </xf>
    <xf numFmtId="0" fontId="21" fillId="0" borderId="1" xfId="57" applyFont="1" applyBorder="1" applyAlignment="1">
      <alignment horizontal="center" vertical="center"/>
    </xf>
    <xf numFmtId="0" fontId="21" fillId="0" borderId="1" xfId="57" applyFont="1" applyBorder="1" applyAlignment="1">
      <alignment horizontal="center" vertical="center" wrapText="1"/>
    </xf>
    <xf numFmtId="0" fontId="4" fillId="0" borderId="1" xfId="57" applyFont="1" applyBorder="1" applyAlignment="1">
      <alignment horizontal="center" vertical="center"/>
    </xf>
    <xf numFmtId="0" fontId="22" fillId="0" borderId="0" xfId="57" applyFont="1" applyAlignment="1">
      <alignment horizontal="center" vertical="center"/>
    </xf>
    <xf numFmtId="0" fontId="0" fillId="0" borderId="0" xfId="57" applyAlignment="1"/>
    <xf numFmtId="0" fontId="21" fillId="0" borderId="0" xfId="57" applyFont="1" applyAlignment="1">
      <alignment horizontal="center" vertical="center"/>
    </xf>
    <xf numFmtId="0" fontId="0" fillId="0" borderId="0" xfId="54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0" fillId="0" borderId="0" xfId="54" applyBorder="1"/>
    <xf numFmtId="0" fontId="21" fillId="0" borderId="0" xfId="54" applyFont="1" applyBorder="1" applyAlignment="1">
      <alignment horizontal="center" vertical="center" wrapText="1"/>
    </xf>
    <xf numFmtId="0" fontId="0" fillId="0" borderId="4" xfId="5" applyBorder="1" applyAlignment="1">
      <alignment horizontal="center"/>
    </xf>
    <xf numFmtId="0" fontId="25" fillId="0" borderId="4" xfId="5" applyFont="1" applyBorder="1" applyAlignment="1">
      <alignment horizontal="center" wrapText="1"/>
    </xf>
    <xf numFmtId="0" fontId="21" fillId="0" borderId="4" xfId="5" applyFont="1" applyBorder="1" applyAlignment="1">
      <alignment horizontal="center" wrapText="1"/>
    </xf>
    <xf numFmtId="0" fontId="25" fillId="0" borderId="1" xfId="5" applyFont="1" applyBorder="1" applyAlignment="1">
      <alignment horizontal="center" wrapText="1"/>
    </xf>
    <xf numFmtId="0" fontId="21" fillId="0" borderId="6" xfId="5" applyFont="1" applyBorder="1" applyAlignment="1">
      <alignment horizontal="center" vertical="top" wrapText="1"/>
    </xf>
    <xf numFmtId="0" fontId="21" fillId="0" borderId="1" xfId="5" applyFont="1" applyBorder="1" applyAlignment="1">
      <alignment horizontal="center" vertical="top" wrapText="1"/>
    </xf>
    <xf numFmtId="0" fontId="0" fillId="0" borderId="1" xfId="54" applyAlignment="1">
      <alignment horizontal="center" vertical="center"/>
    </xf>
    <xf numFmtId="0" fontId="4" fillId="0" borderId="1" xfId="54" applyFont="1" applyAlignment="1">
      <alignment horizontal="center" vertical="center" wrapText="1"/>
    </xf>
    <xf numFmtId="179" fontId="4" fillId="0" borderId="1" xfId="54" applyNumberFormat="1" applyFont="1" applyAlignment="1">
      <alignment horizontal="center" vertical="center" wrapText="1"/>
    </xf>
    <xf numFmtId="0" fontId="23" fillId="0" borderId="1" xfId="54" applyFont="1" applyAlignment="1">
      <alignment horizontal="center" vertical="center" wrapText="1"/>
    </xf>
    <xf numFmtId="0" fontId="23" fillId="0" borderId="1" xfId="54" applyFont="1" applyAlignment="1">
      <alignment horizontal="left" vertical="center" wrapText="1"/>
    </xf>
    <xf numFmtId="0" fontId="0" fillId="0" borderId="0" xfId="0" applyFont="1"/>
    <xf numFmtId="0" fontId="21" fillId="0" borderId="14" xfId="54" applyFont="1" applyBorder="1" applyAlignment="1">
      <alignment horizontal="center" vertical="center" wrapText="1"/>
    </xf>
    <xf numFmtId="0" fontId="21" fillId="0" borderId="18" xfId="54" applyFont="1" applyBorder="1" applyAlignment="1">
      <alignment horizontal="center" vertical="center" wrapText="1"/>
    </xf>
    <xf numFmtId="0" fontId="21" fillId="0" borderId="4" xfId="54" applyFont="1" applyBorder="1" applyAlignment="1">
      <alignment horizontal="center" wrapText="1"/>
    </xf>
    <xf numFmtId="0" fontId="21" fillId="0" borderId="15" xfId="54" applyFont="1" applyBorder="1" applyAlignment="1">
      <alignment horizontal="center" vertical="center" wrapText="1"/>
    </xf>
    <xf numFmtId="0" fontId="21" fillId="0" borderId="19" xfId="54" applyFont="1" applyBorder="1" applyAlignment="1">
      <alignment horizontal="center" vertical="center" wrapText="1"/>
    </xf>
    <xf numFmtId="0" fontId="21" fillId="0" borderId="6" xfId="54" applyFont="1" applyBorder="1" applyAlignment="1">
      <alignment horizontal="center" vertical="top" wrapText="1"/>
    </xf>
    <xf numFmtId="0" fontId="22" fillId="0" borderId="4" xfId="0" applyFont="1" applyBorder="1" applyAlignment="1">
      <alignment horizontal="left" vertical="center" wrapText="1"/>
    </xf>
    <xf numFmtId="0" fontId="21" fillId="0" borderId="2" xfId="0" applyFont="1" applyBorder="1" applyAlignment="1">
      <alignment horizontal="center" vertical="center" wrapText="1"/>
    </xf>
    <xf numFmtId="0" fontId="21" fillId="0" borderId="7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left" vertical="center" wrapText="1"/>
    </xf>
    <xf numFmtId="0" fontId="21" fillId="0" borderId="0" xfId="0" applyFont="1" applyAlignment="1">
      <alignment horizontal="center" vertical="center" wrapText="1"/>
    </xf>
    <xf numFmtId="0" fontId="21" fillId="0" borderId="19" xfId="0" applyFont="1" applyBorder="1" applyAlignment="1">
      <alignment horizontal="center" vertical="center" wrapText="1"/>
    </xf>
    <xf numFmtId="0" fontId="22" fillId="0" borderId="6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7" xfId="0" applyFont="1" applyBorder="1" applyAlignment="1">
      <alignment horizontal="left" vertical="center" wrapText="1"/>
    </xf>
    <xf numFmtId="0" fontId="21" fillId="0" borderId="16" xfId="54" applyFont="1" applyBorder="1" applyAlignment="1">
      <alignment horizontal="center" vertical="center" wrapText="1"/>
    </xf>
    <xf numFmtId="0" fontId="21" fillId="0" borderId="21" xfId="54" applyFont="1" applyBorder="1" applyAlignment="1">
      <alignment horizontal="center" vertical="center" wrapText="1"/>
    </xf>
    <xf numFmtId="0" fontId="0" fillId="0" borderId="0" xfId="54" applyBorder="1" applyAlignment="1">
      <alignment horizontal="left"/>
    </xf>
    <xf numFmtId="0" fontId="26" fillId="0" borderId="0" xfId="54" applyFont="1" applyBorder="1" applyAlignment="1">
      <alignment horizontal="left" vertical="center" wrapText="1"/>
    </xf>
    <xf numFmtId="0" fontId="27" fillId="0" borderId="0" xfId="54" applyFont="1" applyBorder="1" applyAlignment="1">
      <alignment horizontal="left" vertical="center"/>
    </xf>
    <xf numFmtId="0" fontId="27" fillId="0" borderId="20" xfId="54" applyFont="1" applyBorder="1" applyAlignment="1">
      <alignment horizontal="left" vertical="center"/>
    </xf>
    <xf numFmtId="0" fontId="21" fillId="0" borderId="4" xfId="54" applyFont="1" applyBorder="1" applyAlignment="1">
      <alignment horizontal="center"/>
    </xf>
    <xf numFmtId="0" fontId="26" fillId="0" borderId="17" xfId="54" applyFont="1" applyBorder="1" applyAlignment="1">
      <alignment horizontal="center" vertical="center" wrapText="1"/>
    </xf>
    <xf numFmtId="0" fontId="28" fillId="0" borderId="17" xfId="54" applyFont="1" applyBorder="1" applyAlignment="1">
      <alignment horizontal="center" vertical="center" wrapText="1"/>
    </xf>
    <xf numFmtId="0" fontId="21" fillId="0" borderId="14" xfId="54" applyFont="1" applyBorder="1" applyAlignment="1">
      <alignment horizontal="center" wrapText="1"/>
    </xf>
    <xf numFmtId="0" fontId="21" fillId="0" borderId="18" xfId="54" applyFont="1" applyBorder="1" applyAlignment="1">
      <alignment horizontal="center" wrapText="1"/>
    </xf>
    <xf numFmtId="0" fontId="21" fillId="0" borderId="18" xfId="54" applyFont="1" applyBorder="1" applyAlignment="1">
      <alignment horizontal="center" vertical="center"/>
    </xf>
    <xf numFmtId="0" fontId="29" fillId="0" borderId="5" xfId="54" applyFont="1" applyBorder="1" applyAlignment="1">
      <alignment horizontal="center" vertical="top"/>
    </xf>
    <xf numFmtId="0" fontId="28" fillId="0" borderId="0" xfId="54" applyFont="1" applyBorder="1" applyAlignment="1">
      <alignment horizontal="center" vertical="center" wrapText="1"/>
    </xf>
    <xf numFmtId="0" fontId="21" fillId="0" borderId="15" xfId="54" applyFont="1" applyBorder="1" applyAlignment="1">
      <alignment horizontal="center" vertical="top" wrapText="1"/>
    </xf>
    <xf numFmtId="0" fontId="21" fillId="0" borderId="19" xfId="54" applyFont="1" applyBorder="1" applyAlignment="1">
      <alignment horizontal="center" vertical="top" wrapText="1"/>
    </xf>
    <xf numFmtId="0" fontId="21" fillId="0" borderId="19" xfId="54" applyFont="1" applyBorder="1" applyAlignment="1">
      <alignment horizontal="center" vertical="center"/>
    </xf>
    <xf numFmtId="0" fontId="29" fillId="0" borderId="1" xfId="54" applyFont="1" applyAlignment="1">
      <alignment horizontal="center" vertical="center" wrapText="1"/>
    </xf>
    <xf numFmtId="0" fontId="28" fillId="0" borderId="3" xfId="54" applyFont="1" applyBorder="1" applyAlignment="1">
      <alignment horizontal="center" vertical="center" wrapText="1"/>
    </xf>
    <xf numFmtId="0" fontId="28" fillId="0" borderId="7" xfId="54" applyFont="1" applyBorder="1" applyAlignment="1">
      <alignment horizontal="center" vertical="center" wrapText="1"/>
    </xf>
    <xf numFmtId="0" fontId="21" fillId="0" borderId="1" xfId="54" applyFont="1" applyAlignment="1">
      <alignment horizontal="center" vertical="center" wrapText="1"/>
    </xf>
    <xf numFmtId="0" fontId="21" fillId="0" borderId="7" xfId="54" applyFont="1" applyBorder="1" applyAlignment="1">
      <alignment horizontal="center" vertical="center" wrapText="1"/>
    </xf>
    <xf numFmtId="0" fontId="21" fillId="0" borderId="6" xfId="54" applyFont="1" applyBorder="1" applyAlignment="1">
      <alignment horizontal="center" vertical="center" wrapText="1"/>
    </xf>
    <xf numFmtId="0" fontId="29" fillId="0" borderId="6" xfId="54" applyFont="1" applyBorder="1" applyAlignment="1">
      <alignment horizontal="center" vertical="top" wrapText="1"/>
    </xf>
    <xf numFmtId="0" fontId="22" fillId="0" borderId="14" xfId="54" applyFont="1" applyBorder="1" applyAlignment="1">
      <alignment horizontal="center" wrapText="1"/>
    </xf>
    <xf numFmtId="0" fontId="21" fillId="0" borderId="16" xfId="54" applyFont="1" applyBorder="1" applyAlignment="1">
      <alignment horizontal="center" vertical="top" wrapText="1"/>
    </xf>
    <xf numFmtId="0" fontId="21" fillId="0" borderId="21" xfId="54" applyFont="1" applyBorder="1" applyAlignment="1">
      <alignment horizontal="center" vertical="top" wrapText="1"/>
    </xf>
    <xf numFmtId="0" fontId="22" fillId="0" borderId="1" xfId="54" applyFont="1" applyAlignment="1">
      <alignment horizontal="center" vertical="center" wrapText="1"/>
    </xf>
    <xf numFmtId="0" fontId="21" fillId="0" borderId="1" xfId="54" applyFont="1" applyAlignment="1">
      <alignment horizontal="justify" vertical="center" wrapText="1"/>
    </xf>
    <xf numFmtId="0" fontId="30" fillId="0" borderId="1" xfId="54" applyFont="1" applyAlignment="1">
      <alignment horizontal="left" vertical="center" wrapText="1"/>
    </xf>
    <xf numFmtId="0" fontId="22" fillId="0" borderId="1" xfId="54" applyFont="1" applyAlignment="1">
      <alignment horizontal="left" vertical="center" wrapText="1"/>
    </xf>
    <xf numFmtId="0" fontId="22" fillId="0" borderId="2" xfId="54" applyFont="1" applyBorder="1" applyAlignment="1">
      <alignment horizontal="left" vertical="center" wrapText="1"/>
    </xf>
    <xf numFmtId="0" fontId="30" fillId="0" borderId="7" xfId="54" applyFont="1" applyBorder="1" applyAlignment="1">
      <alignment horizontal="left" vertical="center" wrapText="1"/>
    </xf>
    <xf numFmtId="0" fontId="21" fillId="0" borderId="2" xfId="54" applyFont="1" applyBorder="1" applyAlignment="1">
      <alignment horizontal="center" vertical="center" wrapText="1"/>
    </xf>
    <xf numFmtId="0" fontId="0" fillId="0" borderId="0" xfId="54" applyBorder="1" applyAlignment="1">
      <alignment horizontal="left" vertical="center"/>
    </xf>
    <xf numFmtId="0" fontId="12" fillId="7" borderId="1" xfId="0" applyFont="1" applyFill="1" applyBorder="1" applyAlignment="1" quotePrefix="1">
      <alignment horizontal="center" vertical="center"/>
    </xf>
    <xf numFmtId="0" fontId="12" fillId="0" borderId="1" xfId="0" applyFont="1" applyBorder="1" applyAlignment="1" quotePrefix="1">
      <alignment horizontal="center" vertical="center"/>
    </xf>
    <xf numFmtId="0" fontId="12" fillId="0" borderId="22" xfId="0" applyFont="1" applyBorder="1" applyAlignment="1" quotePrefix="1">
      <alignment horizontal="center" vertical="center"/>
    </xf>
    <xf numFmtId="0" fontId="12" fillId="0" borderId="6" xfId="0" applyFont="1" applyBorder="1" applyAlignment="1" quotePrefix="1">
      <alignment horizontal="center" vertical="center"/>
    </xf>
    <xf numFmtId="0" fontId="12" fillId="0" borderId="1" xfId="0" applyFont="1" applyBorder="1" applyAlignment="1" quotePrefix="1">
      <alignment horizontal="center" vertical="center" wrapText="1"/>
    </xf>
    <xf numFmtId="0" fontId="12" fillId="0" borderId="22" xfId="0" applyFont="1" applyBorder="1" applyAlignment="1" quotePrefix="1">
      <alignment horizontal="center" vertical="center" wrapText="1"/>
    </xf>
    <xf numFmtId="0" fontId="12" fillId="6" borderId="1" xfId="0" applyFont="1" applyFill="1" applyBorder="1" applyAlignment="1" quotePrefix="1">
      <alignment horizontal="center" vertical="center"/>
    </xf>
    <xf numFmtId="0" fontId="12" fillId="6" borderId="1" xfId="54" applyFont="1" applyFill="1" applyBorder="1" applyAlignment="1" quotePrefix="1">
      <alignment horizontal="center" vertical="center" wrapText="1"/>
    </xf>
    <xf numFmtId="0" fontId="12" fillId="0" borderId="1" xfId="0" applyFont="1" applyFill="1" applyBorder="1" applyAlignment="1" quotePrefix="1">
      <alignment horizontal="center" vertical="center"/>
    </xf>
    <xf numFmtId="0" fontId="12" fillId="0" borderId="1" xfId="54" applyFont="1" applyFill="1" applyBorder="1" applyAlignment="1" quotePrefix="1">
      <alignment horizontal="center" vertical="center" wrapText="1"/>
    </xf>
    <xf numFmtId="0" fontId="12" fillId="6" borderId="1" xfId="0" applyFont="1" applyFill="1" applyBorder="1" applyAlignment="1" quotePrefix="1">
      <alignment horizontal="center" vertical="center" wrapText="1"/>
    </xf>
    <xf numFmtId="0" fontId="14" fillId="6" borderId="1" xfId="0" applyFont="1" applyFill="1" applyBorder="1" applyAlignment="1" quotePrefix="1">
      <alignment horizontal="center" vertical="center"/>
    </xf>
    <xf numFmtId="0" fontId="12" fillId="0" borderId="1" xfId="0" applyFont="1" applyFill="1" applyBorder="1" applyAlignment="1" quotePrefix="1">
      <alignment horizontal="center" vertical="center" wrapText="1"/>
    </xf>
    <xf numFmtId="0" fontId="14" fillId="0" borderId="1" xfId="0" applyFont="1" applyFill="1" applyBorder="1" applyAlignment="1" quotePrefix="1">
      <alignment horizontal="center" vertical="center"/>
    </xf>
    <xf numFmtId="0" fontId="14" fillId="0" borderId="1" xfId="54" applyFont="1" applyFill="1" applyBorder="1" applyAlignment="1" quotePrefix="1">
      <alignment horizontal="center" vertical="center" wrapText="1"/>
    </xf>
    <xf numFmtId="0" fontId="12" fillId="7" borderId="1" xfId="0" applyFont="1" applyFill="1" applyBorder="1" applyAlignment="1" quotePrefix="1">
      <alignment horizontal="center" vertical="center" wrapText="1"/>
    </xf>
    <xf numFmtId="0" fontId="14" fillId="7" borderId="1" xfId="0" applyFont="1" applyFill="1" applyBorder="1" applyAlignment="1" quotePrefix="1">
      <alignment horizontal="center" vertical="center"/>
    </xf>
    <xf numFmtId="0" fontId="12" fillId="7" borderId="1" xfId="54" applyFont="1" applyFill="1" applyBorder="1" applyAlignment="1" quotePrefix="1">
      <alignment horizontal="center" vertical="center" wrapText="1"/>
    </xf>
    <xf numFmtId="0" fontId="14" fillId="7" borderId="1" xfId="54" applyFont="1" applyFill="1" applyBorder="1" applyAlignment="1" quotePrefix="1">
      <alignment horizontal="center" vertical="center" wrapText="1"/>
    </xf>
    <xf numFmtId="49" fontId="12" fillId="7" borderId="1" xfId="0" applyNumberFormat="1" applyFont="1" applyFill="1" applyBorder="1" applyAlignment="1" quotePrefix="1">
      <alignment horizontal="center" vertical="center" wrapText="1"/>
    </xf>
    <xf numFmtId="49" fontId="12" fillId="0" borderId="1" xfId="0" applyNumberFormat="1" applyFont="1" applyFill="1" applyBorder="1" applyAlignment="1" quotePrefix="1">
      <alignment horizontal="center" vertical="center" wrapText="1"/>
    </xf>
    <xf numFmtId="49" fontId="12" fillId="6" borderId="1" xfId="0" applyNumberFormat="1" applyFont="1" applyFill="1" applyBorder="1" applyAlignment="1" quotePrefix="1">
      <alignment horizontal="center" vertical="center" wrapText="1"/>
    </xf>
    <xf numFmtId="0" fontId="18" fillId="6" borderId="1" xfId="54" applyFont="1" applyFill="1" applyBorder="1" applyAlignment="1" quotePrefix="1">
      <alignment horizontal="center" vertical="center" wrapText="1"/>
    </xf>
    <xf numFmtId="0" fontId="14" fillId="6" borderId="1" xfId="54" applyFont="1" applyFill="1" applyBorder="1" applyAlignment="1" quotePrefix="1">
      <alignment horizontal="center" vertical="center" wrapText="1"/>
    </xf>
    <xf numFmtId="0" fontId="18" fillId="0" borderId="1" xfId="54" applyFont="1" applyFill="1" applyBorder="1" applyAlignment="1" quotePrefix="1">
      <alignment horizontal="center" vertical="center" wrapText="1"/>
    </xf>
    <xf numFmtId="0" fontId="7" fillId="0" borderId="1" xfId="47" applyFont="1" applyFill="1" applyBorder="1" applyAlignment="1" quotePrefix="1">
      <alignment horizontal="center" vertical="center"/>
    </xf>
    <xf numFmtId="0" fontId="12" fillId="0" borderId="1" xfId="56" applyFont="1" applyFill="1" applyBorder="1" applyAlignment="1" quotePrefix="1">
      <alignment horizontal="center" vertical="center"/>
    </xf>
  </cellXfs>
  <cellStyles count="5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常规 2 6 2" xfId="5"/>
    <cellStyle name="千位分隔[0]" xfId="6" builtinId="6"/>
    <cellStyle name="40% - 强调文字颜色 3" xfId="7" builtinId="39"/>
    <cellStyle name="差" xfId="8" builtinId="27"/>
    <cellStyle name="千位分隔" xfId="9" builtinId="3"/>
    <cellStyle name="60% - 强调文字颜色 3" xfId="10" builtinId="40"/>
    <cellStyle name="超链接" xfId="11" builtinId="8"/>
    <cellStyle name="百分比" xfId="12" builtinId="5"/>
    <cellStyle name="已访问的超链接" xfId="13" builtinId="9"/>
    <cellStyle name="注释" xfId="14" builtinId="10"/>
    <cellStyle name="60% - 强调文字颜色 2" xfId="15" builtinId="36"/>
    <cellStyle name="标题 4" xfId="16" builtinId="19"/>
    <cellStyle name="警告文本" xfId="17" builtinId="11"/>
    <cellStyle name="标题" xfId="18" builtinId="15"/>
    <cellStyle name="解释性文本" xfId="19" builtinId="53"/>
    <cellStyle name="常规 8" xfId="20"/>
    <cellStyle name="标题 1" xfId="21" builtinId="16"/>
    <cellStyle name="标题 2" xfId="22" builtinId="17"/>
    <cellStyle name="60% - 强调文字颜色 1" xfId="23" builtinId="32"/>
    <cellStyle name="标题 3" xfId="24" builtinId="18"/>
    <cellStyle name="60% - 强调文字颜色 4" xfId="25" builtinId="44"/>
    <cellStyle name="输出" xfId="26" builtinId="21"/>
    <cellStyle name="计算" xfId="27" builtinId="22"/>
    <cellStyle name="检查单元格" xfId="28" builtinId="23"/>
    <cellStyle name="20% - 强调文字颜色 6" xfId="29" builtinId="50"/>
    <cellStyle name="强调文字颜色 2" xfId="30" builtinId="33"/>
    <cellStyle name="链接单元格" xfId="31" builtinId="24"/>
    <cellStyle name="汇总" xfId="32" builtinId="25"/>
    <cellStyle name="好" xfId="33" builtinId="26"/>
    <cellStyle name="适中" xfId="34" builtinId="28"/>
    <cellStyle name="20% - 强调文字颜色 5" xfId="35" builtinId="46"/>
    <cellStyle name="强调文字颜色 1" xfId="36" builtinId="29"/>
    <cellStyle name="20% - 强调文字颜色 1" xfId="37" builtinId="30"/>
    <cellStyle name="40% - 强调文字颜色 1" xfId="38" builtinId="31"/>
    <cellStyle name="20% - 强调文字颜色 2" xfId="39" builtinId="34"/>
    <cellStyle name="40% - 强调文字颜色 2" xfId="40" builtinId="35"/>
    <cellStyle name="强调文字颜色 3" xfId="41" builtinId="37"/>
    <cellStyle name="常规 3 2" xfId="42"/>
    <cellStyle name="强调文字颜色 4" xfId="43" builtinId="41"/>
    <cellStyle name="20% - 强调文字颜色 4" xfId="44" builtinId="42"/>
    <cellStyle name="40% - 强调文字颜色 4" xfId="45" builtinId="43"/>
    <cellStyle name="强调文字颜色 5" xfId="46" builtinId="45"/>
    <cellStyle name="常规 2 2" xfId="47"/>
    <cellStyle name="40% - 强调文字颜色 5" xfId="48" builtinId="47"/>
    <cellStyle name="60% - 强调文字颜色 5" xfId="49" builtinId="48"/>
    <cellStyle name="强调文字颜色 6" xfId="50" builtinId="49"/>
    <cellStyle name="常规 2 3" xfId="51"/>
    <cellStyle name="40% - 强调文字颜色 6" xfId="52" builtinId="51"/>
    <cellStyle name="60% - 强调文字颜色 6" xfId="53" builtinId="52"/>
    <cellStyle name="常规 2" xfId="54"/>
    <cellStyle name="常规 2 4" xfId="55"/>
    <cellStyle name="常规 2 6" xfId="56"/>
    <cellStyle name="常规 3" xfId="57"/>
    <cellStyle name="常规 4" xfId="58"/>
  </cellStyles>
  <dxfs count="2">
    <dxf>
      <fill>
        <patternFill patternType="solid">
          <bgColor rgb="FF7030A0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7" Type="http://schemas.microsoft.com/office/2006/relationships/vbaProject" Target="vbaProject.bin"/><Relationship Id="rId16" Type="http://schemas.openxmlformats.org/officeDocument/2006/relationships/sharedStrings" Target="sharedStrings.xml"/><Relationship Id="rId15" Type="http://schemas.openxmlformats.org/officeDocument/2006/relationships/styles" Target="styles.xml"/><Relationship Id="rId14" Type="http://schemas.openxmlformats.org/officeDocument/2006/relationships/theme" Target="theme/theme1.xml"/><Relationship Id="rId13" Type="http://schemas.openxmlformats.org/officeDocument/2006/relationships/pivotCacheDefinition" Target="pivotCache/pivotCacheDefinition1.xml"/><Relationship Id="rId12" Type="http://schemas.openxmlformats.org/officeDocument/2006/relationships/worksheet" Target="worksheets/sheet12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0</xdr:col>
      <xdr:colOff>790575</xdr:colOff>
      <xdr:row>0</xdr:row>
      <xdr:rowOff>635</xdr:rowOff>
    </xdr:from>
    <xdr:to>
      <xdr:col>7</xdr:col>
      <xdr:colOff>8890</xdr:colOff>
      <xdr:row>1</xdr:row>
      <xdr:rowOff>742950</xdr:rowOff>
    </xdr:to>
    <xdr:pic>
      <xdr:nvPicPr>
        <xdr:cNvPr id="2" name="图片 1" descr="C:\Users\Administrator\Desktop\10.16工作\标准LOGO.png"/>
        <xdr:cNvPicPr/>
      </xdr:nvPicPr>
      <xdr:blipFill>
        <a:blip r:embed="rId1" cstate="print"/>
        <a:srcRect/>
        <a:stretch>
          <a:fillRect/>
        </a:stretch>
      </xdr:blipFill>
      <xdr:spPr>
        <a:xfrm>
          <a:off x="790575" y="635"/>
          <a:ext cx="4428490" cy="9804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581025</xdr:colOff>
      <xdr:row>10</xdr:row>
      <xdr:rowOff>200025</xdr:rowOff>
    </xdr:from>
    <xdr:to>
      <xdr:col>3</xdr:col>
      <xdr:colOff>581025</xdr:colOff>
      <xdr:row>10</xdr:row>
      <xdr:rowOff>200025</xdr:rowOff>
    </xdr:to>
    <xdr:cxnSp>
      <xdr:nvCxnSpPr>
        <xdr:cNvPr id="2" name="直接连接符 1"/>
        <xdr:cNvCxnSpPr/>
      </xdr:nvCxnSpPr>
      <xdr:spPr>
        <a:xfrm>
          <a:off x="2095500" y="3495675"/>
          <a:ext cx="1114425" cy="0"/>
        </a:xfrm>
        <a:prstGeom prst="line">
          <a:avLst/>
        </a:prstGeom>
        <a:ln>
          <a:solidFill>
            <a:schemeClr val="tx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createdVersion="6" refreshedVersion="6" minRefreshableVersion="3" refreshedDate="45189.4637571759" refreshedBy="User" recordCount="1248">
  <cacheSource type="worksheet">
    <worksheetSource ref="A1:CD1048576" sheet="IO分站清单"/>
  </cacheSource>
  <cacheFields count="83">
    <cacheField name="序 号" numFmtId="0"/>
    <cacheField name="P&amp;ID图号" numFmtId="0"/>
    <cacheField name="信号位号" numFmtId="0"/>
    <cacheField name="扩展码" numFmtId="49"/>
    <cacheField name="标签名称" numFmtId="0"/>
    <cacheField name="描述" numFmtId="0"/>
    <cacheField name="系统代码" numFmtId="0"/>
    <cacheField name="LD/AD图号" numFmtId="0"/>
    <cacheField name="机柜号" numFmtId="0">
      <sharedItems containsBlank="1" count="5">
        <s v="2TEKC001AR"/>
        <s v="2TEKC003AR"/>
        <s v="2TEKC004AR"/>
        <s v="2TEKC005AR"/>
        <m/>
      </sharedItems>
    </cacheField>
    <cacheField name="板卡类型" numFmtId="0"/>
    <cacheField name="板卡柜内编号" numFmtId="0">
      <sharedItems containsBlank="1" count="52">
        <s v="103AI"/>
        <s v="104DI"/>
        <s v="105DO"/>
        <s v="106PI"/>
        <s v="107DP"/>
        <s v="201DP"/>
        <s v="109DP"/>
        <s v="207FF"/>
        <s v="209FF"/>
        <s v="301FF"/>
        <s v="303DI"/>
        <s v="304DO"/>
        <s v="104AI"/>
        <s v="105AI"/>
        <s v="106AI"/>
        <s v="107AI"/>
        <s v="108AI"/>
        <s v="109AI"/>
        <s v="110DO"/>
        <s v="201AI"/>
        <s v="202AI"/>
        <s v="203AI"/>
        <s v="204AI"/>
        <s v="205AO"/>
        <s v="206AO"/>
        <s v="207DO"/>
        <s v="208DI"/>
        <s v="209DI"/>
        <s v="210DI"/>
        <s v="301DI"/>
        <s v="302DI"/>
        <s v="304DI"/>
        <s v="305DI"/>
        <s v="306DI"/>
        <s v="307DI"/>
        <s v="308DO"/>
        <s v="309DO"/>
        <s v="310DO"/>
        <s v="110AI"/>
        <s v="203AO"/>
        <s v="204DI"/>
        <s v="205DI"/>
        <s v="206DI"/>
        <s v="207DI"/>
        <s v="305DO"/>
        <s v="306DO"/>
        <s v="307DO"/>
        <s v="202AO"/>
        <s v="204AO"/>
        <m/>
        <s v="203DP" u="1"/>
        <s v="205DP" u="1"/>
      </sharedItems>
    </cacheField>
    <cacheField name="板卡编号" numFmtId="0"/>
    <cacheField name="机笼" numFmtId="0"/>
    <cacheField name="插槽" numFmtId="0">
      <sharedItems containsString="0" containsBlank="1" containsNumber="1" containsInteger="1" minValue="0" maxValue="10" count="11">
        <n v="3"/>
        <n v="4"/>
        <n v="5"/>
        <n v="6"/>
        <n v="7"/>
        <n v="1"/>
        <n v="9"/>
        <n v="8"/>
        <n v="10"/>
        <n v="2"/>
        <m/>
      </sharedItems>
    </cacheField>
    <cacheField name="通道" numFmtId="0">
      <sharedItems containsString="0" containsBlank="1" containsNumber="1" containsInteger="1" minValue="0" maxValue="16" count="17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m/>
      </sharedItems>
    </cacheField>
    <cacheField name="板卡地址" numFmtId="49"/>
    <cacheField name="FF/DP端子通道" numFmtId="0"/>
    <cacheField name="端子板型号" numFmtId="0"/>
    <cacheField name="端子板编号" numFmtId="0"/>
    <cacheField name="信号+（S+）" numFmtId="0"/>
    <cacheField name="信号-（S-）" numFmtId="0"/>
    <cacheField name="RTD补偿端（C）" numFmtId="0"/>
    <cacheField name="RTD补偿端（E）" numFmtId="0"/>
    <cacheField name="安全分级/分组" numFmtId="0"/>
    <cacheField name="抗震类别" numFmtId="0"/>
    <cacheField name="I/O类型" numFmtId="0"/>
    <cacheField name="电气特性" numFmtId="0"/>
    <cacheField name="供电方式" numFmtId="0"/>
    <cacheField name="供电类型" numFmtId="0"/>
    <cacheField name="传感器类型" numFmtId="0"/>
    <cacheField name="工程单位" numFmtId="0"/>
    <cacheField name="量程范围下限" numFmtId="0"/>
    <cacheField name="量程范围上限" numFmtId="0"/>
    <cacheField name="隔离" numFmtId="0"/>
    <cacheField name="远程IO" numFmtId="0"/>
    <cacheField name="趋势" numFmtId="0"/>
    <cacheField name="为0时状态" numFmtId="0"/>
    <cacheField name="为1时状态" numFmtId="0"/>
    <cacheField name="信号有效方式" numFmtId="0"/>
    <cacheField name="就地箱号" numFmtId="0"/>
    <cacheField name="版本" numFmtId="0"/>
    <cacheField name="修改日期" numFmtId="0"/>
    <cacheField name="信号终点" numFmtId="0"/>
    <cacheField name="备注" numFmtId="0"/>
    <cacheField name="注释" numFmtId="0"/>
    <cacheField name="RG - 关联画面" numFmtId="0"/>
    <cacheField name="高4限报警限值" numFmtId="0"/>
    <cacheField name="高4限报警等级" numFmtId="0"/>
    <cacheField name="高4限报警标签" numFmtId="0"/>
    <cacheField name="高4报警描述" numFmtId="0"/>
    <cacheField name="高3限报警限值" numFmtId="0"/>
    <cacheField name="高3限报警等级" numFmtId="0"/>
    <cacheField name="高3限报警标签" numFmtId="0"/>
    <cacheField name="高3报警描述" numFmtId="0"/>
    <cacheField name="高2限报警限值" numFmtId="0"/>
    <cacheField name="高2限报警等级" numFmtId="0"/>
    <cacheField name="高2限报警标签" numFmtId="0"/>
    <cacheField name="高2报警描述" numFmtId="0"/>
    <cacheField name="高1限报警限值" numFmtId="0"/>
    <cacheField name="高1限报警等级" numFmtId="0"/>
    <cacheField name="高1限报警标签" numFmtId="0"/>
    <cacheField name="高1报警描述" numFmtId="0"/>
    <cacheField name="低1限报警限值" numFmtId="0"/>
    <cacheField name="低1限报警等级" numFmtId="0"/>
    <cacheField name="低1限报警标签" numFmtId="0"/>
    <cacheField name="低1报警描述" numFmtId="0"/>
    <cacheField name="低2限报警限值" numFmtId="0"/>
    <cacheField name="低2限报警等级" numFmtId="0"/>
    <cacheField name="低2限报警标签" numFmtId="0"/>
    <cacheField name="低2报警描述" numFmtId="0"/>
    <cacheField name="低3限报警限值" numFmtId="0"/>
    <cacheField name="低3限报警等级" numFmtId="0"/>
    <cacheField name="低3限报警标签" numFmtId="0"/>
    <cacheField name="低3报警描述" numFmtId="0"/>
    <cacheField name="低4限报警限值" numFmtId="0"/>
    <cacheField name="低4限报警等级" numFmtId="0"/>
    <cacheField name="低4限报警标签" numFmtId="0"/>
    <cacheField name="低4报警描述" numFmtId="0"/>
    <cacheField name="SN - 站号" numFmtId="0"/>
    <cacheField name="SUBNET - 子网" numFmtId="0"/>
    <cacheField name="KU点名" numFmtId="0"/>
    <cacheField name="OF - 显示格式" numFmtId="49"/>
    <cacheField name="PV点" numFmtId="0"/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48">
  <r>
    <n v="1"/>
    <s v="2TETP001HXT"/>
    <s v="2FT-TETP009PO"/>
    <n v="1"/>
    <s v="R2FTTETP009PO_1"/>
    <s v="输送泵3_x000a_2TETP-009PO出口流量"/>
    <s v="TETP"/>
    <s v="1812-B1131YKS05-101-004"/>
    <x v="0"/>
    <s v="AI216"/>
    <x v="0"/>
    <s v="2TEKC001AR103AI"/>
    <n v="1"/>
    <x v="0"/>
    <x v="0"/>
    <n v="3"/>
    <m/>
    <s v="TB241"/>
    <s v="103BN"/>
    <s v="1A"/>
    <s v="1C"/>
    <s v="--"/>
    <s v="--"/>
    <s v="NR"/>
    <s v="NA"/>
    <s v="AI"/>
    <s v="4~20mA"/>
    <s v="USER(提供24VDC)"/>
    <s v="AI2"/>
    <s v="四线制变送器（24VDC独立供电）"/>
    <s v="m3/h"/>
    <n v="0"/>
    <n v="15"/>
    <m/>
    <m/>
    <m/>
    <m/>
    <m/>
    <m/>
    <m/>
    <s v="A"/>
    <m/>
    <m/>
    <s v="涡轮流量计10W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n v="1"/>
    <n v="2"/>
    <m/>
  </r>
  <r>
    <n v="2"/>
    <s v="2TETP001HXT"/>
    <s v="2FT-TETP006PO"/>
    <n v="1"/>
    <s v="R2FTTETP006PO_1"/>
    <s v="输送泵2TETP-006/007PO出口_x000a_流量"/>
    <s v="TETP"/>
    <s v="1812-B1131YKS05-101-002"/>
    <x v="0"/>
    <s v="AI216"/>
    <x v="0"/>
    <s v="2TEKC001AR103AI"/>
    <n v="1"/>
    <x v="0"/>
    <x v="1"/>
    <n v="3"/>
    <m/>
    <s v="TB241"/>
    <s v="103BN"/>
    <s v="2A"/>
    <s v="2C"/>
    <s v="--"/>
    <s v="--"/>
    <s v="NR"/>
    <s v="NA"/>
    <s v="AI"/>
    <s v="4~20mA"/>
    <s v="USER(提供24VDC)"/>
    <s v="AI2"/>
    <s v="四线制变送器（24VDC独立供电）"/>
    <s v="m3/h"/>
    <n v="0"/>
    <n v="10"/>
    <m/>
    <m/>
    <m/>
    <m/>
    <m/>
    <m/>
    <m/>
    <s v="A"/>
    <m/>
    <m/>
    <s v="涡轮流量计10W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n v="3"/>
    <m/>
  </r>
  <r>
    <n v="3"/>
    <s v="2TETP001HXT"/>
    <s v="2FT-TETP008PO"/>
    <n v="1"/>
    <s v="R2FTTETP008PO_1"/>
    <s v="废液泵2TETP-008PO出口流量"/>
    <s v="TETP"/>
    <s v="1812-B1131YKS05-101-003"/>
    <x v="0"/>
    <s v="AI216"/>
    <x v="0"/>
    <s v="2TEKC001AR103AI"/>
    <n v="1"/>
    <x v="0"/>
    <x v="2"/>
    <n v="3"/>
    <m/>
    <s v="TB241"/>
    <s v="103BN"/>
    <s v="3A"/>
    <s v="3C"/>
    <s v="--"/>
    <s v="--"/>
    <s v="NR"/>
    <s v="NA"/>
    <s v="AI"/>
    <s v="4~20mA"/>
    <s v="USER(提供24VDC)"/>
    <s v="AI2"/>
    <s v="四线制变送器（24VDC独立供电）"/>
    <s v="m3/h"/>
    <n v="0"/>
    <n v="100"/>
    <m/>
    <m/>
    <m/>
    <m/>
    <m/>
    <m/>
    <m/>
    <s v="A"/>
    <m/>
    <m/>
    <s v="涡轮流量计10W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n v="2"/>
    <m/>
  </r>
  <r>
    <n v="4"/>
    <s v="备用"/>
    <s v="2TEKC001AR103AICH04"/>
    <m/>
    <s v="R2TEKC001AR103AICH04"/>
    <s v="备用"/>
    <s v="TETP"/>
    <s v="1812-B1131YKS05-101-004"/>
    <x v="0"/>
    <s v="AI216"/>
    <x v="0"/>
    <s v="2TEKC001AR103AI"/>
    <n v="1"/>
    <x v="0"/>
    <x v="3"/>
    <n v="3"/>
    <m/>
    <s v="TB241"/>
    <s v="103BN"/>
    <s v="4A"/>
    <s v="4C"/>
    <s v="--"/>
    <s v="--"/>
    <s v="NR"/>
    <s v="NA"/>
    <s v="AI"/>
    <s v="4~20mA"/>
    <s v="USER(提供24VDC)"/>
    <s v="AI2"/>
    <s v="四线制变送器（24VDC独立供电）"/>
    <s v="m4/h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n v="2"/>
    <m/>
  </r>
  <r>
    <n v="5"/>
    <s v="备用"/>
    <s v="2TEKC001AR103AICH05"/>
    <m/>
    <s v="R2TEKC001AR103AICH05"/>
    <s v="备用"/>
    <s v="TETP"/>
    <s v="1812-B1131YKS05-101-005"/>
    <x v="0"/>
    <s v="AI216"/>
    <x v="0"/>
    <s v="2TEKC001AR103AI"/>
    <n v="1"/>
    <x v="0"/>
    <x v="4"/>
    <n v="3"/>
    <m/>
    <s v="TB241"/>
    <s v="103BN"/>
    <s v="5A"/>
    <s v="5C"/>
    <s v="--"/>
    <s v="--"/>
    <s v="NR"/>
    <s v="NA"/>
    <s v="AI"/>
    <s v="4~20mA"/>
    <s v="USER(提供24VDC)"/>
    <s v="AI2"/>
    <s v="四线制变送器（24VDC独立供电）"/>
    <s v="m5/h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n v="2"/>
    <m/>
  </r>
  <r>
    <n v="6"/>
    <s v="备用"/>
    <s v="2TEKC001AR103AICH06"/>
    <m/>
    <s v="R2TEKC001AR103AICH06"/>
    <s v="备用"/>
    <s v="TETP"/>
    <s v="1812-B1131YKS05-101-006"/>
    <x v="0"/>
    <s v="AI216"/>
    <x v="0"/>
    <s v="2TEKC001AR103AI"/>
    <n v="1"/>
    <x v="0"/>
    <x v="5"/>
    <n v="3"/>
    <m/>
    <s v="TB241"/>
    <s v="103BN"/>
    <s v="6A"/>
    <s v="6C"/>
    <s v="--"/>
    <s v="--"/>
    <s v="NR"/>
    <s v="NA"/>
    <s v="AI"/>
    <s v="4~20mA"/>
    <s v="USER(提供24VDC)"/>
    <s v="AI2"/>
    <s v="四线制变送器（24VDC独立供电）"/>
    <s v="m6/h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n v="2"/>
    <m/>
  </r>
  <r>
    <n v="7"/>
    <s v="备用"/>
    <s v="2TEKC001AR103AICH07"/>
    <m/>
    <s v="R2TEKC001AR103AICH07"/>
    <s v="备用"/>
    <s v="TETP"/>
    <s v="1812-B1131YKS05-101-007"/>
    <x v="0"/>
    <s v="AI216"/>
    <x v="0"/>
    <s v="2TEKC001AR103AI"/>
    <n v="1"/>
    <x v="0"/>
    <x v="6"/>
    <n v="3"/>
    <m/>
    <s v="TB241"/>
    <s v="103BN"/>
    <s v="7A"/>
    <s v="7C"/>
    <s v="--"/>
    <s v="--"/>
    <s v="NR"/>
    <s v="NA"/>
    <s v="AI"/>
    <s v="4~20mA"/>
    <s v="USER(提供24VDC)"/>
    <s v="AI2"/>
    <s v="四线制变送器（24VDC独立供电）"/>
    <s v="m7/h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n v="2"/>
    <m/>
  </r>
  <r>
    <n v="8"/>
    <s v="备用"/>
    <s v="2TEKC001AR103AICH08"/>
    <m/>
    <s v="R2TEKC001AR103AICH08"/>
    <s v="备用"/>
    <s v="TETP"/>
    <s v="1812-B1131YKS05-101-008"/>
    <x v="0"/>
    <s v="AI216"/>
    <x v="0"/>
    <s v="2TEKC001AR103AI"/>
    <n v="1"/>
    <x v="0"/>
    <x v="7"/>
    <n v="3"/>
    <m/>
    <s v="TB241"/>
    <s v="103BN"/>
    <s v="8A"/>
    <s v="8C"/>
    <s v="--"/>
    <s v="--"/>
    <s v="NR"/>
    <s v="NA"/>
    <s v="AI"/>
    <s v="4~20mA"/>
    <s v="USER(提供24VDC)"/>
    <s v="AI2"/>
    <s v="四线制变送器（24VDC独立供电）"/>
    <s v="m8/h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n v="2"/>
    <m/>
  </r>
  <r>
    <n v="9"/>
    <s v="2TETP001HXT"/>
    <s v="2TETP-006PO"/>
    <s v="QF"/>
    <s v="R2TETP006PO_QF"/>
    <s v="输送泵1 2TETP-006PO启反馈"/>
    <s v="TETP"/>
    <s v="1812-B1131YKS05-001-037"/>
    <x v="0"/>
    <s v="DI211"/>
    <x v="1"/>
    <s v="2TEKC001AR104DI"/>
    <n v="1"/>
    <x v="1"/>
    <x v="0"/>
    <n v="4"/>
    <m/>
    <s v="TB222"/>
    <s v="104BN"/>
    <s v="1A"/>
    <s v="1B"/>
    <s v="--"/>
    <s v="--"/>
    <s v="NR"/>
    <s v="NA"/>
    <s v="DI"/>
    <s v="无源常开"/>
    <s v="DCS"/>
    <s v="DI1"/>
    <m/>
    <m/>
    <n v="1"/>
    <n v="1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n v="3"/>
    <m/>
  </r>
  <r>
    <n v="10"/>
    <s v="2TETP001HXT"/>
    <s v="2TETP-006PO"/>
    <s v="GZ"/>
    <s v="R2TETP006PO_GZ"/>
    <s v="输送泵1 2TETP-006PO故障"/>
    <s v="TETP"/>
    <s v="1812-B1131YKS05-001-037"/>
    <x v="0"/>
    <s v="DI211"/>
    <x v="1"/>
    <s v="2TEKC001AR104DI"/>
    <n v="1"/>
    <x v="1"/>
    <x v="1"/>
    <n v="4"/>
    <m/>
    <s v="TB222"/>
    <s v="104BN"/>
    <s v="2A"/>
    <s v="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1"/>
    <s v="2TETP001HXT"/>
    <s v="2TETP-006PO"/>
    <s v="TF"/>
    <s v="R2TETP006PO_TF"/>
    <s v="输送泵1 2TETP-006PO停反馈"/>
    <s v="TETP"/>
    <s v="1812-B1131YKS05-001-037"/>
    <x v="0"/>
    <s v="DI211"/>
    <x v="1"/>
    <s v="2TEKC001AR104DI"/>
    <n v="1"/>
    <x v="1"/>
    <x v="2"/>
    <n v="4"/>
    <m/>
    <s v="TB222"/>
    <s v="104BN"/>
    <s v="3A"/>
    <s v="3B"/>
    <s v="--"/>
    <s v="--"/>
    <s v="NR"/>
    <s v="NA"/>
    <s v="DI"/>
    <s v="无源常闭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2"/>
    <s v="2TETP001HXT"/>
    <s v="2TETP-007PO"/>
    <s v="QF"/>
    <s v="R2TETP007PO_QF"/>
    <s v="输送泵2 2TETP-007PO启反馈"/>
    <s v="TETP"/>
    <s v="1812-B1131YKS05-001-037"/>
    <x v="0"/>
    <s v="DI211"/>
    <x v="1"/>
    <s v="2TEKC001AR104DI"/>
    <n v="1"/>
    <x v="1"/>
    <x v="3"/>
    <n v="4"/>
    <m/>
    <s v="TB222"/>
    <s v="104BN"/>
    <s v="4A"/>
    <s v="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3"/>
    <s v="2TETP001HXT"/>
    <s v="2TETP-007PO"/>
    <s v="GZ"/>
    <s v="R2TETP007PO_GZ"/>
    <s v="输送泵2 2TETP-007PO故障"/>
    <s v="TETP"/>
    <s v="1812-B1131YKS05-001-037"/>
    <x v="0"/>
    <s v="DI211"/>
    <x v="1"/>
    <s v="2TEKC001AR104DI"/>
    <n v="1"/>
    <x v="1"/>
    <x v="4"/>
    <n v="4"/>
    <m/>
    <s v="TB222"/>
    <s v="104BN"/>
    <s v="5A"/>
    <s v="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4"/>
    <s v="2TETP001HXT"/>
    <s v="2TETP-007PO"/>
    <s v="TF"/>
    <s v="R2TETP007PO_TF"/>
    <s v="输送泵2 2TETP-007PO停反馈"/>
    <s v="TETP"/>
    <s v="1812-B1131YKS05-001-037"/>
    <x v="0"/>
    <s v="DI211"/>
    <x v="1"/>
    <s v="2TEKC001AR104DI"/>
    <n v="1"/>
    <x v="1"/>
    <x v="5"/>
    <n v="4"/>
    <m/>
    <s v="TB222"/>
    <s v="104BN"/>
    <s v="6A"/>
    <s v="6B"/>
    <s v="--"/>
    <s v="--"/>
    <s v="NR"/>
    <s v="NA"/>
    <s v="DI"/>
    <s v="无源常闭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5"/>
    <s v="2TETP001HXT"/>
    <s v="2TETP-008PO"/>
    <s v="QF"/>
    <s v="R2TETP008PO_QF"/>
    <s v="输送泵3 2TETP-008PO启反馈"/>
    <s v="TETP"/>
    <s v="1812-B1131YKS05-001-036"/>
    <x v="0"/>
    <s v="DI211"/>
    <x v="1"/>
    <s v="2TEKC001AR104DI"/>
    <n v="1"/>
    <x v="1"/>
    <x v="6"/>
    <n v="4"/>
    <m/>
    <s v="TB222"/>
    <s v="104BN"/>
    <s v="7A"/>
    <s v="7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6"/>
    <s v="2TETP001HXT"/>
    <s v="2TETP-008PO"/>
    <s v="GZ"/>
    <s v="R2TETP008PO_GZ"/>
    <s v="输送泵3 2TETP-008PO故障"/>
    <s v="TETP"/>
    <s v="1812-B1131YKS05-001-036"/>
    <x v="0"/>
    <s v="DI211"/>
    <x v="1"/>
    <s v="2TEKC001AR104DI"/>
    <n v="1"/>
    <x v="1"/>
    <x v="7"/>
    <n v="4"/>
    <m/>
    <s v="TB222"/>
    <s v="104BN"/>
    <s v="8A"/>
    <s v="8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7"/>
    <s v="2TETP001HXT"/>
    <s v="2TETP-008PO"/>
    <s v="TF"/>
    <s v="R2TETP008PO_TF"/>
    <s v="输送泵3 2TETP-008PO停反馈"/>
    <s v="TETP"/>
    <s v="1812-B1131YKS05-001-036"/>
    <x v="0"/>
    <s v="DI211"/>
    <x v="1"/>
    <s v="2TEKC001AR104DI"/>
    <n v="1"/>
    <x v="1"/>
    <x v="8"/>
    <n v="4"/>
    <m/>
    <s v="TB222"/>
    <s v="104BN"/>
    <s v="9A"/>
    <s v="9B"/>
    <s v="--"/>
    <s v="--"/>
    <s v="NR"/>
    <s v="NA"/>
    <s v="DI"/>
    <s v="无源常闭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8"/>
    <s v="2TETP001HXT"/>
    <s v="2TETP-009PO"/>
    <s v="QF"/>
    <s v="R2TETP009PO_QF"/>
    <s v="废液泵2TETP-009PO启反馈"/>
    <s v="TETP"/>
    <s v="1812-B1131YKS05-001-035"/>
    <x v="0"/>
    <s v="DI211"/>
    <x v="1"/>
    <s v="2TEKC001AR104DI"/>
    <n v="1"/>
    <x v="1"/>
    <x v="9"/>
    <n v="4"/>
    <m/>
    <s v="TB222"/>
    <s v="104BN"/>
    <s v="10A"/>
    <s v="10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9"/>
    <s v="2TETP001HXT"/>
    <s v="2TETP-009PO"/>
    <s v="GZ"/>
    <s v="R2TETP009PO_GZ"/>
    <s v="废液泵2TETP-009PO故障"/>
    <s v="TETP"/>
    <s v="1812-B1131YKS05-001-035"/>
    <x v="0"/>
    <s v="DI211"/>
    <x v="1"/>
    <s v="2TEKC001AR104DI"/>
    <n v="1"/>
    <x v="1"/>
    <x v="10"/>
    <n v="4"/>
    <m/>
    <s v="TB222"/>
    <s v="104BN"/>
    <s v="11A"/>
    <s v="1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20"/>
    <s v="2TETP001HXT"/>
    <s v="2TETP-009PO"/>
    <s v="TF"/>
    <s v="R2TETP009PO_TF"/>
    <s v="废液泵2TETP-009PO停反馈"/>
    <s v="TETP"/>
    <s v="1812-B1131YKS05-001-035"/>
    <x v="0"/>
    <s v="DI211"/>
    <x v="1"/>
    <s v="2TEKC001AR104DI"/>
    <n v="1"/>
    <x v="1"/>
    <x v="11"/>
    <n v="4"/>
    <m/>
    <s v="TB222"/>
    <s v="104BN"/>
    <s v="12A"/>
    <s v="12B"/>
    <s v="--"/>
    <s v="--"/>
    <s v="NR"/>
    <s v="NA"/>
    <s v="DI"/>
    <s v="无源常闭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21"/>
    <m/>
    <s v="R2109TOB113"/>
    <m/>
    <s v="RR2109TOB113"/>
    <s v="B109子项低放废液接收槽高液_x000a_位关闭B113子项输送泵2TETP_x000a_-009PO"/>
    <s v="TETP"/>
    <m/>
    <x v="0"/>
    <s v="DI211"/>
    <x v="1"/>
    <s v="2TEKC001AR104DI"/>
    <n v="1"/>
    <x v="1"/>
    <x v="12"/>
    <n v="4"/>
    <m/>
    <s v="TB222"/>
    <s v="104BN"/>
    <s v="13A"/>
    <s v="1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22"/>
    <s v="备用"/>
    <s v="2TEKC001AR104DICH14"/>
    <m/>
    <s v="R2TEKC001AR104DICH14"/>
    <s v="备用"/>
    <s v="TETP"/>
    <m/>
    <x v="0"/>
    <s v="DI211"/>
    <x v="1"/>
    <s v="2TEKC001AR104DI"/>
    <n v="1"/>
    <x v="1"/>
    <x v="13"/>
    <n v="4"/>
    <m/>
    <s v="TB222"/>
    <s v="104BN"/>
    <s v="14A"/>
    <s v="1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23"/>
    <s v="备用"/>
    <s v="2TEKC001AR104DICH15"/>
    <m/>
    <s v="R2TEKC001AR104DICH15"/>
    <s v="备用"/>
    <s v="TETP"/>
    <m/>
    <x v="0"/>
    <s v="DI211"/>
    <x v="1"/>
    <s v="2TEKC001AR104DI"/>
    <n v="1"/>
    <x v="1"/>
    <x v="14"/>
    <n v="4"/>
    <m/>
    <s v="TB222"/>
    <s v="104BN"/>
    <s v="15A"/>
    <s v="1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24"/>
    <s v="备用"/>
    <s v="2TEKC001AR104DICH16"/>
    <m/>
    <s v="R2TEKC001AR104DICH16"/>
    <s v="备用"/>
    <s v="TETP"/>
    <m/>
    <x v="0"/>
    <s v="DI211"/>
    <x v="1"/>
    <s v="2TEKC001AR104DI"/>
    <n v="1"/>
    <x v="1"/>
    <x v="15"/>
    <n v="4"/>
    <m/>
    <s v="TB222"/>
    <s v="104BN"/>
    <s v="16A"/>
    <s v="1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25"/>
    <s v="2TETP001HXT"/>
    <s v="2TETP-006PO"/>
    <s v="Q"/>
    <s v="R2TETP006PO_Q"/>
    <s v="输送泵1 2TETP-006PO启动"/>
    <s v="TETP"/>
    <s v="1812-B1131YKS05-001-037"/>
    <x v="0"/>
    <s v="DO211"/>
    <x v="2"/>
    <s v="2TEKC001AR105DO"/>
    <n v="1"/>
    <x v="2"/>
    <x v="0"/>
    <n v="5"/>
    <m/>
    <s v="TB233"/>
    <s v="105BN"/>
    <s v="1B"/>
    <s v="1C"/>
    <s v="--"/>
    <s v="--"/>
    <s v="NR"/>
    <s v="NA"/>
    <s v="DO"/>
    <s v="有源常开"/>
    <s v="DCS"/>
    <s v="DO2"/>
    <m/>
    <m/>
    <n v="1"/>
    <n v="1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n v="3"/>
    <m/>
  </r>
  <r>
    <n v="26"/>
    <s v="2TETP001HXT"/>
    <s v="2TETP-006PO"/>
    <s v="T"/>
    <s v="R2TETP006PO_T"/>
    <s v="输送泵1 2TETP-006PO停止"/>
    <s v="TETP"/>
    <s v="1812-B1131YKS05-001-037"/>
    <x v="0"/>
    <s v="DO211"/>
    <x v="2"/>
    <s v="2TEKC001AR105DO"/>
    <n v="1"/>
    <x v="2"/>
    <x v="1"/>
    <n v="5"/>
    <m/>
    <s v="TB233"/>
    <s v="105BN"/>
    <s v="2B"/>
    <s v="2C"/>
    <s v="--"/>
    <s v="--"/>
    <s v="NR"/>
    <s v="NA"/>
    <s v="DO"/>
    <s v="有源常开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27"/>
    <s v="2TETP001HXT"/>
    <s v="2TETP-007PO"/>
    <s v="Q"/>
    <s v="R2TETP007PO_Q"/>
    <s v="输送泵2 2TETP-007PO启动"/>
    <s v="TETP"/>
    <s v="1812-B1131YKS05-001-037"/>
    <x v="0"/>
    <s v="DO211"/>
    <x v="2"/>
    <s v="2TEKC001AR105DO"/>
    <n v="1"/>
    <x v="2"/>
    <x v="2"/>
    <n v="5"/>
    <m/>
    <s v="TB233"/>
    <s v="105BN"/>
    <s v="3B"/>
    <s v="3C"/>
    <s v="--"/>
    <s v="--"/>
    <s v="NR"/>
    <s v="NA"/>
    <s v="DO"/>
    <s v="有源常开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28"/>
    <s v="2TETP001HXT"/>
    <s v="2TETP-007PO"/>
    <s v="T"/>
    <s v="R2TETP007PO_T"/>
    <s v="输送泵2 2TETP-007PO停止"/>
    <s v="TETP"/>
    <s v="1812-B1131YKS05-001-037"/>
    <x v="0"/>
    <s v="DO211"/>
    <x v="2"/>
    <s v="2TEKC001AR105DO"/>
    <n v="1"/>
    <x v="2"/>
    <x v="3"/>
    <n v="5"/>
    <m/>
    <s v="TB233"/>
    <s v="105BN"/>
    <s v="4B"/>
    <s v="4C"/>
    <s v="--"/>
    <s v="--"/>
    <s v="NR"/>
    <s v="NA"/>
    <s v="DO"/>
    <s v="有源常开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29"/>
    <s v="2TETP001HXT"/>
    <s v="2TETP-008PO"/>
    <s v="Q"/>
    <s v="R2TETP008PO_Q"/>
    <s v="输送泵3 2TETP-008PO启动"/>
    <s v="TETP"/>
    <s v="1812-B1131YKS05-001-036"/>
    <x v="0"/>
    <s v="DO211"/>
    <x v="2"/>
    <s v="2TEKC001AR105DO"/>
    <n v="1"/>
    <x v="2"/>
    <x v="4"/>
    <n v="5"/>
    <m/>
    <s v="TB233"/>
    <s v="105BN"/>
    <s v="5B"/>
    <s v="5C"/>
    <s v="--"/>
    <s v="--"/>
    <s v="NR"/>
    <s v="NA"/>
    <s v="DO"/>
    <s v="有源常开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30"/>
    <s v="2TETP001HXT"/>
    <s v="2TETP-008PO"/>
    <s v="T"/>
    <s v="R2TETP008PO_T"/>
    <s v="输送泵3 2TETP-008PO停止"/>
    <s v="TETP"/>
    <s v="1812-B1131YKS05-001-036"/>
    <x v="0"/>
    <s v="DO211"/>
    <x v="2"/>
    <s v="2TEKC001AR105DO"/>
    <n v="1"/>
    <x v="2"/>
    <x v="5"/>
    <n v="5"/>
    <m/>
    <s v="TB233"/>
    <s v="105BN"/>
    <s v="6B"/>
    <s v="6C"/>
    <s v="--"/>
    <s v="--"/>
    <s v="NR"/>
    <s v="NA"/>
    <s v="DO"/>
    <s v="有源常开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31"/>
    <s v="2TETP001HXT"/>
    <s v="2TETP-009PO"/>
    <s v="Q"/>
    <s v="R2TETP009PO_Q"/>
    <s v="废液泵2TETP-009PO启动"/>
    <s v="TETP"/>
    <s v="1812-B1131YKS05-001-035"/>
    <x v="0"/>
    <s v="DO211"/>
    <x v="2"/>
    <s v="2TEKC001AR105DO"/>
    <n v="1"/>
    <x v="2"/>
    <x v="6"/>
    <n v="5"/>
    <m/>
    <s v="TB233"/>
    <s v="105BN"/>
    <s v="7B"/>
    <s v="7C"/>
    <s v="--"/>
    <s v="--"/>
    <s v="NR"/>
    <s v="NA"/>
    <s v="DO"/>
    <s v="有源常开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32"/>
    <s v="2TETP001HXT"/>
    <s v="2TETP-009PO"/>
    <s v="T"/>
    <s v="R2TETP009PO_T"/>
    <s v="废液泵2TETP-009PO停止"/>
    <s v="TETP"/>
    <s v="1812-B1131YKS05-001-035"/>
    <x v="0"/>
    <s v="DO211"/>
    <x v="2"/>
    <s v="2TEKC001AR105DO"/>
    <n v="1"/>
    <x v="2"/>
    <x v="7"/>
    <n v="5"/>
    <m/>
    <s v="TB233"/>
    <s v="105BN"/>
    <s v="8B"/>
    <s v="8C"/>
    <s v="--"/>
    <s v="--"/>
    <s v="NR"/>
    <s v="NA"/>
    <s v="DO"/>
    <s v="有源常开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33"/>
    <s v="备用"/>
    <s v="2TEKC001AR105DOCH09"/>
    <m/>
    <s v="R2TEKC001AR105DOCH09"/>
    <s v="备用"/>
    <s v="TETP"/>
    <s v="1812-B1131YKS05-001-036"/>
    <x v="0"/>
    <s v="DO211"/>
    <x v="2"/>
    <s v="2TEKC001AR105DO"/>
    <n v="1"/>
    <x v="2"/>
    <x v="8"/>
    <n v="5"/>
    <m/>
    <s v="TB233"/>
    <s v="105BN"/>
    <s v="9B"/>
    <s v="9C"/>
    <s v="--"/>
    <s v="--"/>
    <s v="NR"/>
    <s v="NA"/>
    <s v="DO"/>
    <s v="有源常开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34"/>
    <s v="备用"/>
    <s v="2TEKC001AR105DOCH10"/>
    <m/>
    <s v="R2TEKC001AR105DOCH10"/>
    <s v="备用"/>
    <s v="TETP"/>
    <s v="1812-B1131YKS05-001-037"/>
    <x v="0"/>
    <s v="DO211"/>
    <x v="2"/>
    <s v="2TEKC001AR105DO"/>
    <n v="1"/>
    <x v="2"/>
    <x v="9"/>
    <n v="5"/>
    <m/>
    <s v="TB233"/>
    <s v="105BN"/>
    <s v="10B"/>
    <s v="10C"/>
    <s v="--"/>
    <s v="--"/>
    <s v="NR"/>
    <s v="NA"/>
    <s v="DO"/>
    <s v="有源常开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35"/>
    <s v="备用"/>
    <s v="2TEKC001AR105DOCH11"/>
    <m/>
    <s v="R2TEKC001AR105DOCH11"/>
    <s v="备用"/>
    <s v="TETP"/>
    <s v="1812-B1131YKS05-001-038"/>
    <x v="0"/>
    <s v="DO211"/>
    <x v="2"/>
    <s v="2TEKC001AR105DO"/>
    <n v="1"/>
    <x v="2"/>
    <x v="10"/>
    <n v="5"/>
    <m/>
    <s v="TB233"/>
    <s v="105BN"/>
    <s v="11B"/>
    <s v="11C"/>
    <s v="--"/>
    <s v="--"/>
    <s v="NR"/>
    <s v="NA"/>
    <s v="DO"/>
    <s v="有源常开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36"/>
    <s v="备用"/>
    <s v="2TEKC001AR105DOCH12"/>
    <m/>
    <s v="R2TEKC001AR105DOCH12"/>
    <s v="备用"/>
    <s v="TETP"/>
    <s v="1812-B1131YKS05-001-039"/>
    <x v="0"/>
    <s v="DO211"/>
    <x v="2"/>
    <s v="2TEKC001AR105DO"/>
    <n v="1"/>
    <x v="2"/>
    <x v="11"/>
    <n v="5"/>
    <m/>
    <s v="TB233"/>
    <s v="105BN"/>
    <s v="12B"/>
    <s v="12C"/>
    <s v="--"/>
    <s v="--"/>
    <s v="NR"/>
    <s v="NA"/>
    <s v="DO"/>
    <s v="有源常开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37"/>
    <s v="备用"/>
    <s v="2TEKC001AR105DOCH13"/>
    <m/>
    <s v="R2TEKC001AR105DOCH13"/>
    <s v="备用"/>
    <s v="TETP"/>
    <s v="1812-B1131YKS05-001-040"/>
    <x v="0"/>
    <s v="DO211"/>
    <x v="2"/>
    <s v="2TEKC001AR105DO"/>
    <n v="1"/>
    <x v="2"/>
    <x v="12"/>
    <n v="5"/>
    <m/>
    <s v="TB233"/>
    <s v="105BN"/>
    <s v="13B"/>
    <s v="13C"/>
    <s v="--"/>
    <s v="--"/>
    <s v="NR"/>
    <s v="NA"/>
    <s v="DO"/>
    <s v="有源常开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38"/>
    <s v="备用"/>
    <s v="2TEKC001AR105DOCH14"/>
    <m/>
    <s v="R2TEKC001AR105DOCH14"/>
    <s v="备用"/>
    <s v="TETP"/>
    <s v="1812-B1131YKS05-001-041"/>
    <x v="0"/>
    <s v="DO211"/>
    <x v="2"/>
    <s v="2TEKC001AR105DO"/>
    <n v="1"/>
    <x v="2"/>
    <x v="13"/>
    <n v="5"/>
    <m/>
    <s v="TB233"/>
    <s v="105BN"/>
    <s v="14B"/>
    <s v="14C"/>
    <s v="--"/>
    <s v="--"/>
    <s v="NR"/>
    <s v="NA"/>
    <s v="DO"/>
    <s v="有源常开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39"/>
    <s v="备用"/>
    <s v="2TEKC001AR105DOCH15"/>
    <m/>
    <s v="R2TEKC001AR105DOCH15"/>
    <s v="备用"/>
    <s v="TETP"/>
    <s v="1812-B1131YKS05-001-042"/>
    <x v="0"/>
    <s v="DO211"/>
    <x v="2"/>
    <s v="2TEKC001AR105DO"/>
    <n v="1"/>
    <x v="2"/>
    <x v="14"/>
    <n v="5"/>
    <m/>
    <s v="TB233"/>
    <s v="105BN"/>
    <s v="15B"/>
    <s v="15C"/>
    <s v="--"/>
    <s v="--"/>
    <s v="NR"/>
    <s v="NA"/>
    <s v="DO"/>
    <s v="有源常开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40"/>
    <s v="备用"/>
    <s v="2TEKC001AR105DOCH16"/>
    <m/>
    <s v="R2TEKC001AR105DOCH16"/>
    <s v="备用"/>
    <s v="TETP"/>
    <s v="1812-B1131YKS05-001-043"/>
    <x v="0"/>
    <s v="DO211"/>
    <x v="2"/>
    <s v="2TEKC001AR105DO"/>
    <n v="1"/>
    <x v="2"/>
    <x v="15"/>
    <n v="5"/>
    <m/>
    <s v="TB233"/>
    <s v="105BN"/>
    <s v="16B"/>
    <s v="16C"/>
    <s v="--"/>
    <s v="--"/>
    <s v="NR"/>
    <s v="NA"/>
    <s v="DO"/>
    <s v="有源常开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41"/>
    <s v="2TETP001HXT"/>
    <s v="2FT-TETP009PO"/>
    <n v="2"/>
    <s v="R2FTTETP009PO_2"/>
    <s v="涡轮流量计输送泵2TETP-009_x000a_PO出口流量"/>
    <s v="TETP"/>
    <s v="1812-B1131YKS05-101-004"/>
    <x v="0"/>
    <s v="PI211"/>
    <x v="3"/>
    <s v="2TEKC001AR106PI"/>
    <n v="1"/>
    <x v="3"/>
    <x v="0"/>
    <n v="6"/>
    <m/>
    <s v="TB244"/>
    <s v="106BN"/>
    <n v="1"/>
    <n v="3"/>
    <s v="--"/>
    <s v="--"/>
    <s v="NR"/>
    <s v="NA"/>
    <s v="PI"/>
    <s v="脉冲"/>
    <s v="DCS"/>
    <s v="P3"/>
    <s v="四线制变送器（24VDC独立供电）"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42"/>
    <s v="2TETP001HXT"/>
    <s v="2FT-TETP006PO"/>
    <n v="2"/>
    <s v="R2FTTETP006PO_2"/>
    <s v="涡轮流量计输送泵2TETP-006/ 007PO出口流量"/>
    <s v="TETP"/>
    <s v="1812-B1131YKS05-101-002"/>
    <x v="0"/>
    <s v="PI211"/>
    <x v="3"/>
    <s v="2TEKC001AR106PI"/>
    <n v="1"/>
    <x v="3"/>
    <x v="1"/>
    <n v="6"/>
    <m/>
    <s v="TB244"/>
    <s v="106BN"/>
    <n v="5"/>
    <n v="7"/>
    <s v="--"/>
    <s v="--"/>
    <s v="NR"/>
    <s v="NA"/>
    <s v="PI"/>
    <s v="脉冲"/>
    <s v="DCS"/>
    <s v="P3"/>
    <s v="四线制变送器（24VDC独立供电）"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43"/>
    <s v="2TETP001HXT"/>
    <s v="2FT-TETP008PO"/>
    <n v="2"/>
    <s v="R2FTTETP008PO_2"/>
    <s v="涡轮流量计废液泵2TETP-008 PO出口流量"/>
    <s v="TETP"/>
    <s v="1812-B1131YKS05-101-003"/>
    <x v="0"/>
    <s v="PI211"/>
    <x v="3"/>
    <s v="2TEKC001AR106PI"/>
    <n v="1"/>
    <x v="3"/>
    <x v="2"/>
    <n v="6"/>
    <m/>
    <s v="TB244"/>
    <s v="106BN"/>
    <n v="9"/>
    <n v="11"/>
    <s v="--"/>
    <s v="--"/>
    <s v="NR"/>
    <s v="NA"/>
    <s v="PI"/>
    <s v="脉冲"/>
    <s v="DCS"/>
    <s v="P3"/>
    <s v="四线制变送器（24VDC独立供电）"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44"/>
    <s v="备用"/>
    <s v="2TEKC001AR106PICH04"/>
    <m/>
    <s v="R2TEKC001AR106PICH04"/>
    <s v="备用"/>
    <s v="TETP"/>
    <s v="1812-B1131YKS05-101-004"/>
    <x v="0"/>
    <s v="PI211"/>
    <x v="3"/>
    <s v="2TEKC001AR106PI"/>
    <n v="1"/>
    <x v="3"/>
    <x v="3"/>
    <n v="6"/>
    <m/>
    <s v="TB244"/>
    <s v="106BN"/>
    <n v="13"/>
    <n v="15"/>
    <s v="--"/>
    <s v="--"/>
    <s v="NR"/>
    <s v="NA"/>
    <s v="PI"/>
    <s v="脉冲"/>
    <s v="DCS"/>
    <s v="P3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45"/>
    <s v="备用"/>
    <s v="2TEKC001AR106PICH05"/>
    <m/>
    <s v="R2TEKC001AR106PICH05"/>
    <s v="备用"/>
    <s v="TETP"/>
    <s v="1812-B1131YKS05-101-005"/>
    <x v="0"/>
    <s v="PI211"/>
    <x v="3"/>
    <s v="2TEKC001AR106PI"/>
    <n v="1"/>
    <x v="3"/>
    <x v="4"/>
    <n v="6"/>
    <m/>
    <s v="TB244"/>
    <s v="106BN"/>
    <n v="17"/>
    <n v="19"/>
    <s v="--"/>
    <s v="--"/>
    <s v="NR"/>
    <s v="NA"/>
    <s v="PI"/>
    <s v="脉冲"/>
    <s v="DCS"/>
    <s v="P3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46"/>
    <s v="备用"/>
    <s v="2TEKC001AR106PICH06"/>
    <m/>
    <s v="R2TEKC001AR106PICH06"/>
    <s v="备用"/>
    <s v="TETP"/>
    <s v="1812-B1131YKS05-101-006"/>
    <x v="0"/>
    <s v="PI211"/>
    <x v="3"/>
    <s v="2TEKC001AR106PI"/>
    <n v="1"/>
    <x v="3"/>
    <x v="5"/>
    <n v="6"/>
    <m/>
    <s v="TB244"/>
    <s v="106BN"/>
    <n v="21"/>
    <n v="23"/>
    <s v="--"/>
    <s v="--"/>
    <s v="NR"/>
    <s v="NA"/>
    <s v="PI"/>
    <s v="脉冲"/>
    <s v="DCS"/>
    <s v="P3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47"/>
    <s v="备用"/>
    <s v="2TEKC001AR106PICH07"/>
    <m/>
    <s v="R2TEKC001AR106PICH07"/>
    <s v="备用"/>
    <s v="TETP"/>
    <s v="1812-B1131YKS05-101-007"/>
    <x v="0"/>
    <s v="PI211"/>
    <x v="3"/>
    <s v="2TEKC001AR106PI"/>
    <n v="1"/>
    <x v="3"/>
    <x v="6"/>
    <n v="6"/>
    <m/>
    <s v="TB244"/>
    <s v="106BN"/>
    <n v="25"/>
    <n v="27"/>
    <s v="--"/>
    <s v="--"/>
    <s v="NR"/>
    <s v="NA"/>
    <s v="PI"/>
    <s v="脉冲"/>
    <s v="DCS"/>
    <s v="P3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48"/>
    <s v="备用"/>
    <s v="2TEKC001AR106PICH08"/>
    <m/>
    <s v="R2TEKC001AR106PICH08"/>
    <s v="备用"/>
    <s v="TETP"/>
    <s v="1812-B1131YKS05-101-008"/>
    <x v="0"/>
    <s v="PI211"/>
    <x v="3"/>
    <s v="2TEKC001AR106PI"/>
    <n v="1"/>
    <x v="3"/>
    <x v="7"/>
    <n v="6"/>
    <m/>
    <s v="TB244"/>
    <s v="106BN"/>
    <n v="29"/>
    <n v="31"/>
    <s v="--"/>
    <s v="--"/>
    <s v="NR"/>
    <s v="NA"/>
    <s v="PI"/>
    <s v="脉冲"/>
    <s v="DCS"/>
    <s v="P3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49"/>
    <s v="2TETP002HXT"/>
    <s v="2TETP-067VKE"/>
    <s v="KG"/>
    <s v="R2TETP067VKE_KG"/>
    <s v="气动波纹管阀门开/关"/>
    <s v="TETP"/>
    <s v="1812-B1131YKS05-001-017"/>
    <x v="0"/>
    <s v="DP211"/>
    <x v="4"/>
    <s v="2TEKC001AR107DP"/>
    <n v="1"/>
    <x v="4"/>
    <x v="0"/>
    <n v="7"/>
    <n v="1"/>
    <s v="TB272"/>
    <s v="107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1CR"/>
    <s v="A"/>
    <m/>
    <m/>
    <s v="2TEKC-001CR串接2TEKC-00_x000a_2CR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50"/>
    <s v="2TETP002HXT"/>
    <s v="2TETP-067VKE"/>
    <s v="KW"/>
    <s v="R2TETP067VKE_KW"/>
    <s v="气动波纹管阀门开反馈"/>
    <s v="TETP"/>
    <s v="1812-B1131YKS05-001-017"/>
    <x v="0"/>
    <s v="DP211"/>
    <x v="4"/>
    <s v="2TEKC001AR107DP"/>
    <n v="1"/>
    <x v="4"/>
    <x v="0"/>
    <n v="7"/>
    <n v="1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51"/>
    <s v="2TETP002HXT"/>
    <s v="2TETP-067VKE"/>
    <s v="GW"/>
    <s v="R2TETP067VKE_GW"/>
    <s v="气动波纹管阀门关反馈"/>
    <s v="TETP"/>
    <s v="1812-B1131YKS05-001-017"/>
    <x v="0"/>
    <s v="DP211"/>
    <x v="4"/>
    <s v="2TEKC001AR107DP"/>
    <n v="1"/>
    <x v="4"/>
    <x v="0"/>
    <n v="7"/>
    <n v="1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52"/>
    <s v="2TETP001HXT"/>
    <s v="2TETP-069VKE"/>
    <s v="K"/>
    <s v="R2TETP069VKE_K"/>
    <s v="气动波纹管阀门开"/>
    <s v="TETP"/>
    <s v="1812-B1131YKS05-001-015"/>
    <x v="0"/>
    <s v="DP211"/>
    <x v="4"/>
    <s v="2TEKC001AR107DP"/>
    <n v="1"/>
    <x v="4"/>
    <x v="0"/>
    <n v="7"/>
    <n v="2"/>
    <s v="TB272"/>
    <s v="107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53"/>
    <s v="2TETP001HXT"/>
    <s v="2TETP-069VKE"/>
    <s v="KW"/>
    <s v="R2TETP069VKE_KW"/>
    <s v="气动波纹管阀门开反馈"/>
    <s v="TETP"/>
    <s v="1812-B1131YKS05-001-015"/>
    <x v="0"/>
    <s v="DP211"/>
    <x v="4"/>
    <s v="2TEKC001AR107DP"/>
    <n v="1"/>
    <x v="4"/>
    <x v="0"/>
    <n v="7"/>
    <n v="2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54"/>
    <s v="2TETP001HXT"/>
    <s v="2TETP-069VKE"/>
    <s v="GW"/>
    <s v="R2TETP069VKE_GW"/>
    <s v="气动波纹管阀门关反馈"/>
    <s v="TETP"/>
    <s v="1812-B1131YKS05-001-015"/>
    <x v="0"/>
    <s v="DP211"/>
    <x v="4"/>
    <s v="2TEKC001AR107DP"/>
    <n v="1"/>
    <x v="4"/>
    <x v="0"/>
    <n v="7"/>
    <n v="2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55"/>
    <s v="2TETP001HXT"/>
    <s v="2TETP-069VKE"/>
    <s v="G"/>
    <s v="R2TETP069VKE_G"/>
    <s v="气动波纹管阀门关"/>
    <s v="TETP"/>
    <s v="1812-B1131YKS05-001-015"/>
    <x v="0"/>
    <s v="DP211"/>
    <x v="4"/>
    <s v="2TEKC001AR107DP"/>
    <n v="1"/>
    <x v="4"/>
    <x v="0"/>
    <n v="7"/>
    <n v="2"/>
    <s v="TB272"/>
    <s v="107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56"/>
    <s v="2TETP001HXT"/>
    <s v="2TETP-071VKE"/>
    <s v="K"/>
    <s v="R2TETP071VKE_K"/>
    <s v="气动波纹管阀门开"/>
    <s v="TETP"/>
    <s v="1812-B1131YKS05-001-013"/>
    <x v="0"/>
    <s v="DP211"/>
    <x v="4"/>
    <s v="2TEKC001AR107DP"/>
    <n v="1"/>
    <x v="4"/>
    <x v="0"/>
    <n v="7"/>
    <n v="3"/>
    <s v="TB272"/>
    <s v="107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57"/>
    <s v="2TETP001HXT"/>
    <s v="2TETP-071VKE"/>
    <s v="KW"/>
    <s v="R2TETP071VKE_KW"/>
    <s v="气动波纹管阀门开反馈"/>
    <s v="TETP"/>
    <s v="1812-B1131YKS05-001-013"/>
    <x v="0"/>
    <s v="DP211"/>
    <x v="4"/>
    <s v="2TEKC001AR107DP"/>
    <n v="1"/>
    <x v="4"/>
    <x v="0"/>
    <n v="7"/>
    <n v="3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58"/>
    <s v="2TETP001HXT"/>
    <s v="2TETP-071VKE"/>
    <s v="GW"/>
    <s v="R2TETP071VKE_GW"/>
    <s v="气动波纹管阀门关反馈"/>
    <s v="TETP"/>
    <s v="1812-B1131YKS05-001-013"/>
    <x v="0"/>
    <s v="DP211"/>
    <x v="4"/>
    <s v="2TEKC001AR107DP"/>
    <n v="1"/>
    <x v="4"/>
    <x v="0"/>
    <n v="7"/>
    <n v="3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59"/>
    <s v="2TETP001HXT"/>
    <s v="2TETP-071VKE"/>
    <s v="G"/>
    <s v="R2TETP071VKE_G"/>
    <s v="气动波纹管阀门关"/>
    <s v="TETP"/>
    <s v="1812-B1131YKS05-001-013"/>
    <x v="0"/>
    <s v="DP211"/>
    <x v="4"/>
    <s v="2TEKC001AR107DP"/>
    <n v="1"/>
    <x v="4"/>
    <x v="0"/>
    <n v="7"/>
    <n v="3"/>
    <s v="TB272"/>
    <s v="107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60"/>
    <s v="2TETP001HXT"/>
    <s v="2TETP-075VKE"/>
    <s v="KG"/>
    <s v="R2TETP075VKE_KG"/>
    <s v="气动波纹管阀门开/关"/>
    <s v="TETP"/>
    <s v="1812-B1131YKS05-001-009"/>
    <x v="0"/>
    <s v="DP211"/>
    <x v="4"/>
    <s v="2TEKC001AR107DP"/>
    <n v="1"/>
    <x v="4"/>
    <x v="0"/>
    <n v="7"/>
    <n v="4"/>
    <s v="TB272"/>
    <s v="107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61"/>
    <s v="2TETP001HXT"/>
    <s v="2TETP-075VKE"/>
    <s v="KW"/>
    <s v="R2TETP075VKE_KW"/>
    <s v="气动波纹管阀门开反馈"/>
    <s v="TETP"/>
    <s v="1812-B1131YKS05-001-009"/>
    <x v="0"/>
    <s v="DP211"/>
    <x v="4"/>
    <s v="2TEKC001AR107DP"/>
    <n v="1"/>
    <x v="4"/>
    <x v="0"/>
    <n v="7"/>
    <n v="4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62"/>
    <s v="2TETP001HXT"/>
    <s v="2TETP-075VKE"/>
    <s v="GW"/>
    <s v="R2TETP075VKE_GW"/>
    <s v="气动波纹管阀门关反馈"/>
    <s v="TETP"/>
    <s v="1812-B1131YKS05-001-009"/>
    <x v="0"/>
    <s v="DP211"/>
    <x v="4"/>
    <s v="2TEKC001AR107DP"/>
    <n v="1"/>
    <x v="4"/>
    <x v="0"/>
    <n v="7"/>
    <n v="4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63"/>
    <s v="2TETP001HXT"/>
    <s v="2TETP-080VKE"/>
    <s v="KG"/>
    <s v="R2TETP080VKE_KG"/>
    <s v="气动波纹管阀门开/关"/>
    <s v="TETP"/>
    <s v="1812-B1131YKS05-001-004"/>
    <x v="0"/>
    <s v="DP211"/>
    <x v="4"/>
    <s v="2TEKC001AR107DP"/>
    <n v="1"/>
    <x v="4"/>
    <x v="0"/>
    <n v="7"/>
    <n v="5"/>
    <s v="TB272"/>
    <s v="107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64"/>
    <s v="2TETP001HXT"/>
    <s v="2TETP-080VKE"/>
    <s v="KW"/>
    <s v="R2TETP080VKE_KW"/>
    <s v="气动波纹管阀门开反馈"/>
    <s v="TETP"/>
    <s v="1812-B1131YKS05-001-004"/>
    <x v="0"/>
    <s v="DP211"/>
    <x v="4"/>
    <s v="2TEKC001AR107DP"/>
    <n v="1"/>
    <x v="4"/>
    <x v="0"/>
    <n v="7"/>
    <n v="5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65"/>
    <s v="2TETP001HXT"/>
    <s v="2TETP-080VKE"/>
    <s v="GW"/>
    <s v="R2TETP080VKE_GW"/>
    <s v="气动波纹管阀门关反馈"/>
    <s v="TETP"/>
    <s v="1812-B1131YKS05-001-004"/>
    <x v="0"/>
    <s v="DP211"/>
    <x v="4"/>
    <s v="2TEKC001AR107DP"/>
    <n v="1"/>
    <x v="4"/>
    <x v="0"/>
    <n v="7"/>
    <n v="5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66"/>
    <s v="2TETP002HXT"/>
    <s v="2TETP-053VKE"/>
    <s v="K"/>
    <s v="R2TETP053VKE_K"/>
    <s v="气动波纹管阀门开"/>
    <s v="TETP"/>
    <s v="1812-B1131YKS05-001-031"/>
    <x v="0"/>
    <s v="DP211"/>
    <x v="4"/>
    <s v="2TEKC001AR107DP"/>
    <n v="1"/>
    <x v="4"/>
    <x v="0"/>
    <n v="7"/>
    <n v="6"/>
    <s v="TB272"/>
    <s v="107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2CR"/>
    <s v="A"/>
    <m/>
    <m/>
    <s v="2TEKC-001CR串接2TEKC-00_x000a_2CR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67"/>
    <s v="2TETP002HXT"/>
    <s v="2TETP-053VKE"/>
    <s v="KW"/>
    <s v="R2TETP053VKE_KW"/>
    <s v="气动波纹管阀门开反馈"/>
    <s v="TETP"/>
    <s v="1812-B1131YKS05-001-031"/>
    <x v="0"/>
    <s v="DP211"/>
    <x v="4"/>
    <s v="2TEKC001AR107DP"/>
    <n v="1"/>
    <x v="4"/>
    <x v="0"/>
    <n v="7"/>
    <n v="6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68"/>
    <s v="2TETP002HXT"/>
    <s v="2TETP-053VKE"/>
    <s v="GW"/>
    <s v="R2TETP053VKE_GW"/>
    <s v="气动波纹管阀门关反馈"/>
    <s v="TETP"/>
    <s v="1812-B1131YKS05-001-031"/>
    <x v="0"/>
    <s v="DP211"/>
    <x v="4"/>
    <s v="2TEKC001AR107DP"/>
    <n v="1"/>
    <x v="4"/>
    <x v="0"/>
    <n v="7"/>
    <n v="6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69"/>
    <s v="2TETP002HXT"/>
    <s v="2TETP-053VKE"/>
    <s v="G"/>
    <s v="R2TETP053VKE_G"/>
    <s v="气动波纹管阀门关"/>
    <s v="TETP"/>
    <s v="1812-B1131YKS05-001-031"/>
    <x v="0"/>
    <s v="DP211"/>
    <x v="4"/>
    <s v="2TEKC001AR107DP"/>
    <n v="1"/>
    <x v="4"/>
    <x v="0"/>
    <n v="7"/>
    <n v="6"/>
    <s v="TB272"/>
    <s v="107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70"/>
    <s v="2TETP002HXT"/>
    <s v="2TETP-054VKE"/>
    <s v="K"/>
    <s v="R2TETP054VKE_K"/>
    <s v="气动波纹管阀门开"/>
    <s v="TETP"/>
    <s v="1812-B1131YKS05-001-030"/>
    <x v="0"/>
    <s v="DP211"/>
    <x v="4"/>
    <s v="2TEKC001AR107DP"/>
    <n v="1"/>
    <x v="4"/>
    <x v="0"/>
    <n v="7"/>
    <n v="7"/>
    <s v="TB272"/>
    <s v="107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71"/>
    <s v="2TETP002HXT"/>
    <s v="2TETP-054VKE"/>
    <s v="KW"/>
    <s v="R2TETP054VKE_KW"/>
    <s v="气动波纹管阀门开反馈"/>
    <s v="TETP"/>
    <s v="1812-B1131YKS05-001-030"/>
    <x v="0"/>
    <s v="DP211"/>
    <x v="4"/>
    <s v="2TEKC001AR107DP"/>
    <n v="1"/>
    <x v="4"/>
    <x v="0"/>
    <n v="7"/>
    <n v="7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72"/>
    <s v="2TETP002HXT"/>
    <s v="2TETP-054VKE"/>
    <s v="GW"/>
    <s v="R2TETP054VKE_GW"/>
    <s v="气动波纹管阀门关反馈"/>
    <s v="TETP"/>
    <s v="1812-B1131YKS05-001-030"/>
    <x v="0"/>
    <s v="DP211"/>
    <x v="4"/>
    <s v="2TEKC001AR107DP"/>
    <n v="1"/>
    <x v="4"/>
    <x v="0"/>
    <n v="7"/>
    <n v="7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73"/>
    <s v="2TETP002HXT"/>
    <s v="2TETP-054VKE"/>
    <s v="G"/>
    <s v="R2TETP054VKE_G"/>
    <s v="气动波纹管阀门关"/>
    <s v="TETP"/>
    <s v="1812-B1131YKS05-001-030"/>
    <x v="0"/>
    <s v="DP211"/>
    <x v="4"/>
    <s v="2TEKC001AR107DP"/>
    <n v="1"/>
    <x v="4"/>
    <x v="0"/>
    <n v="7"/>
    <n v="7"/>
    <s v="TB272"/>
    <s v="107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74"/>
    <s v="2TETP002HXT"/>
    <s v="2TETP-055VKE"/>
    <s v="K"/>
    <s v="R2TETP055VKE_K"/>
    <s v="气动波纹管阀门开"/>
    <s v="TETP"/>
    <s v="1812-B1131YKS05-001-029"/>
    <x v="0"/>
    <s v="DP211"/>
    <x v="4"/>
    <s v="2TEKC001AR107DP"/>
    <n v="1"/>
    <x v="4"/>
    <x v="0"/>
    <n v="7"/>
    <n v="8"/>
    <s v="TB272"/>
    <s v="107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75"/>
    <s v="2TETP002HXT"/>
    <s v="2TETP-055VKE"/>
    <s v="KW"/>
    <s v="R2TETP055VKE_KW"/>
    <s v="气动波纹管阀门开反馈"/>
    <s v="TETP"/>
    <s v="1812-B1131YKS05-001-029"/>
    <x v="0"/>
    <s v="DP211"/>
    <x v="4"/>
    <s v="2TEKC001AR107DP"/>
    <n v="1"/>
    <x v="4"/>
    <x v="0"/>
    <n v="7"/>
    <n v="8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76"/>
    <s v="2TETP002HXT"/>
    <s v="2TETP-055VKE"/>
    <s v="GW"/>
    <s v="R2TETP055VKE_GW"/>
    <s v="气动波纹管阀门关反馈"/>
    <s v="TETP"/>
    <s v="1812-B1131YKS05-001-029"/>
    <x v="0"/>
    <s v="DP211"/>
    <x v="4"/>
    <s v="2TEKC001AR107DP"/>
    <n v="1"/>
    <x v="4"/>
    <x v="0"/>
    <n v="7"/>
    <n v="8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77"/>
    <s v="2TETP002HXT"/>
    <s v="2TETP-055VKE"/>
    <s v="G"/>
    <s v="R2TETP055VKE_G"/>
    <s v="气动波纹管阀门关"/>
    <s v="TETP"/>
    <s v="1812-B1131YKS05-001-029"/>
    <x v="0"/>
    <s v="DP211"/>
    <x v="4"/>
    <s v="2TEKC001AR107DP"/>
    <n v="1"/>
    <x v="4"/>
    <x v="0"/>
    <n v="7"/>
    <n v="8"/>
    <s v="TB272"/>
    <s v="107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78"/>
    <s v="2TETP001HXT"/>
    <s v="2TETP-058VKE"/>
    <s v="KG"/>
    <s v="R2TETP058VKE_KG"/>
    <s v="气动波纹管阀门开/关"/>
    <s v="TETP"/>
    <s v="1812-B1131YKS05-001-026"/>
    <x v="0"/>
    <s v="DP211"/>
    <x v="4"/>
    <s v="2TEKC001AR107DP"/>
    <n v="1"/>
    <x v="4"/>
    <x v="0"/>
    <n v="7"/>
    <n v="9"/>
    <s v="TB272"/>
    <s v="107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79"/>
    <s v="2TETP001HXT"/>
    <s v="2TETP-058VKE"/>
    <s v="KW"/>
    <s v="R2TETP058VKE_KW"/>
    <s v="气动波纹管阀门开反馈"/>
    <s v="TETP"/>
    <s v="1812-B1131YKS05-001-026"/>
    <x v="0"/>
    <s v="DP211"/>
    <x v="4"/>
    <s v="2TEKC001AR107DP"/>
    <n v="1"/>
    <x v="4"/>
    <x v="0"/>
    <n v="7"/>
    <n v="9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80"/>
    <s v="2TETP001HXT"/>
    <s v="2TETP-058VKE"/>
    <s v="GW"/>
    <s v="R2TETP058VKE_GW"/>
    <s v="气动波纹管阀门关反馈"/>
    <s v="TETP"/>
    <s v="1812-B1131YKS05-001-026"/>
    <x v="0"/>
    <s v="DP211"/>
    <x v="4"/>
    <s v="2TEKC001AR107DP"/>
    <n v="1"/>
    <x v="4"/>
    <x v="0"/>
    <n v="7"/>
    <n v="9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81"/>
    <s v="2TETP001HXT"/>
    <s v="2TETP-059VKE"/>
    <s v="KG"/>
    <s v="R2TETP059VKE_KG"/>
    <s v="气动波纹管阀门开/关"/>
    <s v="TETP"/>
    <s v="1812-B1131YKS05-001-025"/>
    <x v="0"/>
    <s v="DP211"/>
    <x v="4"/>
    <s v="2TEKC001AR107DP"/>
    <n v="1"/>
    <x v="4"/>
    <x v="0"/>
    <n v="7"/>
    <n v="10"/>
    <s v="TB272"/>
    <s v="107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82"/>
    <s v="2TETP001HXT"/>
    <s v="2TETP-059VKE"/>
    <s v="KW"/>
    <s v="R2TETP059VKE_KW"/>
    <s v="气动波纹管阀门开反馈"/>
    <s v="TETP"/>
    <s v="1812-B1131YKS05-001-025"/>
    <x v="0"/>
    <s v="DP211"/>
    <x v="4"/>
    <s v="2TEKC001AR107DP"/>
    <n v="1"/>
    <x v="4"/>
    <x v="0"/>
    <n v="7"/>
    <n v="10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83"/>
    <s v="2TETP001HXT"/>
    <s v="2TETP-059VKE"/>
    <s v="GW"/>
    <s v="R2TETP059VKE_GW"/>
    <s v="气动波纹管阀门关反馈"/>
    <s v="TETP"/>
    <s v="1812-B1131YKS05-001-025"/>
    <x v="0"/>
    <s v="DP211"/>
    <x v="4"/>
    <s v="2TEKC001AR107DP"/>
    <n v="1"/>
    <x v="4"/>
    <x v="0"/>
    <n v="7"/>
    <n v="10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84"/>
    <s v="2TETP002HXT"/>
    <s v="2TETP-078VKE"/>
    <s v="K"/>
    <s v="R2TETP078VKE_K"/>
    <s v="气动波纹管阀门开"/>
    <s v="TETP"/>
    <s v="1812-B1131YKS05-001-006"/>
    <x v="0"/>
    <s v="DP211"/>
    <x v="4"/>
    <s v="2TEKC001AR107DP"/>
    <n v="1"/>
    <x v="4"/>
    <x v="0"/>
    <n v="7"/>
    <n v="11"/>
    <s v="TB272"/>
    <s v="107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85"/>
    <s v="2TETP002HXT"/>
    <s v="2TETP-078VKE"/>
    <s v="KW"/>
    <s v="R2TETP078VKE_KW"/>
    <s v="气动波纹管阀门开反馈"/>
    <s v="TETP"/>
    <s v="1812-B1131YKS05-001-006"/>
    <x v="0"/>
    <s v="DP211"/>
    <x v="4"/>
    <s v="2TEKC001AR107DP"/>
    <n v="1"/>
    <x v="4"/>
    <x v="0"/>
    <n v="7"/>
    <n v="11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86"/>
    <s v="2TETP002HXT"/>
    <s v="2TETP-078VKE"/>
    <s v="GW"/>
    <s v="R2TETP078VKE_GW"/>
    <s v="气动波纹管阀门关反馈"/>
    <s v="TETP"/>
    <s v="1812-B1131YKS05-001-006"/>
    <x v="0"/>
    <s v="DP211"/>
    <x v="4"/>
    <s v="2TEKC001AR107DP"/>
    <n v="1"/>
    <x v="4"/>
    <x v="0"/>
    <n v="7"/>
    <n v="11"/>
    <s v="TB272"/>
    <s v="107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87"/>
    <s v="2TETP002HXT"/>
    <s v="2TETP-078VKE"/>
    <s v="G"/>
    <s v="R2TETP078VKE_G"/>
    <s v="气动波纹管阀门关"/>
    <s v="TETP"/>
    <s v="1812-B1131YKS05-001-006"/>
    <x v="0"/>
    <s v="DP211"/>
    <x v="4"/>
    <s v="2TEKC001AR107DP"/>
    <n v="1"/>
    <x v="4"/>
    <x v="0"/>
    <n v="7"/>
    <n v="11"/>
    <s v="TB272"/>
    <s v="107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88"/>
    <s v="2TETP002HXT"/>
    <s v="2TETP-050VKE"/>
    <s v="KG"/>
    <s v="R2TETP050VKE_KG"/>
    <s v="气动波纹管阀门开/关"/>
    <s v="TETP"/>
    <s v="1812-B1131YKS05-001-034"/>
    <x v="0"/>
    <s v="DP211"/>
    <x v="4"/>
    <s v="2TEKC001AR107DP"/>
    <n v="1"/>
    <x v="4"/>
    <x v="1"/>
    <n v="7"/>
    <n v="1"/>
    <s v="TB272"/>
    <s v="107BN"/>
    <s v="2--"/>
    <s v="2--"/>
    <s v="--"/>
    <s v="--"/>
    <s v="NR"/>
    <s v="NA"/>
    <s v="PROFIBUS（DO）"/>
    <s v="DP"/>
    <s v="DCS(提供220VAC)"/>
    <s v="DP2"/>
    <m/>
    <m/>
    <m/>
    <m/>
    <m/>
    <m/>
    <m/>
    <m/>
    <m/>
    <m/>
    <s v="2TEKC-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89"/>
    <s v="2TETP002HXT"/>
    <s v="2TETP-050VKE"/>
    <s v="KW"/>
    <s v="R2TETP050VKE_KW"/>
    <s v="气动波纹管阀门开反馈"/>
    <s v="TETP"/>
    <s v="1812-B1131YKS05-001-034"/>
    <x v="0"/>
    <s v="DP211"/>
    <x v="4"/>
    <s v="2TEKC001AR107DP"/>
    <n v="1"/>
    <x v="4"/>
    <x v="1"/>
    <n v="7"/>
    <n v="1"/>
    <s v="TB272"/>
    <s v="107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90"/>
    <s v="2TETP002HXT"/>
    <s v="2TETP-050VKE"/>
    <s v="GW"/>
    <s v="R2TETP050VKE_GW"/>
    <s v="气动波纹管阀门关反馈"/>
    <s v="TETP"/>
    <s v="1812-B1131YKS05-001-034"/>
    <x v="0"/>
    <s v="DP211"/>
    <x v="4"/>
    <s v="2TEKC001AR107DP"/>
    <n v="1"/>
    <x v="4"/>
    <x v="1"/>
    <n v="7"/>
    <n v="1"/>
    <s v="TB272"/>
    <s v="107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91"/>
    <s v="2TETP002HXT"/>
    <s v="2TETP-051VKE"/>
    <s v="KG"/>
    <s v="R2TETP051VKE_KG"/>
    <s v="气动波纹管阀门开/关"/>
    <s v="TETP"/>
    <s v="1812-B1131YKS05-001-033"/>
    <x v="0"/>
    <s v="DP211"/>
    <x v="4"/>
    <s v="2TEKC001AR107DP"/>
    <n v="1"/>
    <x v="4"/>
    <x v="1"/>
    <n v="7"/>
    <n v="2"/>
    <s v="TB272"/>
    <s v="107BN"/>
    <s v="2--"/>
    <s v="2--"/>
    <s v="--"/>
    <s v="--"/>
    <s v="NR"/>
    <s v="NA"/>
    <s v="PROFIBUS（DO）"/>
    <s v="DP"/>
    <s v="DCS(提供220VAC)"/>
    <s v="DP2"/>
    <m/>
    <m/>
    <m/>
    <m/>
    <m/>
    <m/>
    <m/>
    <m/>
    <m/>
    <m/>
    <s v="2TEKC-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92"/>
    <s v="2TETP002HXT"/>
    <s v="2TETP-051VKE"/>
    <s v="KW"/>
    <s v="R2TETP051VKE_KW"/>
    <s v="气动波纹管阀门开反馈"/>
    <s v="TETP"/>
    <s v="1812-B1131YKS05-001-033"/>
    <x v="0"/>
    <s v="DP211"/>
    <x v="4"/>
    <s v="2TEKC001AR107DP"/>
    <n v="1"/>
    <x v="4"/>
    <x v="1"/>
    <n v="7"/>
    <n v="2"/>
    <s v="TB272"/>
    <s v="107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93"/>
    <s v="2TETP002HXT"/>
    <s v="2TETP-051VKE"/>
    <s v="GW"/>
    <s v="R2TETP051VKE_GW"/>
    <s v="气动波纹管阀门关反馈"/>
    <s v="TETP"/>
    <s v="1812-B1131YKS05-001-033"/>
    <x v="0"/>
    <s v="DP211"/>
    <x v="4"/>
    <s v="2TEKC001AR107DP"/>
    <n v="1"/>
    <x v="4"/>
    <x v="1"/>
    <n v="7"/>
    <n v="2"/>
    <s v="TB272"/>
    <s v="107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94"/>
    <s v="2TETP002HXT"/>
    <s v="2TETP-052VKE"/>
    <s v="KG"/>
    <s v="R2TETP052VKE_KG"/>
    <s v="气动波纹管阀门开/关"/>
    <s v="TETP"/>
    <s v="1812-B1131YKS05-001-032"/>
    <x v="0"/>
    <s v="DP211"/>
    <x v="4"/>
    <s v="2TEKC001AR107DP"/>
    <n v="1"/>
    <x v="4"/>
    <x v="1"/>
    <n v="7"/>
    <n v="3"/>
    <s v="TB272"/>
    <s v="107BN"/>
    <s v="2--"/>
    <s v="2--"/>
    <s v="--"/>
    <s v="--"/>
    <s v="NR"/>
    <s v="NA"/>
    <s v="PROFIBUS（DO）"/>
    <s v="DP"/>
    <s v="DCS(提供220VAC)"/>
    <s v="DP2"/>
    <m/>
    <m/>
    <m/>
    <m/>
    <m/>
    <m/>
    <m/>
    <m/>
    <m/>
    <m/>
    <s v="2TEKC-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95"/>
    <s v="2TETP002HXT"/>
    <s v="2TETP-052VKE"/>
    <s v="KW"/>
    <s v="R2TETP052VKE_KW"/>
    <s v="气动波纹管阀门开反馈"/>
    <s v="TETP"/>
    <s v="1812-B1131YKS05-001-032"/>
    <x v="0"/>
    <s v="DP211"/>
    <x v="4"/>
    <s v="2TEKC001AR107DP"/>
    <n v="1"/>
    <x v="4"/>
    <x v="1"/>
    <n v="7"/>
    <n v="3"/>
    <s v="TB272"/>
    <s v="107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96"/>
    <s v="2TETP002HXT"/>
    <s v="2TETP-052VKE"/>
    <s v="GW"/>
    <s v="R2TETP052VKE_GW"/>
    <s v="气动波纹管阀门关反馈"/>
    <s v="TETP"/>
    <s v="1812-B1131YKS05-001-032"/>
    <x v="0"/>
    <s v="DP211"/>
    <x v="4"/>
    <s v="2TEKC001AR107DP"/>
    <n v="1"/>
    <x v="4"/>
    <x v="1"/>
    <n v="7"/>
    <n v="3"/>
    <s v="TB272"/>
    <s v="107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97"/>
    <s v="2TETP001HXT"/>
    <s v="2TETP-070VKE"/>
    <s v="K"/>
    <s v="R2TETP070VKE_K"/>
    <s v="气动波纹管阀门开"/>
    <s v="TETP"/>
    <s v="1812-B1131YKS05-001-014"/>
    <x v="0"/>
    <s v="DP211"/>
    <x v="4"/>
    <s v="2TEKC001AR107DP"/>
    <n v="1"/>
    <x v="4"/>
    <x v="1"/>
    <n v="7"/>
    <n v="4"/>
    <s v="TB272"/>
    <s v="107BN"/>
    <s v="2--"/>
    <s v="2--"/>
    <s v="--"/>
    <s v="--"/>
    <s v="NR"/>
    <s v="NA"/>
    <s v="PROFIBUS（DO）"/>
    <s v="DP"/>
    <s v="DCS(提供220VAC)"/>
    <s v="DP2"/>
    <m/>
    <m/>
    <m/>
    <m/>
    <m/>
    <m/>
    <m/>
    <m/>
    <m/>
    <m/>
    <s v="2TEKC-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98"/>
    <s v="2TETP001HXT"/>
    <s v="2TETP-070VKE"/>
    <s v="KW"/>
    <s v="R2TETP070VKE_KW"/>
    <s v="气动波纹管阀门开反馈"/>
    <s v="TETP"/>
    <s v="1812-B1131YKS05-001-014"/>
    <x v="0"/>
    <s v="DP211"/>
    <x v="4"/>
    <s v="2TEKC001AR107DP"/>
    <n v="1"/>
    <x v="4"/>
    <x v="1"/>
    <n v="7"/>
    <n v="4"/>
    <s v="TB272"/>
    <s v="107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99"/>
    <s v="2TETP001HXT"/>
    <s v="2TETP-070VKE"/>
    <s v="GW"/>
    <s v="R2TETP070VKE_GW"/>
    <s v="气动波纹管阀门关反馈"/>
    <s v="TETP"/>
    <s v="1812-B1131YKS05-001-014"/>
    <x v="0"/>
    <s v="DP211"/>
    <x v="4"/>
    <s v="2TEKC001AR107DP"/>
    <n v="1"/>
    <x v="4"/>
    <x v="1"/>
    <n v="7"/>
    <n v="4"/>
    <s v="TB272"/>
    <s v="107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00"/>
    <s v="2TETP001HXT"/>
    <s v="2TETP-070VKE"/>
    <s v="G"/>
    <s v="R2TETP070VKE_G"/>
    <s v="气动波纹管阀门关"/>
    <s v="TETP"/>
    <s v="1812-B1131YKS05-001-014"/>
    <x v="0"/>
    <s v="DP211"/>
    <x v="4"/>
    <s v="2TEKC001AR107DP"/>
    <n v="1"/>
    <x v="4"/>
    <x v="1"/>
    <n v="7"/>
    <n v="4"/>
    <s v="TB272"/>
    <s v="107BN"/>
    <s v="2--"/>
    <s v="2--"/>
    <s v="--"/>
    <s v="--"/>
    <s v="NR"/>
    <s v="NA"/>
    <s v="PROFIBUS（DO）"/>
    <s v="DP"/>
    <s v="DCS(提供220VAC)"/>
    <s v="DP2"/>
    <m/>
    <m/>
    <m/>
    <m/>
    <m/>
    <m/>
    <m/>
    <m/>
    <m/>
    <m/>
    <s v="2TEKC-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01"/>
    <s v="2TETP001HXT"/>
    <s v="2TETP-072VKE"/>
    <s v="K"/>
    <s v="R2TETP072VKE_K"/>
    <s v="气动波纹管阀门开"/>
    <s v="TETP"/>
    <s v="1812-B1131YKS05-001-012"/>
    <x v="0"/>
    <s v="DP211"/>
    <x v="4"/>
    <s v="2TEKC001AR107DP"/>
    <n v="1"/>
    <x v="4"/>
    <x v="1"/>
    <n v="7"/>
    <n v="5"/>
    <s v="TB272"/>
    <s v="107BN"/>
    <s v="2--"/>
    <s v="2--"/>
    <s v="--"/>
    <s v="--"/>
    <s v="NR"/>
    <s v="NA"/>
    <s v="PROFIBUS（DO）"/>
    <s v="DP"/>
    <s v="DCS(提供220VAC)"/>
    <s v="DP2"/>
    <m/>
    <m/>
    <m/>
    <m/>
    <m/>
    <m/>
    <m/>
    <m/>
    <m/>
    <m/>
    <s v="2TEKC-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02"/>
    <s v="2TETP001HXT"/>
    <s v="2TETP-072VKE"/>
    <s v="KW"/>
    <s v="R2TETP072VKE_KW"/>
    <s v="气动波纹管阀门开反馈"/>
    <s v="TETP"/>
    <s v="1812-B1131YKS05-001-012"/>
    <x v="0"/>
    <s v="DP211"/>
    <x v="4"/>
    <s v="2TEKC001AR107DP"/>
    <n v="1"/>
    <x v="4"/>
    <x v="1"/>
    <n v="7"/>
    <n v="5"/>
    <s v="TB272"/>
    <s v="107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03"/>
    <s v="2TETP001HXT"/>
    <s v="2TETP-072VKE"/>
    <s v="GW"/>
    <s v="R2TETP072VKE_GW"/>
    <s v="气动波纹管阀门关反馈"/>
    <s v="TETP"/>
    <s v="1812-B1131YKS05-001-012"/>
    <x v="0"/>
    <s v="DP211"/>
    <x v="4"/>
    <s v="2TEKC001AR107DP"/>
    <n v="1"/>
    <x v="4"/>
    <x v="1"/>
    <n v="7"/>
    <n v="5"/>
    <s v="TB272"/>
    <s v="107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04"/>
    <s v="2TETP001HXT"/>
    <s v="2TETP-072VKE"/>
    <s v="G"/>
    <s v="R2TETP072VKE_G"/>
    <s v="气动波纹管阀门关"/>
    <s v="TETP"/>
    <s v="1812-B1131YKS05-001-012"/>
    <x v="0"/>
    <s v="DP211"/>
    <x v="4"/>
    <s v="2TEKC001AR107DP"/>
    <n v="1"/>
    <x v="4"/>
    <x v="1"/>
    <n v="7"/>
    <n v="5"/>
    <s v="TB272"/>
    <s v="107BN"/>
    <s v="2--"/>
    <s v="2--"/>
    <s v="--"/>
    <s v="--"/>
    <s v="NR"/>
    <s v="NA"/>
    <s v="PROFIBUS（DO）"/>
    <s v="DP"/>
    <s v="DCS(提供220VAC)"/>
    <s v="DP2"/>
    <m/>
    <m/>
    <m/>
    <m/>
    <m/>
    <m/>
    <m/>
    <m/>
    <m/>
    <m/>
    <s v="2TEKC-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05"/>
    <s v="2TETP002HXT"/>
    <s v="2TETP-061VKE"/>
    <s v="K"/>
    <s v="R2TETP061VKE_K"/>
    <s v="气动波纹管阀门开"/>
    <s v="TETP"/>
    <s v="1812-B1131YKS05-001-023"/>
    <x v="0"/>
    <s v="DP211"/>
    <x v="5"/>
    <s v="2TEKC001AR201DP"/>
    <n v="2"/>
    <x v="5"/>
    <x v="0"/>
    <n v="11"/>
    <n v="1"/>
    <s v="TB272"/>
    <s v="201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06"/>
    <s v="2TETP002HXT"/>
    <s v="2TETP-061VKE"/>
    <s v="KW"/>
    <s v="R2TETP061VKE_KW"/>
    <s v="气动波纹管阀门开反馈"/>
    <s v="TETP"/>
    <s v="1812-B1131YKS05-001-023"/>
    <x v="0"/>
    <s v="DP211"/>
    <x v="5"/>
    <s v="2TEKC001AR201DP"/>
    <n v="2"/>
    <x v="5"/>
    <x v="0"/>
    <n v="11"/>
    <n v="1"/>
    <s v="TB272"/>
    <s v="201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07"/>
    <s v="2TETP002HXT"/>
    <s v="2TETP-061VKE"/>
    <s v="GW"/>
    <s v="R2TETP061VKE_GW"/>
    <s v="气动波纹管阀门关反馈"/>
    <s v="TETP"/>
    <s v="1812-B1131YKS05-001-023"/>
    <x v="0"/>
    <s v="DP211"/>
    <x v="5"/>
    <s v="2TEKC001AR201DP"/>
    <n v="2"/>
    <x v="5"/>
    <x v="0"/>
    <n v="11"/>
    <n v="1"/>
    <s v="TB272"/>
    <s v="201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08"/>
    <s v="2TETP002HXT"/>
    <s v="2TETP-061VKE"/>
    <s v="G"/>
    <s v="R2TETP061VKE_G"/>
    <s v="气动波纹管阀门关"/>
    <s v="TETP"/>
    <s v="1812-B1131YKS05-001-023"/>
    <x v="0"/>
    <s v="DP211"/>
    <x v="5"/>
    <s v="2TEKC001AR201DP"/>
    <n v="2"/>
    <x v="5"/>
    <x v="0"/>
    <n v="11"/>
    <n v="1"/>
    <s v="TB272"/>
    <s v="201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09"/>
    <s v="2TETP002HXT"/>
    <s v="2TETP-062VKE"/>
    <s v="K"/>
    <s v="R2TETP062VKE_K"/>
    <s v="气动波纹管阀门开"/>
    <s v="TETP"/>
    <s v="1812-B1131YKS05-001-022"/>
    <x v="0"/>
    <s v="DP211"/>
    <x v="5"/>
    <s v="2TEKC001AR201DP"/>
    <n v="2"/>
    <x v="5"/>
    <x v="0"/>
    <n v="11"/>
    <n v="2"/>
    <s v="TB272"/>
    <s v="201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10"/>
    <s v="2TETP002HXT"/>
    <s v="2TETP-062VKE"/>
    <s v="KW"/>
    <s v="R2TETP062VKE_KW"/>
    <s v="气动波纹管阀门开反馈"/>
    <s v="TETP"/>
    <s v="1812-B1131YKS05-001-022"/>
    <x v="0"/>
    <s v="DP211"/>
    <x v="5"/>
    <s v="2TEKC001AR201DP"/>
    <n v="2"/>
    <x v="5"/>
    <x v="0"/>
    <n v="11"/>
    <n v="2"/>
    <s v="TB272"/>
    <s v="201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11"/>
    <s v="2TETP002HXT"/>
    <s v="2TETP-062VKE"/>
    <s v="GW"/>
    <s v="R2TETP062VKE_GW"/>
    <s v="气动波纹管阀门关反馈"/>
    <s v="TETP"/>
    <s v="1812-B1131YKS05-001-022"/>
    <x v="0"/>
    <s v="DP211"/>
    <x v="5"/>
    <s v="2TEKC001AR201DP"/>
    <n v="2"/>
    <x v="5"/>
    <x v="0"/>
    <n v="11"/>
    <n v="2"/>
    <s v="TB272"/>
    <s v="201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12"/>
    <s v="2TETP002HXT"/>
    <s v="2TETP-062VKE"/>
    <s v="G"/>
    <s v="R2TETP062VKE_G"/>
    <s v="气动波纹管阀门关"/>
    <s v="TETP"/>
    <s v="1812-B1131YKS05-001-022"/>
    <x v="0"/>
    <s v="DP211"/>
    <x v="5"/>
    <s v="2TEKC001AR201DP"/>
    <n v="2"/>
    <x v="5"/>
    <x v="0"/>
    <n v="11"/>
    <n v="2"/>
    <s v="TB272"/>
    <s v="201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13"/>
    <s v="2TETP002HXT"/>
    <s v="2TETP-063VKE"/>
    <s v="K"/>
    <s v="R2TETP063VKE_K"/>
    <s v="气动波纹管阀门开"/>
    <s v="TETP"/>
    <s v="1812-B1131YKS05-001-021"/>
    <x v="0"/>
    <s v="DP211"/>
    <x v="5"/>
    <s v="2TEKC001AR201DP"/>
    <n v="2"/>
    <x v="5"/>
    <x v="0"/>
    <n v="11"/>
    <n v="3"/>
    <s v="TB272"/>
    <s v="201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14"/>
    <s v="2TETP002HXT"/>
    <s v="2TETP-063VKE"/>
    <s v="KW"/>
    <s v="R2TETP063VKE_KW"/>
    <s v="气动波纹管阀门开反馈"/>
    <s v="TETP"/>
    <s v="1812-B1131YKS05-001-021"/>
    <x v="0"/>
    <s v="DP211"/>
    <x v="5"/>
    <s v="2TEKC001AR201DP"/>
    <n v="2"/>
    <x v="5"/>
    <x v="0"/>
    <n v="11"/>
    <n v="3"/>
    <s v="TB272"/>
    <s v="201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15"/>
    <s v="2TETP002HXT"/>
    <s v="2TETP-063VKE"/>
    <s v="GW"/>
    <s v="R2TETP063VKE_GW"/>
    <s v="气动波纹管阀门关反馈"/>
    <s v="TETP"/>
    <s v="1812-B1131YKS05-001-021"/>
    <x v="0"/>
    <s v="DP211"/>
    <x v="5"/>
    <s v="2TEKC001AR201DP"/>
    <n v="2"/>
    <x v="5"/>
    <x v="0"/>
    <n v="11"/>
    <n v="3"/>
    <s v="TB272"/>
    <s v="201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16"/>
    <s v="2TETP002HXT"/>
    <s v="2TETP-063VKE"/>
    <s v="G"/>
    <s v="R2TETP063VKE_G"/>
    <s v="气动波纹管阀门关"/>
    <s v="TETP"/>
    <s v="1812-B1131YKS05-001-021"/>
    <x v="0"/>
    <s v="DP211"/>
    <x v="5"/>
    <s v="2TEKC001AR201DP"/>
    <n v="2"/>
    <x v="5"/>
    <x v="0"/>
    <n v="11"/>
    <n v="3"/>
    <s v="TB272"/>
    <s v="201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17"/>
    <s v="2TETP001HXT"/>
    <s v="2TETP-081VKE"/>
    <s v="KG"/>
    <s v="R2TETP081VKE_KG"/>
    <s v="气动波纹管阀门开/关"/>
    <s v="TETP"/>
    <s v="1812-B1131YKS05-001-003"/>
    <x v="0"/>
    <s v="DP211"/>
    <x v="5"/>
    <s v="2TEKC001AR201DP"/>
    <n v="2"/>
    <x v="5"/>
    <x v="0"/>
    <n v="11"/>
    <n v="4"/>
    <s v="TB272"/>
    <s v="201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18"/>
    <s v="2TETP001HXT"/>
    <s v="2TETP-081VKE"/>
    <s v="KW"/>
    <s v="R2TETP081VKE_KW"/>
    <s v="气动波纹管阀门开反馈"/>
    <s v="TETP"/>
    <s v="1812-B1131YKS05-001-003"/>
    <x v="0"/>
    <s v="DP211"/>
    <x v="5"/>
    <s v="2TEKC001AR201DP"/>
    <n v="2"/>
    <x v="5"/>
    <x v="0"/>
    <n v="11"/>
    <n v="4"/>
    <s v="TB272"/>
    <s v="201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19"/>
    <s v="2TETP001HXT"/>
    <s v="2TETP-081VKE"/>
    <s v="GW"/>
    <s v="R2TETP081VKE_GW"/>
    <s v="气动波纹管阀门关反馈"/>
    <s v="TETP"/>
    <s v="1812-B1131YKS05-001-003"/>
    <x v="0"/>
    <s v="DP211"/>
    <x v="5"/>
    <s v="2TEKC001AR201DP"/>
    <n v="2"/>
    <x v="5"/>
    <x v="0"/>
    <n v="11"/>
    <n v="4"/>
    <s v="TB272"/>
    <s v="201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20"/>
    <s v="2TETP001HXT"/>
    <s v="2TETP-060VKE"/>
    <s v="KG"/>
    <s v="R2TETP060VKE_KG"/>
    <s v="气动波纹管阀门开/关"/>
    <s v="TETP"/>
    <s v="1812-B1131YKS05-001-024"/>
    <x v="0"/>
    <s v="DP211"/>
    <x v="5"/>
    <s v="2TEKC001AR201DP"/>
    <n v="2"/>
    <x v="5"/>
    <x v="1"/>
    <n v="11"/>
    <n v="1"/>
    <s v="TB272"/>
    <s v="201BN"/>
    <s v="2--"/>
    <s v="2--"/>
    <s v="--"/>
    <s v="--"/>
    <s v="NR"/>
    <s v="NA"/>
    <s v="PROFIBUS（DO）"/>
    <s v="DP"/>
    <s v="DCS(提供220VAC)"/>
    <s v="DP2"/>
    <m/>
    <m/>
    <m/>
    <m/>
    <m/>
    <m/>
    <m/>
    <m/>
    <m/>
    <m/>
    <s v="2TEKC-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21"/>
    <s v="2TETP001HXT"/>
    <s v="2TETP-060VKE"/>
    <s v="KW"/>
    <s v="R2TETP060VKE_KW"/>
    <s v="气动波纹管阀门开反馈"/>
    <s v="TETP"/>
    <s v="1812-B1131YKS05-001-024"/>
    <x v="0"/>
    <s v="DP211"/>
    <x v="5"/>
    <s v="2TEKC001AR201DP"/>
    <n v="2"/>
    <x v="5"/>
    <x v="1"/>
    <n v="11"/>
    <n v="1"/>
    <s v="TB272"/>
    <s v="201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22"/>
    <s v="2TETP001HXT"/>
    <s v="2TETP-060VKE"/>
    <s v="GW"/>
    <s v="R2TETP060VKE_GW"/>
    <s v="气动波纹管阀门关反馈"/>
    <s v="TETP"/>
    <s v="1812-B1131YKS05-001-024"/>
    <x v="0"/>
    <s v="DP211"/>
    <x v="5"/>
    <s v="2TEKC001AR201DP"/>
    <n v="2"/>
    <x v="5"/>
    <x v="1"/>
    <n v="11"/>
    <n v="1"/>
    <s v="TB272"/>
    <s v="201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23"/>
    <s v="2TETP001HXT"/>
    <s v="2TETP-073VKE"/>
    <s v="KG"/>
    <s v="R2TETP073VKE_KG"/>
    <s v="气动波纹管阀门开/关"/>
    <s v="TETP"/>
    <s v="1812-B1131YKS05-001-011"/>
    <x v="0"/>
    <s v="DP211"/>
    <x v="5"/>
    <s v="2TEKC001AR201DP"/>
    <n v="2"/>
    <x v="5"/>
    <x v="1"/>
    <n v="11"/>
    <n v="2"/>
    <s v="TB272"/>
    <s v="201BN"/>
    <s v="2--"/>
    <s v="2--"/>
    <s v="--"/>
    <s v="--"/>
    <s v="NR"/>
    <s v="NA"/>
    <s v="PROFIBUS（DO）"/>
    <s v="DP"/>
    <s v="DCS(提供220VAC)"/>
    <s v="DP2"/>
    <m/>
    <m/>
    <m/>
    <m/>
    <m/>
    <m/>
    <m/>
    <m/>
    <m/>
    <m/>
    <s v="2TEKC-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24"/>
    <s v="2TETP001HXT"/>
    <s v="2TETP-073VKE"/>
    <s v="KW"/>
    <s v="R2TETP073VKE_KW"/>
    <s v="气动波纹管阀门开反馈"/>
    <s v="TETP"/>
    <s v="1812-B1131YKS05-001-011"/>
    <x v="0"/>
    <s v="DP211"/>
    <x v="5"/>
    <s v="2TEKC001AR201DP"/>
    <n v="2"/>
    <x v="5"/>
    <x v="1"/>
    <n v="11"/>
    <n v="2"/>
    <s v="TB272"/>
    <s v="201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25"/>
    <s v="2TETP001HXT"/>
    <s v="2TETP-073VKE"/>
    <s v="GW"/>
    <s v="R2TETP073VKE_GW"/>
    <s v="气动波纹管阀门关反馈"/>
    <s v="TETP"/>
    <s v="1812-B1131YKS05-001-011"/>
    <x v="0"/>
    <s v="DP211"/>
    <x v="5"/>
    <s v="2TEKC001AR201DP"/>
    <n v="2"/>
    <x v="5"/>
    <x v="1"/>
    <n v="11"/>
    <n v="2"/>
    <s v="TB272"/>
    <s v="201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26"/>
    <s v="2TETP002HXT"/>
    <s v="2TETP-076VKE"/>
    <s v="K"/>
    <s v="R2TETP076VKE_K"/>
    <s v="气动波纹管阀门开"/>
    <s v="TETP"/>
    <s v="1812-B1131YKS05-001-008"/>
    <x v="0"/>
    <s v="DP211"/>
    <x v="5"/>
    <s v="2TEKC001AR201DP"/>
    <n v="2"/>
    <x v="5"/>
    <x v="1"/>
    <n v="11"/>
    <n v="3"/>
    <s v="TB272"/>
    <s v="201BN"/>
    <s v="2--"/>
    <s v="2--"/>
    <s v="--"/>
    <s v="--"/>
    <s v="NR"/>
    <s v="NA"/>
    <s v="PROFIBUS（DO）"/>
    <s v="DP"/>
    <s v="DCS(提供220VAC)"/>
    <s v="DP2"/>
    <m/>
    <m/>
    <m/>
    <m/>
    <m/>
    <m/>
    <m/>
    <m/>
    <m/>
    <m/>
    <s v="2TEKC-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27"/>
    <s v="2TETP002HXT"/>
    <s v="2TETP-076VKE"/>
    <s v="KW"/>
    <s v="R2TETP076VKE_KW"/>
    <s v="气动波纹管阀门开反馈"/>
    <s v="TETP"/>
    <s v="1812-B1131YKS05-001-008"/>
    <x v="0"/>
    <s v="DP211"/>
    <x v="5"/>
    <s v="2TEKC001AR201DP"/>
    <n v="2"/>
    <x v="5"/>
    <x v="1"/>
    <n v="11"/>
    <n v="3"/>
    <s v="TB272"/>
    <s v="201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28"/>
    <s v="2TETP002HXT"/>
    <s v="2TETP-076VKE"/>
    <s v="GW"/>
    <s v="R2TETP076VKE_GW"/>
    <s v="气动波纹管阀门关反馈"/>
    <s v="TETP"/>
    <s v="1812-B1131YKS05-001-008"/>
    <x v="0"/>
    <s v="DP211"/>
    <x v="5"/>
    <s v="2TEKC001AR201DP"/>
    <n v="2"/>
    <x v="5"/>
    <x v="1"/>
    <n v="11"/>
    <n v="3"/>
    <s v="TB272"/>
    <s v="201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29"/>
    <s v="2TETP002HXT"/>
    <s v="2TETP-076VKE"/>
    <s v="G"/>
    <s v="R2TETP076VKE_G"/>
    <s v="气动波纹管阀门关"/>
    <s v="TETP"/>
    <s v="1812-B1131YKS05-001-008"/>
    <x v="0"/>
    <s v="DP211"/>
    <x v="5"/>
    <s v="2TEKC001AR201DP"/>
    <n v="2"/>
    <x v="5"/>
    <x v="1"/>
    <n v="11"/>
    <n v="3"/>
    <s v="TB272"/>
    <s v="201BN"/>
    <s v="2--"/>
    <s v="2--"/>
    <s v="--"/>
    <s v="--"/>
    <s v="NR"/>
    <s v="NA"/>
    <s v="PROFIBUS（DO）"/>
    <s v="DP"/>
    <s v="DCS(提供220VAC)"/>
    <s v="DP2"/>
    <m/>
    <m/>
    <m/>
    <m/>
    <m/>
    <m/>
    <m/>
    <m/>
    <m/>
    <m/>
    <s v="2TEKC-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30"/>
    <s v="2TETP002HXT"/>
    <s v="2TETP-077VKE"/>
    <s v="K"/>
    <s v="R2TETP077VKE_K"/>
    <s v="气动波纹管阀门开"/>
    <s v="TETP"/>
    <s v="1812-B113YKS05-001-007"/>
    <x v="0"/>
    <s v="DP211"/>
    <x v="5"/>
    <s v="2TEKC001AR201DP"/>
    <n v="2"/>
    <x v="5"/>
    <x v="1"/>
    <n v="11"/>
    <n v="4"/>
    <s v="TB272"/>
    <s v="201BN"/>
    <s v="2--"/>
    <s v="2--"/>
    <s v="--"/>
    <s v="--"/>
    <s v="NR"/>
    <s v="NA"/>
    <s v="PROFIBUS（DO）"/>
    <s v="DP"/>
    <s v="DCS(提供220VAC)"/>
    <s v="DP2"/>
    <m/>
    <m/>
    <m/>
    <m/>
    <m/>
    <m/>
    <m/>
    <m/>
    <m/>
    <m/>
    <s v="2TEKC-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31"/>
    <s v="2TETP002HXT"/>
    <s v="2TETP-077VKE"/>
    <s v="KW"/>
    <s v="R2TETP077VKE_KW"/>
    <s v="气动波纹管阀门开反馈"/>
    <s v="TETP"/>
    <s v="1812-B113YKS05-001-007"/>
    <x v="0"/>
    <s v="DP211"/>
    <x v="5"/>
    <s v="2TEKC001AR201DP"/>
    <n v="2"/>
    <x v="5"/>
    <x v="1"/>
    <n v="11"/>
    <n v="4"/>
    <s v="TB272"/>
    <s v="201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32"/>
    <s v="2TETP002HXT"/>
    <s v="2TETP-077VKE"/>
    <s v="GW"/>
    <s v="R2TETP077VKE_GW"/>
    <s v="气动波纹管阀门关反馈"/>
    <s v="TETP"/>
    <s v="1812-B113YKS05-001-007"/>
    <x v="0"/>
    <s v="DP211"/>
    <x v="5"/>
    <s v="2TEKC001AR201DP"/>
    <n v="2"/>
    <x v="5"/>
    <x v="1"/>
    <n v="11"/>
    <n v="4"/>
    <s v="TB272"/>
    <s v="201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33"/>
    <s v="2TETP002HXT"/>
    <s v="2TETP-077VKE"/>
    <s v="G"/>
    <s v="R2TETP077VKE_G"/>
    <s v="气动波纹管阀门关"/>
    <s v="TETP"/>
    <s v="1812-B113YKS05-001-007"/>
    <x v="0"/>
    <s v="DP211"/>
    <x v="5"/>
    <s v="2TEKC001AR201DP"/>
    <n v="2"/>
    <x v="5"/>
    <x v="1"/>
    <n v="11"/>
    <n v="4"/>
    <s v="TB272"/>
    <s v="201BN"/>
    <s v="2--"/>
    <s v="2--"/>
    <s v="--"/>
    <s v="--"/>
    <s v="NR"/>
    <s v="NA"/>
    <s v="PROFIBUS（DO）"/>
    <s v="DP"/>
    <s v="DCS(提供220VAC)"/>
    <s v="DP2"/>
    <m/>
    <m/>
    <m/>
    <m/>
    <m/>
    <m/>
    <m/>
    <m/>
    <m/>
    <m/>
    <s v="2TEKC-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34"/>
    <s v="2TETP001HXT"/>
    <s v="2TETP-079VKE"/>
    <s v="KG"/>
    <s v="R2TETP079VKE_KG"/>
    <s v="气动波纹管阀门开/关"/>
    <s v="TETP"/>
    <s v="1812-B1131YKS05-001-005"/>
    <x v="0"/>
    <s v="DP211"/>
    <x v="5"/>
    <s v="2TEKC001AR201DP"/>
    <n v="2"/>
    <x v="5"/>
    <x v="1"/>
    <n v="11"/>
    <n v="5"/>
    <s v="TB272"/>
    <s v="201BN"/>
    <s v="2--"/>
    <s v="2--"/>
    <s v="--"/>
    <s v="--"/>
    <s v="NR"/>
    <s v="NA"/>
    <s v="PROFIBUS（DO）"/>
    <s v="DP"/>
    <s v="DCS(提供220VAC)"/>
    <s v="DP2"/>
    <m/>
    <m/>
    <m/>
    <m/>
    <m/>
    <m/>
    <m/>
    <m/>
    <m/>
    <m/>
    <s v="2TEKC-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35"/>
    <s v="2TETP001HXT"/>
    <s v="2TETP-079VKE"/>
    <s v="KW"/>
    <s v="R2TETP079VKE_KW"/>
    <s v="气动波纹管阀门开反馈"/>
    <s v="TETP"/>
    <s v="1812-B1131YKS05-001-005"/>
    <x v="0"/>
    <s v="DP211"/>
    <x v="5"/>
    <s v="2TEKC001AR201DP"/>
    <n v="2"/>
    <x v="5"/>
    <x v="1"/>
    <n v="11"/>
    <n v="5"/>
    <s v="TB272"/>
    <s v="201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36"/>
    <s v="2TETP001HXT"/>
    <s v="2TETP-079VKE"/>
    <s v="GW"/>
    <s v="R2TETP079VKE_GW"/>
    <s v="气动波纹管阀门关反馈"/>
    <s v="TETP"/>
    <s v="1812-B1131YKS05-001-005"/>
    <x v="0"/>
    <s v="DP211"/>
    <x v="5"/>
    <s v="2TEKC001AR201DP"/>
    <n v="2"/>
    <x v="5"/>
    <x v="1"/>
    <n v="11"/>
    <n v="5"/>
    <s v="TB272"/>
    <s v="201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37"/>
    <s v="2TETP001HXT"/>
    <s v="2TETP-082VKE"/>
    <s v="KG"/>
    <s v="R2TETP082VKE_KG"/>
    <s v="气动波纹管阀门开/关"/>
    <s v="TETP"/>
    <s v="1812-B1131YKS05-001-038"/>
    <x v="0"/>
    <s v="DP211"/>
    <x v="5"/>
    <s v="2TEKC001AR201DP"/>
    <n v="2"/>
    <x v="5"/>
    <x v="1"/>
    <n v="11"/>
    <n v="6"/>
    <s v="TB272"/>
    <s v="201BN"/>
    <s v="2--"/>
    <s v="2--"/>
    <s v="--"/>
    <s v="--"/>
    <s v="NR"/>
    <s v="NA"/>
    <s v="PROFIBUS（DO）"/>
    <s v="DP"/>
    <s v="DCS(提供220VAC)"/>
    <s v="DP2"/>
    <m/>
    <m/>
    <m/>
    <m/>
    <m/>
    <m/>
    <m/>
    <m/>
    <m/>
    <m/>
    <s v="2TEKC-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38"/>
    <s v="2TETP001HXT"/>
    <s v="2TETP-082VKE"/>
    <s v="KW"/>
    <s v="R2TETP082VKE_KW"/>
    <s v="气动波纹管阀门开反馈"/>
    <s v="TETP"/>
    <s v="1812-B1131YKS05-001-038"/>
    <x v="0"/>
    <s v="DP211"/>
    <x v="5"/>
    <s v="2TEKC001AR201DP"/>
    <n v="2"/>
    <x v="5"/>
    <x v="1"/>
    <n v="11"/>
    <n v="6"/>
    <s v="TB272"/>
    <s v="201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39"/>
    <s v="2TETP001HXT"/>
    <s v="2TETP-082VKE"/>
    <s v="GW"/>
    <s v="R2TETP082VKE_GW"/>
    <s v="气动波纹管阀门关反馈"/>
    <s v="TETP"/>
    <s v="1812-B1131YKS05-001-038"/>
    <x v="0"/>
    <s v="DP211"/>
    <x v="5"/>
    <s v="2TEKC001AR201DP"/>
    <n v="2"/>
    <x v="5"/>
    <x v="1"/>
    <n v="11"/>
    <n v="6"/>
    <s v="TB272"/>
    <s v="201BN"/>
    <s v="2--"/>
    <s v="2--"/>
    <s v="--"/>
    <s v="--"/>
    <s v="NR"/>
    <s v="NA"/>
    <s v="PROFIBUS（DI）"/>
    <s v="DP"/>
    <s v="DCS(提供220VAC)"/>
    <s v="DP1"/>
    <m/>
    <m/>
    <m/>
    <m/>
    <m/>
    <m/>
    <m/>
    <m/>
    <m/>
    <m/>
    <s v="2TEKC-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40"/>
    <s v="2TETP002HXT"/>
    <s v="2TETP-068VKE"/>
    <s v="KG"/>
    <s v="R2TETP068VKE_KG"/>
    <s v="气动波纹管阀门开/关"/>
    <s v="TETP"/>
    <s v="1812-B1131YKS05-001-016"/>
    <x v="0"/>
    <s v="DP211"/>
    <x v="6"/>
    <s v="2TEKC001AR109DP"/>
    <n v="1"/>
    <x v="6"/>
    <x v="0"/>
    <n v="9"/>
    <n v="1"/>
    <s v="TB272"/>
    <s v="109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6CR"/>
    <s v="A"/>
    <m/>
    <m/>
    <s v="2TEKC-006CR串接2TEKC-00_x000a_7CR串接2TEKC-008CR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41"/>
    <s v="2TETP002HXT"/>
    <s v="2TETP-068VKE"/>
    <s v="KW"/>
    <s v="R2TETP068VKE_KW"/>
    <s v="气动波纹管阀门开反馈"/>
    <s v="TETP"/>
    <s v="1812-B1131YKS05-001-016"/>
    <x v="0"/>
    <s v="DP211"/>
    <x v="6"/>
    <s v="2TEKC001AR109DP"/>
    <n v="1"/>
    <x v="6"/>
    <x v="0"/>
    <n v="9"/>
    <n v="1"/>
    <s v="TB272"/>
    <s v="109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42"/>
    <s v="2TETP002HXT"/>
    <s v="2TETP-068VKE"/>
    <s v="GW"/>
    <s v="R2TETP068VKE_GW"/>
    <s v="气动波纹管阀门关反馈"/>
    <s v="TETP"/>
    <s v="1812-B1131YKS05-001-016"/>
    <x v="0"/>
    <s v="DP211"/>
    <x v="6"/>
    <s v="2TEKC001AR109DP"/>
    <n v="1"/>
    <x v="6"/>
    <x v="0"/>
    <n v="9"/>
    <n v="1"/>
    <s v="TB272"/>
    <s v="109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43"/>
    <s v="2TETP002HXT"/>
    <s v="2TETP-064VKE"/>
    <s v="KG"/>
    <s v="R2TETP064VKE_KG"/>
    <s v="气动波纹管阀门开/关"/>
    <s v="TETP"/>
    <s v="1812-B1131YKS05-001-020"/>
    <x v="0"/>
    <s v="DP211"/>
    <x v="6"/>
    <s v="2TEKC001AR109DP"/>
    <n v="1"/>
    <x v="6"/>
    <x v="0"/>
    <n v="9"/>
    <n v="2"/>
    <s v="TB272"/>
    <s v="109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44"/>
    <s v="2TETP002HXT"/>
    <s v="2TETP-064VKE"/>
    <s v="KW"/>
    <s v="R2TETP064VKE_KW"/>
    <s v="气动波纹管阀门开反馈"/>
    <s v="TETP"/>
    <s v="1812-B1131YKS05-001-020"/>
    <x v="0"/>
    <s v="DP211"/>
    <x v="6"/>
    <s v="2TEKC001AR109DP"/>
    <n v="1"/>
    <x v="6"/>
    <x v="0"/>
    <n v="9"/>
    <n v="2"/>
    <s v="TB272"/>
    <s v="109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45"/>
    <s v="2TETP002HXT"/>
    <s v="2TETP-064VKE"/>
    <s v="GW"/>
    <s v="R2TETP064VKE_GW"/>
    <s v="气动波纹管阀门关反馈"/>
    <s v="TETP"/>
    <s v="1812-B1131YKS05-001-020"/>
    <x v="0"/>
    <s v="DP211"/>
    <x v="6"/>
    <s v="2TEKC001AR109DP"/>
    <n v="1"/>
    <x v="6"/>
    <x v="0"/>
    <n v="9"/>
    <n v="2"/>
    <s v="TB272"/>
    <s v="109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46"/>
    <s v="2TETP002HXT"/>
    <s v="2TETP-065VKE"/>
    <s v="KG"/>
    <s v="R2TETP065VKE_KG"/>
    <s v="气动波纹管阀门开/关"/>
    <s v="TETP"/>
    <s v="1812-B1131YKS05-001-019"/>
    <x v="0"/>
    <s v="DP211"/>
    <x v="6"/>
    <s v="2TEKC001AR109DP"/>
    <n v="1"/>
    <x v="6"/>
    <x v="0"/>
    <n v="9"/>
    <n v="3"/>
    <s v="TB272"/>
    <s v="109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8CR"/>
    <s v="A"/>
    <m/>
    <m/>
    <s v="2TEKC-006CR串接2TEKC-00_x000a_7CR串接2TEKC-008CR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47"/>
    <s v="2TETP002HXT"/>
    <s v="2TETP-065VKE"/>
    <s v="KW"/>
    <s v="R2TETP065VKE_KW"/>
    <s v="气动波纹管阀门开反馈"/>
    <s v="TETP"/>
    <s v="1812-B1131YKS05-001-019"/>
    <x v="0"/>
    <s v="DP211"/>
    <x v="6"/>
    <s v="2TEKC001AR109DP"/>
    <n v="1"/>
    <x v="6"/>
    <x v="0"/>
    <n v="9"/>
    <n v="3"/>
    <s v="TB272"/>
    <s v="109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8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48"/>
    <s v="2TETP002HXT"/>
    <s v="2TETP-065VKE"/>
    <s v="GW"/>
    <s v="R2TETP065VKE_GW"/>
    <s v="气动波纹管阀门关反馈"/>
    <s v="TETP"/>
    <s v="1812-B1131YKS05-001-019"/>
    <x v="0"/>
    <s v="DP211"/>
    <x v="6"/>
    <s v="2TEKC001AR109DP"/>
    <n v="1"/>
    <x v="6"/>
    <x v="0"/>
    <n v="9"/>
    <n v="3"/>
    <s v="TB272"/>
    <s v="109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8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49"/>
    <s v="2TETP002HXT"/>
    <s v="2TETP-066VKE"/>
    <s v="KG"/>
    <s v="R2TETP066VKE_KG"/>
    <s v="气动波纹管阀门开/关"/>
    <s v="TETP"/>
    <s v="1812-B1131YKS05-001-018"/>
    <x v="0"/>
    <s v="DP211"/>
    <x v="6"/>
    <s v="2TEKC001AR109DP"/>
    <n v="1"/>
    <x v="6"/>
    <x v="0"/>
    <n v="9"/>
    <n v="4"/>
    <s v="TB272"/>
    <s v="109BN"/>
    <s v="1--"/>
    <s v="1--"/>
    <s v="--"/>
    <s v="--"/>
    <s v="NR"/>
    <s v="NA"/>
    <s v="PROFIBUS（DO）"/>
    <s v="DP"/>
    <s v="DCS(提供220VAC)"/>
    <s v="DP2"/>
    <m/>
    <m/>
    <m/>
    <m/>
    <m/>
    <m/>
    <m/>
    <m/>
    <m/>
    <m/>
    <s v="2TEKC-008CR"/>
    <s v="A"/>
    <m/>
    <m/>
    <s v="2TEKC-006CR串接2TEKC-00_x000a_7CR串接2TEKC-008CR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50"/>
    <s v="2TETP002HXT"/>
    <s v="2TETP-066VKE"/>
    <s v="KW"/>
    <s v="R2TETP066VKE_KW"/>
    <s v="气动波纹管阀门开反馈"/>
    <s v="TETP"/>
    <s v="1812-B1131YKS05-001-018"/>
    <x v="0"/>
    <s v="DP211"/>
    <x v="6"/>
    <s v="2TEKC001AR109DP"/>
    <n v="1"/>
    <x v="6"/>
    <x v="0"/>
    <n v="9"/>
    <n v="4"/>
    <s v="TB272"/>
    <s v="109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8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51"/>
    <s v="2TETP002HXT"/>
    <s v="2TETP-066VKE"/>
    <s v="GW"/>
    <s v="R2TETP066VKE_GW"/>
    <s v="气动波纹管阀门关反馈"/>
    <s v="TETP"/>
    <s v="1812-B1131YKS05-001-018"/>
    <x v="0"/>
    <s v="DP211"/>
    <x v="6"/>
    <s v="2TEKC001AR109DP"/>
    <n v="1"/>
    <x v="6"/>
    <x v="0"/>
    <n v="9"/>
    <n v="4"/>
    <s v="TB272"/>
    <s v="109BN"/>
    <s v="1--"/>
    <s v="1--"/>
    <s v="--"/>
    <s v="--"/>
    <s v="NR"/>
    <s v="NA"/>
    <s v="PROFIBUS（DI）"/>
    <s v="DP"/>
    <s v="DCS(提供220VAC)"/>
    <s v="DP1"/>
    <m/>
    <m/>
    <m/>
    <m/>
    <m/>
    <m/>
    <m/>
    <m/>
    <m/>
    <m/>
    <s v="2TEKC-008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s v=""/>
    <m/>
  </r>
  <r>
    <n v="152"/>
    <s v="2TETP002HXT"/>
    <s v="2LT-TE02006G"/>
    <m/>
    <s v="R2LTTE02006G"/>
    <s v="TE02006G集水坑液位"/>
    <s v="TETP"/>
    <s v="1812-B1131YKS05-101-005"/>
    <x v="0"/>
    <s v="FF211"/>
    <x v="7"/>
    <s v="2TEKC001AR207FF"/>
    <n v="2"/>
    <x v="4"/>
    <x v="0"/>
    <n v="17"/>
    <n v="1"/>
    <s v="TB271"/>
    <s v="207_1FI"/>
    <n v="1"/>
    <n v="2"/>
    <s v="--"/>
    <s v="--"/>
    <s v="NR"/>
    <s v="NA"/>
    <s v="FFAI"/>
    <s v="FF"/>
    <s v="DCS"/>
    <s v="FF1"/>
    <s v="总线变送器（总线供电）"/>
    <s v="m"/>
    <n v="0"/>
    <n v="0.7"/>
    <m/>
    <m/>
    <m/>
    <m/>
    <m/>
    <m/>
    <s v="2TEKC-0_x000a_01BC"/>
    <s v="A"/>
    <m/>
    <m/>
    <m/>
    <m/>
    <m/>
    <m/>
    <m/>
    <m/>
    <m/>
    <m/>
    <m/>
    <m/>
    <m/>
    <m/>
    <m/>
    <m/>
    <m/>
    <n v="0.4"/>
    <s v="Y"/>
    <s v="R2TETP004KA"/>
    <s v="TE02006G集水坑液位高于0.4m高报警"/>
    <n v="0.15"/>
    <s v="Y"/>
    <s v="R2TETP003KA"/>
    <s v="TE02006G集水坑液位低于0.15m低报警"/>
    <m/>
    <m/>
    <m/>
    <m/>
    <m/>
    <m/>
    <m/>
    <m/>
    <m/>
    <m/>
    <m/>
    <m/>
    <n v="2"/>
    <n v="1"/>
    <m/>
    <n v="3"/>
    <m/>
  </r>
  <r>
    <n v="153"/>
    <s v="2TETP002HXT"/>
    <s v="2LT-TE02007G"/>
    <m/>
    <s v="R2LTTE02007G"/>
    <s v="TE02007G集水坑液位"/>
    <s v="TETP"/>
    <s v="1812-B1131YKS05-101-005"/>
    <x v="0"/>
    <s v="FF211"/>
    <x v="7"/>
    <s v="2TEKC001AR207FF"/>
    <n v="2"/>
    <x v="4"/>
    <x v="0"/>
    <n v="17"/>
    <n v="2"/>
    <s v="TB271"/>
    <s v="207_1FI"/>
    <n v="1"/>
    <n v="2"/>
    <s v="--"/>
    <s v="--"/>
    <s v="NR"/>
    <s v="NA"/>
    <s v="FFAI"/>
    <s v="FF"/>
    <s v="DCS"/>
    <s v="FF1"/>
    <s v="总线变送器（总线供电）"/>
    <s v="m"/>
    <n v="0"/>
    <n v="0.7"/>
    <m/>
    <m/>
    <m/>
    <m/>
    <m/>
    <m/>
    <s v="2TEKC-0_x000a_01BC"/>
    <s v="A"/>
    <m/>
    <m/>
    <m/>
    <m/>
    <m/>
    <m/>
    <m/>
    <m/>
    <m/>
    <m/>
    <m/>
    <m/>
    <m/>
    <m/>
    <m/>
    <m/>
    <m/>
    <n v="0.4"/>
    <s v="Y"/>
    <s v="R2TETP006KA"/>
    <s v="TE02007G集水坑液位高于0.4m高报警"/>
    <n v="0.15"/>
    <s v="Y"/>
    <s v="R2TETP005KA"/>
    <s v="TE02007G集水坑液位低于0.15m低报警"/>
    <m/>
    <m/>
    <m/>
    <m/>
    <m/>
    <m/>
    <m/>
    <m/>
    <m/>
    <m/>
    <m/>
    <m/>
    <n v="2"/>
    <n v="1"/>
    <m/>
    <n v="3"/>
    <m/>
  </r>
  <r>
    <n v="154"/>
    <s v="2TETP001HXT"/>
    <s v="2LT-TETP005BA"/>
    <m/>
    <s v="R2LTTETP005BA"/>
    <s v="集水槽2TETP-005BA液位"/>
    <s v="TETP"/>
    <s v="1812-B1131YKS05-101-011"/>
    <x v="0"/>
    <s v="FF211"/>
    <x v="7"/>
    <s v="2TEKC001AR207FF"/>
    <n v="2"/>
    <x v="4"/>
    <x v="0"/>
    <n v="17"/>
    <n v="3"/>
    <s v="TB271"/>
    <s v="207_1FI"/>
    <n v="1"/>
    <n v="2"/>
    <s v="--"/>
    <s v="--"/>
    <s v="NR"/>
    <s v="NA"/>
    <s v="FFAI"/>
    <s v="FF"/>
    <s v="DCS"/>
    <s v="FF1"/>
    <s v="总线变送器（总线供电）"/>
    <s v="m"/>
    <n v="0"/>
    <n v="3.4"/>
    <m/>
    <m/>
    <m/>
    <m/>
    <m/>
    <m/>
    <s v="2TEKC-0_x000a_01BC"/>
    <s v="A"/>
    <m/>
    <m/>
    <m/>
    <m/>
    <m/>
    <m/>
    <m/>
    <m/>
    <m/>
    <m/>
    <m/>
    <m/>
    <m/>
    <n v="3"/>
    <s v="Y"/>
    <s v="R2TETP011KA"/>
    <s v="集水槽2TETP-005BA液位高于3m高高报警"/>
    <n v="2.7"/>
    <s v="Y"/>
    <s v="R2TETP012KA"/>
    <s v="水槽2TETP-005BA液位高于2.7m高高报警"/>
    <n v="0.1"/>
    <s v="Y"/>
    <s v="R2TETP013KA"/>
    <s v="集水槽2TETP-005BA液位低于0.1m低报警"/>
    <m/>
    <m/>
    <m/>
    <m/>
    <m/>
    <m/>
    <m/>
    <m/>
    <m/>
    <m/>
    <m/>
    <m/>
    <n v="2"/>
    <n v="1"/>
    <m/>
    <n v="3"/>
    <m/>
  </r>
  <r>
    <n v="155"/>
    <s v="2TETP002HXT"/>
    <s v="2LT-TETP002BA"/>
    <m/>
    <s v="R2LTTETP002BA"/>
    <s v="废水贮存槽2TETP-002BA液位"/>
    <s v="TETP"/>
    <s v="1812-B1131YKS05-101-008"/>
    <x v="0"/>
    <s v="FF211"/>
    <x v="7"/>
    <s v="2TEKC001AR207FF"/>
    <n v="2"/>
    <x v="4"/>
    <x v="0"/>
    <n v="17"/>
    <n v="4"/>
    <s v="TB271"/>
    <s v="207_1FI"/>
    <n v="1"/>
    <n v="2"/>
    <s v="--"/>
    <s v="--"/>
    <s v="NR"/>
    <s v="NA"/>
    <s v="FFAI"/>
    <s v="FF"/>
    <s v="DCS"/>
    <s v="FF1"/>
    <s v="总线变送器（总线供电）"/>
    <s v="m"/>
    <n v="0"/>
    <n v="10.5"/>
    <m/>
    <m/>
    <m/>
    <m/>
    <m/>
    <m/>
    <s v="2TEKC-0_x000a_01BC"/>
    <s v="A"/>
    <m/>
    <m/>
    <m/>
    <m/>
    <m/>
    <m/>
    <m/>
    <m/>
    <m/>
    <m/>
    <m/>
    <m/>
    <m/>
    <n v="8.6"/>
    <s v="Y"/>
    <s v="R2TETP018KA"/>
    <s v="废水贮存槽2TETP-002BA液位高于8.6m高高报警"/>
    <n v="8.4"/>
    <s v="Y"/>
    <s v="R2TETP019KA"/>
    <s v="废水贮存槽2TETP-002BA液位高于8.4m高报警"/>
    <n v="0.1"/>
    <s v="Y"/>
    <s v="R2TETP020KA"/>
    <s v="废水贮存槽2TETP-002BA液位低于0.1m低报警"/>
    <m/>
    <m/>
    <m/>
    <m/>
    <m/>
    <m/>
    <m/>
    <m/>
    <m/>
    <m/>
    <m/>
    <m/>
    <n v="2"/>
    <n v="1"/>
    <m/>
    <n v="2"/>
    <m/>
  </r>
  <r>
    <n v="156"/>
    <s v="2TETP002HXT"/>
    <s v="2PT-TETP002BA"/>
    <m/>
    <s v="R2PTTETP002BA"/>
    <s v="废水贮存槽2TETP-002BA压力"/>
    <s v="TETP"/>
    <s v="1812-B1131YKS05-101-012"/>
    <x v="0"/>
    <s v="FF211"/>
    <x v="7"/>
    <s v="2TEKC001AR207FF"/>
    <n v="2"/>
    <x v="4"/>
    <x v="0"/>
    <n v="17"/>
    <n v="5"/>
    <s v="TB271"/>
    <s v="207_1FI"/>
    <n v="1"/>
    <n v="2"/>
    <s v="--"/>
    <s v="--"/>
    <s v="NR"/>
    <s v="NA"/>
    <s v="FFAI"/>
    <s v="FF"/>
    <s v="DCS"/>
    <s v="FF1"/>
    <s v="总线变送器（总线供电）"/>
    <s v="kPa"/>
    <n v="-1.2"/>
    <n v="1.2"/>
    <m/>
    <m/>
    <m/>
    <m/>
    <m/>
    <m/>
    <s v="2TEKC-0_x000a_01BC"/>
    <s v="A"/>
    <m/>
    <m/>
    <m/>
    <m/>
    <m/>
    <m/>
    <m/>
    <m/>
    <m/>
    <m/>
    <m/>
    <m/>
    <m/>
    <m/>
    <m/>
    <m/>
    <m/>
    <n v="1000"/>
    <s v="W"/>
    <s v="R2TETP028KA"/>
    <s v="废水贮存槽2TETP-002BA压力高于1000Pa高报警"/>
    <n v="-1000"/>
    <s v="W"/>
    <s v="R2TETP027KA"/>
    <s v="废水贮存槽2TETP-002BA压力低于-1000Pa低报警"/>
    <m/>
    <m/>
    <m/>
    <m/>
    <m/>
    <m/>
    <m/>
    <m/>
    <m/>
    <m/>
    <m/>
    <m/>
    <n v="2"/>
    <n v="1"/>
    <m/>
    <n v="3"/>
    <m/>
  </r>
  <r>
    <n v="157"/>
    <s v="2TETP001HXT"/>
    <s v="2PT-TETP005BA"/>
    <m/>
    <s v="R2PTTETP005BA"/>
    <s v="集水槽2TETP-005BA压力"/>
    <s v="TETP"/>
    <s v="1812-B1131YKS05-101-013"/>
    <x v="0"/>
    <s v="FF211"/>
    <x v="7"/>
    <s v="2TEKC001AR207FF"/>
    <n v="2"/>
    <x v="4"/>
    <x v="0"/>
    <n v="17"/>
    <n v="6"/>
    <s v="TB271"/>
    <s v="207_1FI"/>
    <n v="1"/>
    <n v="2"/>
    <s v="--"/>
    <s v="--"/>
    <s v="NR"/>
    <s v="NA"/>
    <s v="FFAI"/>
    <s v="FF"/>
    <s v="DCS"/>
    <s v="FF1"/>
    <s v="总线变送器（总线供电）"/>
    <s v="kPa"/>
    <n v="-1.2"/>
    <n v="1.2"/>
    <m/>
    <m/>
    <m/>
    <m/>
    <m/>
    <m/>
    <s v="2TEKC-0_x000a_01BC"/>
    <s v="A"/>
    <m/>
    <m/>
    <m/>
    <m/>
    <m/>
    <m/>
    <m/>
    <m/>
    <m/>
    <m/>
    <m/>
    <m/>
    <m/>
    <m/>
    <m/>
    <m/>
    <m/>
    <n v="1000"/>
    <s v="W"/>
    <s v="R2TETP034KA"/>
    <s v="集水槽2TETP-005BA压力高于1000Pa高报警"/>
    <n v="-1000"/>
    <s v="W"/>
    <s v="R2TETP033KA"/>
    <s v="集水槽2TETP-005BA压力低于-1000Pa低报警"/>
    <m/>
    <m/>
    <m/>
    <m/>
    <m/>
    <m/>
    <m/>
    <m/>
    <m/>
    <m/>
    <m/>
    <m/>
    <n v="2"/>
    <n v="1"/>
    <m/>
    <n v="3"/>
    <m/>
  </r>
  <r>
    <n v="158"/>
    <s v="2TETP002HXT"/>
    <s v="2LT-TE02008G"/>
    <m/>
    <s v="R2LTTE02008G"/>
    <s v="TE02008G集水坑液位"/>
    <s v="TETP"/>
    <s v="1812-B1131YKS05-101-006"/>
    <x v="0"/>
    <s v="FF211"/>
    <x v="7"/>
    <s v="2TEKC001AR207FF"/>
    <n v="2"/>
    <x v="4"/>
    <x v="1"/>
    <n v="17"/>
    <n v="1"/>
    <s v="TB271"/>
    <s v="207_2FI"/>
    <n v="1"/>
    <n v="2"/>
    <s v="--"/>
    <s v="--"/>
    <s v="NR"/>
    <s v="NA"/>
    <s v="FFAI"/>
    <s v="FF"/>
    <s v="DCS"/>
    <s v="FF1"/>
    <s v="总线变送器（总线供电）"/>
    <s v="m"/>
    <n v="0"/>
    <n v="0.7"/>
    <m/>
    <m/>
    <m/>
    <m/>
    <m/>
    <m/>
    <s v="2TEKC-0_x000a_02BC"/>
    <s v="A"/>
    <m/>
    <m/>
    <m/>
    <m/>
    <m/>
    <m/>
    <m/>
    <m/>
    <m/>
    <m/>
    <m/>
    <m/>
    <m/>
    <m/>
    <m/>
    <m/>
    <m/>
    <n v="0.4"/>
    <s v="Y"/>
    <s v="R2TETP008KA"/>
    <s v="TE02008G集水坑液位高于0.4m高报警"/>
    <n v="0.15"/>
    <s v="Y"/>
    <s v="R2TETP007KA"/>
    <s v="TE02008G集水坑液位低于0.15m低报警"/>
    <m/>
    <m/>
    <m/>
    <m/>
    <m/>
    <m/>
    <m/>
    <m/>
    <m/>
    <m/>
    <m/>
    <m/>
    <n v="2"/>
    <n v="1"/>
    <m/>
    <n v="3"/>
    <m/>
  </r>
  <r>
    <n v="159"/>
    <s v="2TETP002HXT"/>
    <s v="2LT-TE02009G"/>
    <m/>
    <s v="R2LTTE02009G"/>
    <s v="TE02009G集水坑液位"/>
    <s v="TETP"/>
    <s v="1812-B1131YKS05-101-006"/>
    <x v="0"/>
    <s v="FF211"/>
    <x v="7"/>
    <s v="2TEKC001AR207FF"/>
    <n v="2"/>
    <x v="4"/>
    <x v="1"/>
    <n v="17"/>
    <n v="2"/>
    <s v="TB271"/>
    <s v="207_2FI"/>
    <n v="1"/>
    <n v="2"/>
    <s v="--"/>
    <s v="--"/>
    <s v="NR"/>
    <s v="NA"/>
    <s v="FFAI"/>
    <s v="FF"/>
    <s v="DCS"/>
    <s v="FF1"/>
    <s v="总线变送器（总线供电）"/>
    <s v="m"/>
    <n v="0"/>
    <n v="0.7"/>
    <m/>
    <m/>
    <m/>
    <m/>
    <m/>
    <m/>
    <s v="2TEKC-0_x000a_02BC"/>
    <s v="A"/>
    <m/>
    <m/>
    <m/>
    <m/>
    <m/>
    <m/>
    <m/>
    <m/>
    <m/>
    <m/>
    <m/>
    <m/>
    <m/>
    <m/>
    <m/>
    <m/>
    <m/>
    <n v="0.4"/>
    <s v="Y"/>
    <s v="R2TETP010KA"/>
    <s v="TE02009G集水坑液位高于0.4m高报警"/>
    <n v="0.15"/>
    <s v="Y"/>
    <s v="R2TETP009KA"/>
    <s v="TE02009G集水坑液位低于0.15m低报警"/>
    <m/>
    <m/>
    <m/>
    <m/>
    <m/>
    <m/>
    <m/>
    <m/>
    <m/>
    <m/>
    <m/>
    <m/>
    <n v="2"/>
    <n v="1"/>
    <m/>
    <n v="3"/>
    <m/>
  </r>
  <r>
    <n v="160"/>
    <s v="2TETP002HXT"/>
    <s v="2LT-TETP003BA"/>
    <m/>
    <s v="R2LTTETP003BA"/>
    <s v="废水贮存槽2TETP-003BA液位"/>
    <s v="TETP"/>
    <s v="1812-B1131YKS05-101-009"/>
    <x v="0"/>
    <s v="FF211"/>
    <x v="7"/>
    <s v="2TEKC001AR207FF"/>
    <n v="2"/>
    <x v="4"/>
    <x v="1"/>
    <n v="17"/>
    <n v="3"/>
    <s v="TB271"/>
    <s v="207_2FI"/>
    <n v="1"/>
    <n v="2"/>
    <s v="--"/>
    <s v="--"/>
    <s v="NR"/>
    <s v="NA"/>
    <s v="FFAI"/>
    <s v="FF"/>
    <s v="DCS"/>
    <s v="FF1"/>
    <s v="总线变送器（总线供电）"/>
    <s v="m"/>
    <n v="0"/>
    <n v="10.5"/>
    <m/>
    <m/>
    <m/>
    <m/>
    <m/>
    <m/>
    <s v="2TEKC-0_x000a_02BC"/>
    <s v="A"/>
    <m/>
    <m/>
    <m/>
    <m/>
    <m/>
    <m/>
    <m/>
    <m/>
    <m/>
    <m/>
    <m/>
    <m/>
    <m/>
    <n v="8.6"/>
    <s v="Y"/>
    <s v="R2TETP021KA"/>
    <s v="废水贮存槽2TETP-003BA液位高于8.6m高高报警"/>
    <n v="8.4"/>
    <s v="Y"/>
    <s v="R2TETP022KA"/>
    <s v="废水贮存槽2TETP-003BA液位高于8.4m高报警"/>
    <n v="0.1"/>
    <s v="Y"/>
    <s v="R2TETP023KA"/>
    <s v="废水贮存槽2TETP-003BA液位低于0.1m低报警"/>
    <m/>
    <m/>
    <m/>
    <m/>
    <m/>
    <m/>
    <m/>
    <m/>
    <m/>
    <m/>
    <m/>
    <m/>
    <n v="2"/>
    <n v="1"/>
    <m/>
    <n v="2"/>
    <m/>
  </r>
  <r>
    <n v="161"/>
    <s v="2TETP002HXT"/>
    <s v="2LT-TETP004BA"/>
    <m/>
    <s v="R2LTTETP004BA"/>
    <s v="废水贮存槽2TETP-004BA液位"/>
    <s v="TETP"/>
    <s v="1812-B1131YKS05-101-010"/>
    <x v="0"/>
    <s v="FF211"/>
    <x v="7"/>
    <s v="2TEKC001AR207FF"/>
    <n v="2"/>
    <x v="4"/>
    <x v="1"/>
    <n v="17"/>
    <n v="4"/>
    <s v="TB271"/>
    <s v="207_2FI"/>
    <n v="1"/>
    <n v="2"/>
    <s v="--"/>
    <s v="--"/>
    <s v="NR"/>
    <s v="NA"/>
    <s v="FFAI"/>
    <s v="FF"/>
    <s v="DCS"/>
    <s v="FF1"/>
    <s v="总线变送器（总线供电）"/>
    <s v="m"/>
    <n v="0"/>
    <n v="10.5"/>
    <m/>
    <m/>
    <m/>
    <m/>
    <m/>
    <m/>
    <s v="2TEKC-0_x000a_02BC"/>
    <s v="A"/>
    <m/>
    <m/>
    <m/>
    <m/>
    <m/>
    <m/>
    <m/>
    <m/>
    <m/>
    <m/>
    <m/>
    <m/>
    <m/>
    <n v="8.6"/>
    <s v="Y"/>
    <s v="R2TETP024KA"/>
    <s v="废水贮存槽2TETP-004BA液位高于8.6m高高报警"/>
    <n v="8.4"/>
    <s v="Y"/>
    <s v="R2TETP025KA"/>
    <s v="废水贮存槽2TETP-004BA液位高于8.4m高报警"/>
    <n v="0.1"/>
    <s v="Y"/>
    <s v="R2TETP026KA"/>
    <s v="废水贮存槽2TETP-004BA液位低于0.1m低报警"/>
    <m/>
    <m/>
    <m/>
    <m/>
    <m/>
    <m/>
    <m/>
    <m/>
    <m/>
    <m/>
    <m/>
    <m/>
    <n v="2"/>
    <n v="1"/>
    <m/>
    <n v="2"/>
    <m/>
  </r>
  <r>
    <n v="162"/>
    <s v="2TETP002HXT"/>
    <s v="2PT-TETP003BA"/>
    <m/>
    <s v="R2PTTETP003BA"/>
    <s v="废水贮存槽2TETP-003BA压力"/>
    <s v="TETP"/>
    <s v="1812-B1131YKS05-101-012"/>
    <x v="0"/>
    <s v="FF211"/>
    <x v="7"/>
    <s v="2TEKC001AR207FF"/>
    <n v="2"/>
    <x v="4"/>
    <x v="1"/>
    <n v="17"/>
    <n v="5"/>
    <s v="TB271"/>
    <s v="207_2FI"/>
    <n v="1"/>
    <n v="2"/>
    <s v="--"/>
    <s v="--"/>
    <s v="NR"/>
    <s v="NA"/>
    <s v="FFAI"/>
    <s v="FF"/>
    <s v="DCS"/>
    <s v="FF1"/>
    <s v="总线变送器（总线供电）"/>
    <s v="kPa"/>
    <n v="-1.2"/>
    <n v="1.2"/>
    <m/>
    <m/>
    <m/>
    <m/>
    <m/>
    <m/>
    <s v="2TEKC-0_x000a_02BC"/>
    <s v="A"/>
    <m/>
    <m/>
    <m/>
    <m/>
    <m/>
    <m/>
    <m/>
    <m/>
    <m/>
    <m/>
    <m/>
    <m/>
    <m/>
    <m/>
    <m/>
    <m/>
    <m/>
    <n v="1000"/>
    <s v="W"/>
    <s v="R2TETP030KA"/>
    <s v="废水贮存槽2TETP-003BA压力高于1000Pa高报警"/>
    <n v="-1000"/>
    <s v="W"/>
    <s v="R2TETP029KA"/>
    <s v="废水贮存槽2TETP-003BA压力低于-1000Pa低报警"/>
    <m/>
    <m/>
    <m/>
    <m/>
    <m/>
    <m/>
    <m/>
    <m/>
    <m/>
    <m/>
    <m/>
    <m/>
    <n v="2"/>
    <n v="1"/>
    <m/>
    <n v="3"/>
    <m/>
  </r>
  <r>
    <n v="163"/>
    <s v="2TETP002HXT"/>
    <s v="2PT-TETP004BA"/>
    <m/>
    <s v="R2PTTETP004BA"/>
    <s v="废水贮存槽2TETP-004BA压力"/>
    <s v="TETP"/>
    <s v="1812-B1131YKS05-101-013"/>
    <x v="0"/>
    <s v="FF211"/>
    <x v="7"/>
    <s v="2TEKC001AR207FF"/>
    <n v="2"/>
    <x v="4"/>
    <x v="1"/>
    <n v="17"/>
    <n v="6"/>
    <s v="TB271"/>
    <s v="207_2FI"/>
    <n v="1"/>
    <n v="2"/>
    <s v="--"/>
    <s v="--"/>
    <s v="NR"/>
    <s v="NA"/>
    <s v="FFAI"/>
    <s v="FF"/>
    <s v="DCS"/>
    <s v="FF1"/>
    <s v="总线变送器（总线供电）"/>
    <s v="kPa"/>
    <n v="-1.2"/>
    <n v="1.2"/>
    <m/>
    <m/>
    <m/>
    <m/>
    <m/>
    <m/>
    <s v="2TEKC-0_x000a_02BC"/>
    <s v="A"/>
    <m/>
    <m/>
    <m/>
    <m/>
    <m/>
    <m/>
    <m/>
    <m/>
    <m/>
    <m/>
    <m/>
    <m/>
    <m/>
    <m/>
    <m/>
    <m/>
    <m/>
    <n v="1000"/>
    <s v="W"/>
    <s v="R2TETP032KA"/>
    <s v="废水贮存槽2TETP-004BA压力高于1000Pa高报警"/>
    <n v="-1000"/>
    <s v="W"/>
    <s v="R2TETP031KA"/>
    <s v="废水贮存槽2TETP-004BA压力低于-1000Pa低报警"/>
    <m/>
    <m/>
    <m/>
    <m/>
    <m/>
    <m/>
    <m/>
    <m/>
    <m/>
    <m/>
    <m/>
    <m/>
    <n v="2"/>
    <n v="1"/>
    <m/>
    <n v="3"/>
    <m/>
  </r>
  <r>
    <n v="164"/>
    <s v="2TETP001HXT"/>
    <s v="2LT-TE11002G"/>
    <m/>
    <s v="R2LTTE11002G"/>
    <s v="加湿装置间TE11002G地漏液_x000a_位"/>
    <s v="TETP"/>
    <s v="1812-B1131YKS05-101-007"/>
    <x v="0"/>
    <s v="FF211"/>
    <x v="8"/>
    <s v="2TEKC001AR209FF"/>
    <n v="2"/>
    <x v="6"/>
    <x v="0"/>
    <n v="19"/>
    <n v="1"/>
    <s v="TB271"/>
    <s v="209_1FI"/>
    <n v="1"/>
    <n v="2"/>
    <s v="--"/>
    <s v="--"/>
    <s v="NR"/>
    <s v="NA"/>
    <s v="FFAI"/>
    <s v="FF"/>
    <s v="DCS"/>
    <s v="FF1"/>
    <s v="总线变送器（总线供电）"/>
    <s v="m"/>
    <n v="0"/>
    <n v="0.4"/>
    <m/>
    <m/>
    <m/>
    <m/>
    <m/>
    <m/>
    <s v="2TEKC-0_x000a_03BC"/>
    <s v="A"/>
    <m/>
    <m/>
    <m/>
    <m/>
    <m/>
    <m/>
    <m/>
    <m/>
    <m/>
    <m/>
    <m/>
    <m/>
    <m/>
    <m/>
    <m/>
    <m/>
    <m/>
    <n v="0.2"/>
    <s v="Y"/>
    <s v="R2TETP014KA"/>
    <s v="加湿装置间TE11002G地漏液_x000a_位高于0.2m高报警"/>
    <n v="0.1"/>
    <s v="Y"/>
    <s v="R2TETP015KA"/>
    <s v="加湿装置间TE11002G地漏液_x000a_位低于0.1m低报警"/>
    <m/>
    <m/>
    <m/>
    <m/>
    <m/>
    <m/>
    <m/>
    <m/>
    <m/>
    <m/>
    <m/>
    <m/>
    <n v="2"/>
    <n v="1"/>
    <m/>
    <n v="3"/>
    <m/>
  </r>
  <r>
    <n v="165"/>
    <s v="2TETP001HXT"/>
    <s v="2LT-TE11009G"/>
    <m/>
    <s v="R2LTTE11009G"/>
    <s v="高压微雾系统间TE11009G地_x000a_漏液位"/>
    <s v="TETP"/>
    <s v="1812-B1131YKS05-101-007"/>
    <x v="0"/>
    <s v="FF211"/>
    <x v="8"/>
    <s v="2TEKC001AR209FF"/>
    <n v="2"/>
    <x v="6"/>
    <x v="0"/>
    <n v="19"/>
    <n v="2"/>
    <s v="TB271"/>
    <s v="209_1FI"/>
    <n v="1"/>
    <n v="2"/>
    <s v="--"/>
    <s v="--"/>
    <s v="NR"/>
    <s v="NA"/>
    <s v="FFAI"/>
    <s v="FF"/>
    <s v="DCS"/>
    <s v="FF1"/>
    <s v="总线变送器（总线供电）"/>
    <s v="m"/>
    <n v="0"/>
    <n v="0.4"/>
    <m/>
    <m/>
    <m/>
    <m/>
    <m/>
    <m/>
    <s v="2TEKC-0_x000a_03BC"/>
    <s v="A"/>
    <m/>
    <m/>
    <m/>
    <m/>
    <m/>
    <m/>
    <m/>
    <m/>
    <m/>
    <m/>
    <m/>
    <m/>
    <m/>
    <m/>
    <m/>
    <m/>
    <m/>
    <n v="0.2"/>
    <s v="Y"/>
    <s v="R2TETP016KA"/>
    <s v="高压微雾系统间TE11009G地_x000a_漏液位高于0.2m高报警"/>
    <n v="0.1"/>
    <s v="Y"/>
    <s v="R2TETP017KA"/>
    <s v="高压微雾系统间TE11009G地_x000a_漏液位低于0.1m低报警"/>
    <m/>
    <m/>
    <m/>
    <m/>
    <m/>
    <m/>
    <m/>
    <m/>
    <m/>
    <m/>
    <m/>
    <m/>
    <n v="2"/>
    <n v="1"/>
    <m/>
    <n v="3"/>
    <m/>
  </r>
  <r>
    <n v="166"/>
    <s v="2TETP002HXT"/>
    <s v="2LT-TE02005G"/>
    <m/>
    <s v="R2LTTE02005G"/>
    <s v="TE02005G集水坑液位"/>
    <s v="TETP"/>
    <s v="1812-B1131YKS05-101-004"/>
    <x v="0"/>
    <s v="FF211"/>
    <x v="8"/>
    <s v="2TEKC001AR209FF"/>
    <n v="2"/>
    <x v="6"/>
    <x v="1"/>
    <n v="19"/>
    <n v="1"/>
    <s v="TB271"/>
    <s v="209_2FI"/>
    <n v="1"/>
    <n v="2"/>
    <s v="--"/>
    <s v="--"/>
    <s v="NR"/>
    <s v="NA"/>
    <s v="FFAI"/>
    <s v="FF"/>
    <s v="DCS"/>
    <s v="FF1"/>
    <s v="总线变送器（总线供电）"/>
    <s v="m"/>
    <n v="0"/>
    <n v="0.7"/>
    <m/>
    <m/>
    <m/>
    <m/>
    <m/>
    <m/>
    <s v="2TEKC-0_x000a_04BC"/>
    <s v="A"/>
    <m/>
    <m/>
    <m/>
    <m/>
    <m/>
    <m/>
    <m/>
    <m/>
    <m/>
    <m/>
    <m/>
    <m/>
    <m/>
    <m/>
    <m/>
    <m/>
    <m/>
    <n v="0.4"/>
    <s v="Y"/>
    <s v="R2TETP002KA"/>
    <s v="TE02005G集水坑液位高于0.4m高报警"/>
    <n v="0.15"/>
    <s v="Y"/>
    <s v="R2TETP001KA"/>
    <s v="TE02005G集水坑液位低于0.15m低报警"/>
    <m/>
    <m/>
    <m/>
    <m/>
    <m/>
    <m/>
    <m/>
    <m/>
    <m/>
    <m/>
    <m/>
    <m/>
    <n v="2"/>
    <n v="1"/>
    <m/>
    <n v="3"/>
    <m/>
  </r>
  <r>
    <n v="167"/>
    <s v="2TETP001HXT"/>
    <s v="2PT-TETP006PO"/>
    <m/>
    <s v="R2PTTETP006PO"/>
    <s v="输送泵1_x000a_2TETP-006PO出口压力"/>
    <s v="TETP"/>
    <s v="1812-B1131YKS05-101-012"/>
    <x v="0"/>
    <s v="FF211"/>
    <x v="8"/>
    <s v="2TEKC001AR209FF"/>
    <n v="2"/>
    <x v="6"/>
    <x v="1"/>
    <n v="19"/>
    <n v="2"/>
    <s v="TB271"/>
    <s v="209_2FI"/>
    <n v="1"/>
    <n v="2"/>
    <s v="--"/>
    <s v="--"/>
    <s v="NR"/>
    <s v="NA"/>
    <s v="FFAI"/>
    <s v="FF"/>
    <s v="DCS"/>
    <s v="FF1"/>
    <s v="总线变送器（总线供电）"/>
    <s v="MPa"/>
    <n v="0"/>
    <n v="1"/>
    <m/>
    <m/>
    <m/>
    <m/>
    <m/>
    <m/>
    <s v="2TEKC-0_x000a_04BC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n v="3"/>
    <m/>
  </r>
  <r>
    <n v="168"/>
    <s v="2TETP001HXT"/>
    <s v="2PT-TETP007PO"/>
    <m/>
    <s v="R2PTTETP007PO"/>
    <s v="输送泵2_x000a_2TETP-007PO出口压力"/>
    <s v="TETP"/>
    <s v="1812-B1131YKS05-101-012"/>
    <x v="0"/>
    <s v="FF211"/>
    <x v="8"/>
    <s v="2TEKC001AR209FF"/>
    <n v="2"/>
    <x v="6"/>
    <x v="1"/>
    <n v="19"/>
    <n v="3"/>
    <s v="TB271"/>
    <s v="209_2FI"/>
    <n v="1"/>
    <n v="2"/>
    <s v="--"/>
    <s v="--"/>
    <s v="NR"/>
    <s v="NA"/>
    <s v="FFAI"/>
    <s v="FF"/>
    <s v="DCS"/>
    <s v="FF1"/>
    <s v="总线变送器（总线供电）"/>
    <s v="MPa"/>
    <n v="0"/>
    <n v="1"/>
    <m/>
    <m/>
    <m/>
    <m/>
    <m/>
    <m/>
    <s v="2TEKC-0_x000a_04BC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n v="3"/>
    <m/>
  </r>
  <r>
    <n v="169"/>
    <s v="2TETP001HXT"/>
    <s v="2PT-TETP008PO"/>
    <m/>
    <s v="R2PTTETP008PO"/>
    <s v="废液泵_x000a_2TETP-008PO出口压力"/>
    <s v="TETP"/>
    <s v="1812-B1131YKS05-101-012"/>
    <x v="0"/>
    <s v="FF211"/>
    <x v="8"/>
    <s v="2TEKC001AR209FF"/>
    <n v="2"/>
    <x v="6"/>
    <x v="1"/>
    <n v="19"/>
    <n v="4"/>
    <s v="TB271"/>
    <s v="209_2FI"/>
    <n v="1"/>
    <n v="2"/>
    <s v="--"/>
    <s v="--"/>
    <s v="NR"/>
    <s v="NA"/>
    <s v="FFAI"/>
    <s v="FF"/>
    <s v="DCS"/>
    <s v="FF1"/>
    <s v="总线变送器（总线供电）"/>
    <s v="MPa"/>
    <n v="0"/>
    <n v="1"/>
    <m/>
    <m/>
    <m/>
    <m/>
    <m/>
    <m/>
    <s v="2TEKC-0_x000a_04BC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n v="3"/>
    <m/>
  </r>
  <r>
    <n v="170"/>
    <s v="2TETP001HXT"/>
    <s v="2PT-TETP009PO"/>
    <m/>
    <s v="R2PTTETP009PO"/>
    <s v="输送泵3_x000a_2TETP-009PO出口压力"/>
    <s v="TETP"/>
    <s v="1812-B1131YKS05-101-012"/>
    <x v="0"/>
    <s v="FF211"/>
    <x v="8"/>
    <s v="2TEKC001AR209FF"/>
    <n v="2"/>
    <x v="6"/>
    <x v="1"/>
    <n v="19"/>
    <n v="5"/>
    <s v="TB271"/>
    <s v="209_2FI"/>
    <n v="1"/>
    <n v="2"/>
    <s v="--"/>
    <s v="--"/>
    <s v="NR"/>
    <s v="NA"/>
    <s v="FFAI"/>
    <s v="FF"/>
    <s v="DCS"/>
    <s v="FF1"/>
    <s v="总线变送器（总线供电）"/>
    <s v="MPa"/>
    <n v="0"/>
    <n v="1.6"/>
    <m/>
    <m/>
    <m/>
    <m/>
    <m/>
    <m/>
    <s v="2TEKC-0_x000a_04BC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n v="3"/>
    <m/>
  </r>
  <r>
    <n v="171"/>
    <s v="2TETP001HXT"/>
    <s v="2PdT-TETP011FI"/>
    <s v="TJ"/>
    <s v="R2PdTTETP011FI_TJ"/>
    <s v="过滤器2TETP-011FI压差"/>
    <s v="TETP"/>
    <s v="1812-B1121YKS05-101-013"/>
    <x v="0"/>
    <s v="FF211"/>
    <x v="9"/>
    <s v="2TEKC001AR301FF"/>
    <n v="3"/>
    <x v="5"/>
    <x v="0"/>
    <n v="21"/>
    <n v="1"/>
    <s v="TB271"/>
    <s v="301_1FI"/>
    <n v="1"/>
    <n v="2"/>
    <s v="--"/>
    <s v="--"/>
    <s v="NR"/>
    <s v="NA"/>
    <s v="FFAI"/>
    <s v="FF"/>
    <s v="DCS"/>
    <s v="FF1"/>
    <s v="总线变送器（总线供电）"/>
    <s v="kPa"/>
    <n v="0"/>
    <n v="100"/>
    <m/>
    <m/>
    <m/>
    <m/>
    <m/>
    <m/>
    <s v="2TEKC-0_x000a_05BC"/>
    <s v="A"/>
    <m/>
    <m/>
    <m/>
    <m/>
    <m/>
    <m/>
    <m/>
    <m/>
    <m/>
    <m/>
    <m/>
    <m/>
    <m/>
    <m/>
    <m/>
    <m/>
    <m/>
    <n v="50"/>
    <s v="W"/>
    <s v="R2TETP035KA"/>
    <s v="过滤器2TETP-011FI压差高于50kPa高报警"/>
    <n v="0"/>
    <s v="W"/>
    <s v="R2TETP036KA"/>
    <s v="过滤器2TETP-011FI压差低于0kPa低报警"/>
    <m/>
    <m/>
    <m/>
    <m/>
    <m/>
    <m/>
    <m/>
    <m/>
    <m/>
    <m/>
    <m/>
    <m/>
    <n v="2"/>
    <n v="1"/>
    <m/>
    <n v="2"/>
    <m/>
  </r>
  <r>
    <n v="172"/>
    <s v="2TETP001HXT"/>
    <s v="2FV-TETP006PO"/>
    <s v="FW"/>
    <s v="R2FVTETP006PO_FW"/>
    <s v="气动调节阀0~100%开度"/>
    <s v="TETP"/>
    <s v="1812-B1131YKS05-101-002"/>
    <x v="0"/>
    <s v="FF211"/>
    <x v="9"/>
    <s v="2TEKC001AR301FF"/>
    <n v="3"/>
    <x v="5"/>
    <x v="0"/>
    <n v="21"/>
    <n v="2"/>
    <s v="TB271"/>
    <s v="301_1FI"/>
    <n v="1"/>
    <n v="2"/>
    <s v="--"/>
    <s v="--"/>
    <s v="NR"/>
    <s v="NA"/>
    <s v="FFAI"/>
    <s v="FF"/>
    <s v="DCS"/>
    <s v="FF1"/>
    <s v="总线阀门定位_x000a_器（总线供电_x000a_）"/>
    <s v="%"/>
    <n v="0"/>
    <n v="100"/>
    <m/>
    <m/>
    <m/>
    <m/>
    <m/>
    <m/>
    <s v="2TEKC-0_x000a_05BC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n v="2"/>
    <m/>
  </r>
  <r>
    <n v="173"/>
    <s v="2TETP001HXT"/>
    <s v="2FV-TETP008PO"/>
    <s v="FW"/>
    <s v="R2FVTETP008PO_FW"/>
    <s v="气动调节阀0~100%开度"/>
    <s v="TETP"/>
    <s v="1812-B1131YKS05-101-003"/>
    <x v="0"/>
    <s v="FF211"/>
    <x v="9"/>
    <s v="2TEKC001AR301FF"/>
    <n v="3"/>
    <x v="5"/>
    <x v="0"/>
    <n v="21"/>
    <n v="3"/>
    <s v="TB271"/>
    <s v="301_1FI"/>
    <n v="1"/>
    <n v="2"/>
    <s v="--"/>
    <s v="--"/>
    <s v="NR"/>
    <s v="NA"/>
    <s v="FFAI"/>
    <s v="FF"/>
    <s v="DCS"/>
    <s v="FF1"/>
    <s v="总线阀门定位_x000a_器（总线供电_x000a_）"/>
    <s v="%"/>
    <n v="0"/>
    <n v="100"/>
    <m/>
    <m/>
    <m/>
    <m/>
    <m/>
    <m/>
    <s v="2TEKC-0_x000a_05BC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n v="2"/>
    <m/>
  </r>
  <r>
    <n v="174"/>
    <s v="2TETP001HXT"/>
    <s v="2FV-TETP006PO"/>
    <s v="TJ "/>
    <s v="R2FVTETP006PO_TJ "/>
    <s v="气动调节阀开度调节"/>
    <s v="TETP"/>
    <s v="1812-B1131YKS05-101-002"/>
    <x v="0"/>
    <s v="FF211"/>
    <x v="9"/>
    <s v="2TEKC001AR301FF"/>
    <n v="3"/>
    <x v="5"/>
    <x v="0"/>
    <n v="21"/>
    <n v="4"/>
    <s v="TB271"/>
    <s v="301_1FI"/>
    <n v="1"/>
    <n v="2"/>
    <s v="--"/>
    <s v="--"/>
    <s v="NR"/>
    <s v="NA"/>
    <s v="FFAO"/>
    <s v="FF"/>
    <s v="DCS"/>
    <s v="FF1"/>
    <s v="总线阀门定位_x000a_器（总线供电_x000a_）"/>
    <s v="%"/>
    <n v="0"/>
    <n v="100"/>
    <m/>
    <m/>
    <m/>
    <m/>
    <m/>
    <m/>
    <s v="2TEKC-0_x000a_05BC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n v="2"/>
    <m/>
  </r>
  <r>
    <n v="175"/>
    <s v="2TETP001HXT"/>
    <s v="2FV-TETP008PO"/>
    <s v="TJ"/>
    <s v="R2FVTETP008PO_TJ"/>
    <s v="气动调节阀开度调节"/>
    <s v="TETP"/>
    <s v="1812-B1131YKS05-101-003"/>
    <x v="0"/>
    <s v="FF211"/>
    <x v="9"/>
    <s v="2TEKC001AR301FF"/>
    <n v="3"/>
    <x v="5"/>
    <x v="0"/>
    <n v="21"/>
    <n v="5"/>
    <s v="TB271"/>
    <s v="301_1FI"/>
    <n v="1"/>
    <n v="2"/>
    <s v="--"/>
    <s v="--"/>
    <s v="NR"/>
    <s v="NA"/>
    <s v="FFAO"/>
    <s v="FF"/>
    <s v="DCS"/>
    <s v="FF1"/>
    <s v="总线阀门定位_x000a_器（总线供电_x000a_）"/>
    <s v="%"/>
    <n v="0"/>
    <n v="100"/>
    <m/>
    <m/>
    <m/>
    <m/>
    <m/>
    <m/>
    <s v="2TEKC-0_x000a_05BC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n v="2"/>
    <m/>
  </r>
  <r>
    <m/>
    <m/>
    <s v="2TEKC001AR"/>
    <s v="PWFA"/>
    <s v="R2TEKC001AR_PWFA"/>
    <s v="控制柜2TEKC001AR机柜电源A故障报警"/>
    <s v="TETP"/>
    <m/>
    <x v="0"/>
    <s v="DI211"/>
    <x v="10"/>
    <s v="2TEKC001AR303DI"/>
    <n v="3"/>
    <x v="0"/>
    <x v="0"/>
    <n v="23"/>
    <m/>
    <s v="TB222"/>
    <s v="303BN"/>
    <s v="1A"/>
    <s v="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"/>
    <s v="PWFB"/>
    <s v="R2TEKC001AR_PWFB"/>
    <s v="控制柜2TEKC001AR机柜电源B故障报警"/>
    <s v="TETP"/>
    <m/>
    <x v="0"/>
    <s v="DI211"/>
    <x v="10"/>
    <s v="2TEKC001AR303DI"/>
    <n v="3"/>
    <x v="0"/>
    <x v="1"/>
    <n v="23"/>
    <m/>
    <s v="TB222"/>
    <s v="303BN"/>
    <s v="2A"/>
    <s v="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"/>
    <s v="DROP"/>
    <s v="R2TEKC001AR_DROP"/>
    <s v="控制柜2TEKC001AR机柜门开"/>
    <s v="TETP"/>
    <m/>
    <x v="0"/>
    <s v="DI211"/>
    <x v="10"/>
    <s v="2TEKC001AR303DI"/>
    <n v="3"/>
    <x v="0"/>
    <x v="2"/>
    <n v="23"/>
    <m/>
    <s v="TB222"/>
    <s v="303BN"/>
    <s v="3A"/>
    <s v="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"/>
    <s v="TEPH"/>
    <s v="R2TEKC001AR_TEPH"/>
    <s v="控制柜2TEKC001AR机柜温度高报警"/>
    <s v="TETP"/>
    <m/>
    <x v="0"/>
    <s v="DI211"/>
    <x v="10"/>
    <s v="2TEKC001AR303DI"/>
    <n v="3"/>
    <x v="0"/>
    <x v="3"/>
    <n v="23"/>
    <m/>
    <s v="TB222"/>
    <s v="303BN"/>
    <s v="4A"/>
    <s v="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"/>
    <s v="FAN"/>
    <s v="R2TEKC001AR_FAN"/>
    <s v="控制柜2TEKC001AR机柜风扇故障"/>
    <s v="TETP"/>
    <m/>
    <x v="0"/>
    <s v="DI211"/>
    <x v="10"/>
    <s v="2TEKC001AR303DI"/>
    <n v="3"/>
    <x v="0"/>
    <x v="4"/>
    <n v="23"/>
    <m/>
    <s v="TB222"/>
    <s v="303BN"/>
    <s v="5A"/>
    <s v="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"/>
    <s v="SWF"/>
    <s v="R2TEKC001AR_SWF"/>
    <s v="控制柜2TEKC001AR机柜网络故障"/>
    <s v="TETP"/>
    <m/>
    <x v="0"/>
    <s v="DI211"/>
    <x v="10"/>
    <s v="2TEKC001AR303DI"/>
    <n v="3"/>
    <x v="0"/>
    <x v="5"/>
    <n v="23"/>
    <m/>
    <s v="TB222"/>
    <s v="303BN"/>
    <s v="6A"/>
    <s v="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3DICH07"/>
    <m/>
    <s v="R2TEKC001AR303DICH07"/>
    <s v="备用"/>
    <s v="TETP"/>
    <m/>
    <x v="0"/>
    <s v="DI211"/>
    <x v="10"/>
    <s v="2TEKC001AR303DI"/>
    <n v="3"/>
    <x v="0"/>
    <x v="6"/>
    <n v="23"/>
    <m/>
    <s v="TB222"/>
    <s v="303BN"/>
    <s v="7A"/>
    <s v="7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3DICH08"/>
    <m/>
    <s v="R2TEKC001AR303DICH08"/>
    <s v="备用"/>
    <s v="TETP"/>
    <m/>
    <x v="0"/>
    <s v="DI211"/>
    <x v="10"/>
    <s v="2TEKC001AR303DI"/>
    <n v="3"/>
    <x v="0"/>
    <x v="7"/>
    <n v="23"/>
    <m/>
    <s v="TB222"/>
    <s v="303BN"/>
    <s v="8A"/>
    <s v="8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3DICH09"/>
    <m/>
    <s v="R2TEKC001AR303DICH09"/>
    <s v="备用"/>
    <s v="TETP"/>
    <m/>
    <x v="0"/>
    <s v="DI211"/>
    <x v="10"/>
    <s v="2TEKC001AR303DI"/>
    <n v="3"/>
    <x v="0"/>
    <x v="8"/>
    <n v="23"/>
    <m/>
    <s v="TB222"/>
    <s v="303BN"/>
    <s v="9A"/>
    <s v="9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3DICH10"/>
    <m/>
    <s v="R2TEKC001AR303DICH10"/>
    <s v="备用"/>
    <s v="TETP"/>
    <m/>
    <x v="0"/>
    <s v="DI211"/>
    <x v="10"/>
    <s v="2TEKC001AR303DI"/>
    <n v="3"/>
    <x v="0"/>
    <x v="9"/>
    <n v="23"/>
    <m/>
    <s v="TB222"/>
    <s v="303BN"/>
    <s v="10A"/>
    <s v="10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3DICH11"/>
    <m/>
    <s v="R2TEKC001AR303DICH11"/>
    <s v="备用"/>
    <s v="TETP"/>
    <m/>
    <x v="0"/>
    <s v="DI211"/>
    <x v="10"/>
    <s v="2TEKC001AR303DI"/>
    <n v="3"/>
    <x v="0"/>
    <x v="10"/>
    <n v="23"/>
    <m/>
    <s v="TB222"/>
    <s v="303BN"/>
    <s v="11A"/>
    <s v="1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3DICH12"/>
    <m/>
    <s v="R2TEKC001AR303DICH12"/>
    <s v="备用"/>
    <s v="TETP"/>
    <m/>
    <x v="0"/>
    <s v="DI211"/>
    <x v="10"/>
    <s v="2TEKC001AR303DI"/>
    <n v="3"/>
    <x v="0"/>
    <x v="11"/>
    <n v="23"/>
    <m/>
    <s v="TB222"/>
    <s v="303BN"/>
    <s v="12A"/>
    <s v="1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3DICH13"/>
    <m/>
    <s v="R2TEKC001AR303DICH13"/>
    <s v="备用"/>
    <s v="TETP"/>
    <m/>
    <x v="0"/>
    <s v="DI211"/>
    <x v="10"/>
    <s v="2TEKC001AR303DI"/>
    <n v="3"/>
    <x v="0"/>
    <x v="12"/>
    <n v="23"/>
    <m/>
    <s v="TB222"/>
    <s v="303BN"/>
    <s v="13A"/>
    <s v="1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3DICH14"/>
    <m/>
    <s v="R2TEKC001AR303DICH14"/>
    <s v="备用"/>
    <s v="TETP"/>
    <m/>
    <x v="0"/>
    <s v="DI211"/>
    <x v="10"/>
    <s v="2TEKC001AR303DI"/>
    <n v="3"/>
    <x v="0"/>
    <x v="13"/>
    <n v="23"/>
    <m/>
    <s v="TB222"/>
    <s v="303BN"/>
    <s v="14A"/>
    <s v="1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3DICH15"/>
    <m/>
    <s v="R2TEKC001AR303DICH15"/>
    <s v="备用"/>
    <s v="TETP"/>
    <m/>
    <x v="0"/>
    <s v="DI211"/>
    <x v="10"/>
    <s v="2TEKC001AR303DI"/>
    <n v="3"/>
    <x v="0"/>
    <x v="14"/>
    <n v="23"/>
    <m/>
    <s v="TB222"/>
    <s v="303BN"/>
    <s v="15A"/>
    <s v="1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3DICH16"/>
    <m/>
    <s v="R2TEKC001AR303DICH16"/>
    <s v="备用"/>
    <s v="TETP"/>
    <m/>
    <x v="0"/>
    <s v="DI211"/>
    <x v="10"/>
    <s v="2TEKC001AR303DI"/>
    <n v="3"/>
    <x v="0"/>
    <x v="15"/>
    <n v="23"/>
    <m/>
    <s v="TB222"/>
    <s v="303BN"/>
    <s v="16A"/>
    <s v="1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"/>
    <s v="ALM"/>
    <s v="R2TEKC001AR_ALM"/>
    <s v="控制柜2TEKC001AR机柜报警灯"/>
    <s v="TETP"/>
    <m/>
    <x v="0"/>
    <s v="DO211"/>
    <x v="11"/>
    <s v="2TEKC001AR304DO"/>
    <n v="3"/>
    <x v="1"/>
    <x v="0"/>
    <n v="24"/>
    <m/>
    <s v="TB233"/>
    <s v="304BN"/>
    <s v="1B"/>
    <s v="1C"/>
    <s v="--"/>
    <s v="--"/>
    <s v="NR"/>
    <s v="NA"/>
    <s v="DO"/>
    <s v="无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3AR"/>
    <s v="ALM"/>
    <s v="R2TEKC003AR_ALM"/>
    <s v="控制柜2TEKC003AR机柜报警灯"/>
    <s v="TETP"/>
    <m/>
    <x v="0"/>
    <s v="DO211"/>
    <x v="11"/>
    <s v="2TEKC001AR304DO"/>
    <n v="3"/>
    <x v="1"/>
    <x v="1"/>
    <n v="24"/>
    <m/>
    <s v="TB233"/>
    <s v="304BN"/>
    <s v="2B"/>
    <s v="2C"/>
    <s v="--"/>
    <s v="--"/>
    <s v="NR"/>
    <s v="NA"/>
    <s v="DO"/>
    <s v="无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4DOCH03"/>
    <m/>
    <s v="R2TEKC001AR304DOCH03"/>
    <s v="备用"/>
    <s v="TETP"/>
    <m/>
    <x v="0"/>
    <s v="DO211"/>
    <x v="11"/>
    <s v="2TEKC001AR304DO"/>
    <n v="3"/>
    <x v="1"/>
    <x v="2"/>
    <n v="24"/>
    <m/>
    <s v="TB233"/>
    <s v="304BN"/>
    <s v="3B"/>
    <s v="3C"/>
    <s v="--"/>
    <s v="--"/>
    <s v="NR"/>
    <s v="NA"/>
    <s v="DO"/>
    <s v="无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4DOCH04"/>
    <m/>
    <s v="R2TEKC001AR304DOCH04"/>
    <s v="备用"/>
    <s v="TETP"/>
    <m/>
    <x v="0"/>
    <s v="DO211"/>
    <x v="11"/>
    <s v="2TEKC001AR304DO"/>
    <n v="3"/>
    <x v="1"/>
    <x v="3"/>
    <n v="24"/>
    <m/>
    <s v="TB233"/>
    <s v="304BN"/>
    <s v="4B"/>
    <s v="4C"/>
    <s v="--"/>
    <s v="--"/>
    <s v="NR"/>
    <s v="NA"/>
    <s v="DO"/>
    <s v="无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4DOCH05"/>
    <m/>
    <s v="R2TEKC001AR304DOCH05"/>
    <s v="备用"/>
    <s v="TETP"/>
    <m/>
    <x v="0"/>
    <s v="DO211"/>
    <x v="11"/>
    <s v="2TEKC001AR304DO"/>
    <n v="3"/>
    <x v="1"/>
    <x v="4"/>
    <n v="24"/>
    <m/>
    <s v="TB233"/>
    <s v="304BN"/>
    <s v="5B"/>
    <s v="5C"/>
    <s v="--"/>
    <s v="--"/>
    <s v="NR"/>
    <s v="NA"/>
    <s v="DO"/>
    <s v="无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4DOCH06"/>
    <m/>
    <s v="R2TEKC001AR304DOCH06"/>
    <s v="备用"/>
    <s v="TETP"/>
    <m/>
    <x v="0"/>
    <s v="DO211"/>
    <x v="11"/>
    <s v="2TEKC001AR304DO"/>
    <n v="3"/>
    <x v="1"/>
    <x v="5"/>
    <n v="24"/>
    <m/>
    <s v="TB233"/>
    <s v="304BN"/>
    <s v="6B"/>
    <s v="6C"/>
    <s v="--"/>
    <s v="--"/>
    <s v="NR"/>
    <s v="NA"/>
    <s v="DO"/>
    <s v="无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4DOCH07"/>
    <m/>
    <s v="R2TEKC001AR304DOCH07"/>
    <s v="备用"/>
    <s v="TETP"/>
    <m/>
    <x v="0"/>
    <s v="DO211"/>
    <x v="11"/>
    <s v="2TEKC001AR304DO"/>
    <n v="3"/>
    <x v="1"/>
    <x v="6"/>
    <n v="24"/>
    <m/>
    <s v="TB233"/>
    <s v="304BN"/>
    <s v="7B"/>
    <s v="7C"/>
    <s v="--"/>
    <s v="--"/>
    <s v="NR"/>
    <s v="NA"/>
    <s v="DO"/>
    <s v="无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4DOCH08"/>
    <m/>
    <s v="R2TEKC001AR304DOCH08"/>
    <s v="备用"/>
    <s v="TETP"/>
    <m/>
    <x v="0"/>
    <s v="DO211"/>
    <x v="11"/>
    <s v="2TEKC001AR304DO"/>
    <n v="3"/>
    <x v="1"/>
    <x v="7"/>
    <n v="24"/>
    <m/>
    <s v="TB233"/>
    <s v="304BN"/>
    <s v="8B"/>
    <s v="8C"/>
    <s v="--"/>
    <s v="--"/>
    <s v="NR"/>
    <s v="NA"/>
    <s v="DO"/>
    <s v="无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4DOCH09"/>
    <m/>
    <s v="R2TEKC001AR304DOCH09"/>
    <s v="备用"/>
    <s v="TETP"/>
    <m/>
    <x v="0"/>
    <s v="DO211"/>
    <x v="11"/>
    <s v="2TEKC001AR304DO"/>
    <n v="3"/>
    <x v="1"/>
    <x v="8"/>
    <n v="24"/>
    <m/>
    <s v="TB233"/>
    <s v="304BN"/>
    <s v="9B"/>
    <s v="9C"/>
    <s v="--"/>
    <s v="--"/>
    <s v="NR"/>
    <s v="NA"/>
    <s v="DO"/>
    <s v="无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4DOCH10"/>
    <m/>
    <s v="R2TEKC001AR304DOCH10"/>
    <s v="备用"/>
    <s v="TETP"/>
    <m/>
    <x v="0"/>
    <s v="DO211"/>
    <x v="11"/>
    <s v="2TEKC001AR304DO"/>
    <n v="3"/>
    <x v="1"/>
    <x v="9"/>
    <n v="24"/>
    <m/>
    <s v="TB233"/>
    <s v="304BN"/>
    <s v="10B"/>
    <s v="10C"/>
    <s v="--"/>
    <s v="--"/>
    <s v="NR"/>
    <s v="NA"/>
    <s v="DO"/>
    <s v="无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4DOCH11"/>
    <m/>
    <s v="R2TEKC001AR304DOCH11"/>
    <s v="备用"/>
    <s v="TETP"/>
    <m/>
    <x v="0"/>
    <s v="DO211"/>
    <x v="11"/>
    <s v="2TEKC001AR304DO"/>
    <n v="3"/>
    <x v="1"/>
    <x v="10"/>
    <n v="24"/>
    <m/>
    <s v="TB233"/>
    <s v="304BN"/>
    <s v="11B"/>
    <s v="11C"/>
    <s v="--"/>
    <s v="--"/>
    <s v="NR"/>
    <s v="NA"/>
    <s v="DO"/>
    <s v="无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4DOCH12"/>
    <m/>
    <s v="R2TEKC001AR304DOCH12"/>
    <s v="备用"/>
    <s v="TETP"/>
    <m/>
    <x v="0"/>
    <s v="DO211"/>
    <x v="11"/>
    <s v="2TEKC001AR304DO"/>
    <n v="3"/>
    <x v="1"/>
    <x v="11"/>
    <n v="24"/>
    <m/>
    <s v="TB233"/>
    <s v="304BN"/>
    <s v="12B"/>
    <s v="12C"/>
    <s v="--"/>
    <s v="--"/>
    <s v="NR"/>
    <s v="NA"/>
    <s v="DO"/>
    <s v="无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4DOCH13"/>
    <m/>
    <s v="R2TEKC001AR304DOCH13"/>
    <s v="备用"/>
    <s v="TETP"/>
    <m/>
    <x v="0"/>
    <s v="DO211"/>
    <x v="11"/>
    <s v="2TEKC001AR304DO"/>
    <n v="3"/>
    <x v="1"/>
    <x v="12"/>
    <n v="24"/>
    <m/>
    <s v="TB233"/>
    <s v="304BN"/>
    <s v="13B"/>
    <s v="13C"/>
    <s v="--"/>
    <s v="--"/>
    <s v="NR"/>
    <s v="NA"/>
    <s v="DO"/>
    <s v="无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4DOCH14"/>
    <m/>
    <s v="R2TEKC001AR304DOCH14"/>
    <s v="备用"/>
    <s v="TETP"/>
    <m/>
    <x v="0"/>
    <s v="DO211"/>
    <x v="11"/>
    <s v="2TEKC001AR304DO"/>
    <n v="3"/>
    <x v="1"/>
    <x v="13"/>
    <n v="24"/>
    <m/>
    <s v="TB233"/>
    <s v="304BN"/>
    <s v="14B"/>
    <s v="14C"/>
    <s v="--"/>
    <s v="--"/>
    <s v="NR"/>
    <s v="NA"/>
    <s v="DO"/>
    <s v="无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4DOCH15"/>
    <m/>
    <s v="R2TEKC001AR304DOCH15"/>
    <s v="备用"/>
    <s v="TETP"/>
    <m/>
    <x v="0"/>
    <s v="DO211"/>
    <x v="11"/>
    <s v="2TEKC001AR304DO"/>
    <n v="3"/>
    <x v="1"/>
    <x v="14"/>
    <n v="24"/>
    <m/>
    <s v="TB233"/>
    <s v="304BN"/>
    <s v="15B"/>
    <s v="15C"/>
    <s v="--"/>
    <s v="--"/>
    <s v="NR"/>
    <s v="NA"/>
    <s v="DO"/>
    <s v="无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m/>
    <m/>
    <s v="2TEKC001AR304DOCH16"/>
    <m/>
    <s v="R2TEKC001AR304DOCH16"/>
    <s v="备用"/>
    <s v="TETP"/>
    <m/>
    <x v="0"/>
    <s v="DO211"/>
    <x v="11"/>
    <s v="2TEKC001AR304DO"/>
    <n v="3"/>
    <x v="1"/>
    <x v="15"/>
    <n v="24"/>
    <m/>
    <s v="TB233"/>
    <s v="304BN"/>
    <s v="16B"/>
    <s v="16C"/>
    <s v="--"/>
    <s v="--"/>
    <s v="NR"/>
    <s v="NA"/>
    <s v="DO"/>
    <s v="无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2"/>
    <n v="1"/>
    <m/>
    <m/>
    <m/>
  </r>
  <r>
    <n v="208"/>
    <s v="2TETN002HXT"/>
    <s v="2LT-TETN001BA"/>
    <m/>
    <s v="R2LTTETN001BA"/>
    <s v="尿素溶解槽(001BA)液位"/>
    <s v="TETN"/>
    <s v="1812-B1132YKS08-001_002"/>
    <x v="1"/>
    <s v="AI216"/>
    <x v="0"/>
    <s v="2TEKC003AR103AI"/>
    <n v="1"/>
    <x v="0"/>
    <x v="0"/>
    <n v="3"/>
    <m/>
    <s v="TB241"/>
    <s v="103BN"/>
    <s v="1B"/>
    <s v="1A"/>
    <s v="--"/>
    <s v="--"/>
    <s v="NR"/>
    <s v="NA"/>
    <s v="AI"/>
    <s v="4~20mA"/>
    <s v="DCS"/>
    <s v="AI1"/>
    <s v="两线制"/>
    <s v="mm"/>
    <n v="0"/>
    <n v="3100"/>
    <m/>
    <m/>
    <m/>
    <m/>
    <m/>
    <m/>
    <m/>
    <s v="A"/>
    <m/>
    <m/>
    <m/>
    <m/>
    <m/>
    <m/>
    <m/>
    <m/>
    <m/>
    <m/>
    <m/>
    <m/>
    <m/>
    <m/>
    <m/>
    <m/>
    <m/>
    <n v="3000"/>
    <s v="R"/>
    <s v="R2TETN001KA"/>
    <s v="尿素溶解槽001BA)液位高于3000mm高报警"/>
    <n v="100"/>
    <s v="R"/>
    <s v="R2TETN002KA"/>
    <s v="尿素溶解槽001BA)液位低于100mm低报警"/>
    <m/>
    <m/>
    <m/>
    <m/>
    <m/>
    <m/>
    <m/>
    <m/>
    <m/>
    <m/>
    <m/>
    <m/>
    <n v="3"/>
    <n v="1"/>
    <m/>
    <n v="1"/>
    <m/>
  </r>
  <r>
    <n v="209"/>
    <s v="2TETN002HXT"/>
    <s v="2LT-TETN002BA"/>
    <m/>
    <s v="R2LTTETN002BA"/>
    <s v="废液中转槽(002BA)液位"/>
    <s v="TETN"/>
    <s v="1812-B1132YKS08-001_002"/>
    <x v="1"/>
    <s v="AI216"/>
    <x v="0"/>
    <s v="2TEKC003AR103AI"/>
    <n v="1"/>
    <x v="0"/>
    <x v="1"/>
    <n v="3"/>
    <m/>
    <s v="TB241"/>
    <s v="103BN"/>
    <s v="2B"/>
    <s v="2A"/>
    <s v="--"/>
    <s v="--"/>
    <s v="NR"/>
    <s v="NA"/>
    <s v="AI"/>
    <s v="4~20mA"/>
    <s v="DCS"/>
    <s v="AI1"/>
    <s v="两线制"/>
    <s v="m"/>
    <n v="0"/>
    <n v="10"/>
    <m/>
    <m/>
    <m/>
    <m/>
    <m/>
    <m/>
    <m/>
    <s v="A"/>
    <m/>
    <m/>
    <m/>
    <m/>
    <m/>
    <m/>
    <m/>
    <m/>
    <m/>
    <m/>
    <m/>
    <m/>
    <m/>
    <m/>
    <m/>
    <m/>
    <m/>
    <n v="4"/>
    <s v="R"/>
    <s v="R2TETN003KA"/>
    <s v="废液中转槽(002BA)液位高于4.0m高报警"/>
    <n v="0.1"/>
    <s v="R"/>
    <s v="R2TETN004KA"/>
    <s v="废液中转槽002BA)液位低于0.1m低报警"/>
    <m/>
    <m/>
    <m/>
    <m/>
    <m/>
    <m/>
    <m/>
    <m/>
    <m/>
    <m/>
    <m/>
    <m/>
    <n v="3"/>
    <n v="1"/>
    <m/>
    <n v="3"/>
    <m/>
  </r>
  <r>
    <n v="210"/>
    <s v="2TETN001HXT"/>
    <s v="2LT-TETN003BA"/>
    <m/>
    <s v="R2LTTETN003BA"/>
    <s v="废液储槽(003BA)液位"/>
    <s v="TETN"/>
    <s v="1812-B1132YKS08-001_002"/>
    <x v="1"/>
    <s v="AI216"/>
    <x v="0"/>
    <s v="2TEKC003AR103AI"/>
    <n v="1"/>
    <x v="0"/>
    <x v="2"/>
    <n v="3"/>
    <m/>
    <s v="TB241"/>
    <s v="103BN"/>
    <s v="3B"/>
    <s v="3A"/>
    <s v="--"/>
    <s v="--"/>
    <s v="NR"/>
    <s v="NA"/>
    <s v="AI"/>
    <s v="4~20mA"/>
    <s v="DCS"/>
    <s v="AI1"/>
    <s v="两线制"/>
    <s v="m"/>
    <n v="0"/>
    <n v="10"/>
    <m/>
    <m/>
    <m/>
    <m/>
    <m/>
    <m/>
    <m/>
    <s v="A"/>
    <m/>
    <m/>
    <m/>
    <m/>
    <m/>
    <m/>
    <m/>
    <m/>
    <m/>
    <m/>
    <m/>
    <m/>
    <m/>
    <m/>
    <m/>
    <m/>
    <m/>
    <n v="4"/>
    <s v="R"/>
    <s v="R2TETN005KA"/>
    <s v="废液中转槽(003BA)液位高于4.0m高报警"/>
    <n v="0.1"/>
    <s v="R"/>
    <s v="R2TETN006KA"/>
    <s v="废液中转槽003BA)液位低于0.1m低报警"/>
    <m/>
    <m/>
    <m/>
    <m/>
    <m/>
    <m/>
    <m/>
    <m/>
    <m/>
    <m/>
    <m/>
    <m/>
    <n v="3"/>
    <n v="1"/>
    <m/>
    <n v="3"/>
    <m/>
  </r>
  <r>
    <n v="211"/>
    <s v="2TETN001HXT"/>
    <s v="2LT-TETN004BA"/>
    <m/>
    <s v="R2LTTETN004BA"/>
    <s v="废液储槽(004BA)液位"/>
    <s v="TETN"/>
    <s v="1812-B1132YKS08-001_002"/>
    <x v="1"/>
    <s v="AI216"/>
    <x v="0"/>
    <s v="2TEKC003AR103AI"/>
    <n v="1"/>
    <x v="0"/>
    <x v="3"/>
    <n v="3"/>
    <m/>
    <s v="TB241"/>
    <s v="103BN"/>
    <s v="4B"/>
    <s v="4A"/>
    <s v="--"/>
    <s v="--"/>
    <s v="NR"/>
    <s v="NA"/>
    <s v="AI"/>
    <s v="4~20mA"/>
    <s v="DCS"/>
    <s v="AI1"/>
    <s v="两线制"/>
    <s v="m"/>
    <n v="0"/>
    <n v="10"/>
    <m/>
    <m/>
    <m/>
    <m/>
    <m/>
    <m/>
    <m/>
    <s v="A"/>
    <m/>
    <m/>
    <m/>
    <m/>
    <m/>
    <m/>
    <m/>
    <m/>
    <m/>
    <m/>
    <m/>
    <m/>
    <m/>
    <m/>
    <m/>
    <m/>
    <m/>
    <n v="4"/>
    <s v="R"/>
    <s v="R2TETN007KA"/>
    <s v="废液中转槽(004BA)液位高于4.0m高报警"/>
    <n v="0.1"/>
    <s v="R"/>
    <s v="R2TETN008KA"/>
    <s v="废液中转槽004BA)液位低于0.1m低报警"/>
    <m/>
    <m/>
    <m/>
    <m/>
    <m/>
    <m/>
    <m/>
    <m/>
    <m/>
    <m/>
    <m/>
    <m/>
    <n v="3"/>
    <n v="1"/>
    <m/>
    <n v="3"/>
    <m/>
  </r>
  <r>
    <n v="212"/>
    <s v="2TETN003HXT"/>
    <s v="2LT-TETN001TH"/>
    <m/>
    <s v="R2LTTETN001TH"/>
    <s v="筛板吸收塔001TH-塔釜液位"/>
    <s v="TETN"/>
    <s v="1812-B1132YKS08-001_003"/>
    <x v="1"/>
    <s v="AI216"/>
    <x v="0"/>
    <s v="2TEKC003AR103AI"/>
    <n v="1"/>
    <x v="0"/>
    <x v="4"/>
    <n v="3"/>
    <m/>
    <s v="TB241"/>
    <s v="103BN"/>
    <s v="5B"/>
    <s v="5A"/>
    <s v="--"/>
    <s v="--"/>
    <s v="NR"/>
    <s v="NA"/>
    <s v="AI"/>
    <s v="4~20mA"/>
    <s v="DCS"/>
    <s v="AI1"/>
    <s v="两线制"/>
    <s v="mm"/>
    <n v="0"/>
    <n v="1700"/>
    <m/>
    <m/>
    <m/>
    <m/>
    <m/>
    <m/>
    <m/>
    <s v="A"/>
    <m/>
    <m/>
    <m/>
    <m/>
    <m/>
    <m/>
    <m/>
    <m/>
    <m/>
    <m/>
    <m/>
    <m/>
    <m/>
    <m/>
    <m/>
    <m/>
    <m/>
    <n v="1.6"/>
    <s v="R"/>
    <s v="R2TETN009KA"/>
    <s v="筛板吸收塔001TH-塔釜液位高于1.6m高报警"/>
    <n v="0.1"/>
    <s v="R"/>
    <s v="R2TETN010KA"/>
    <s v="筛板吸收塔001TH-塔釜液位低于0.1m低报警"/>
    <m/>
    <m/>
    <m/>
    <m/>
    <m/>
    <m/>
    <m/>
    <m/>
    <m/>
    <m/>
    <m/>
    <m/>
    <n v="3"/>
    <n v="1"/>
    <m/>
    <n v="1"/>
    <m/>
  </r>
  <r>
    <n v="213"/>
    <s v="2TETN003HXT"/>
    <s v="2LT-TETN002TH"/>
    <m/>
    <s v="R2LTTETN002TH"/>
    <s v="筛板吸收塔002TH-塔釜液位"/>
    <s v="TETN"/>
    <s v="1812-B1132YKS08-001_003"/>
    <x v="1"/>
    <s v="AI216"/>
    <x v="0"/>
    <s v="2TEKC003AR103AI"/>
    <n v="1"/>
    <x v="0"/>
    <x v="5"/>
    <n v="3"/>
    <m/>
    <s v="TB241"/>
    <s v="103BN"/>
    <s v="6B"/>
    <s v="6A"/>
    <s v="--"/>
    <s v="--"/>
    <s v="NR"/>
    <s v="NA"/>
    <s v="AI"/>
    <s v="4~20mA"/>
    <s v="DCS"/>
    <s v="AI1"/>
    <s v="两线制"/>
    <s v="mm"/>
    <n v="0"/>
    <n v="1700"/>
    <m/>
    <m/>
    <m/>
    <m/>
    <m/>
    <m/>
    <m/>
    <s v="A"/>
    <m/>
    <m/>
    <m/>
    <m/>
    <m/>
    <m/>
    <m/>
    <m/>
    <m/>
    <m/>
    <m/>
    <m/>
    <m/>
    <m/>
    <m/>
    <m/>
    <m/>
    <n v="1.6"/>
    <s v="R"/>
    <s v="R2TETN011KA"/>
    <s v="筛板吸收塔002TH-塔釜液位高于1.6m高报警"/>
    <n v="0.1"/>
    <s v="R"/>
    <s v="R2TETN012KA"/>
    <s v="筛板吸收塔002TH-塔釜液位低于0.1m低报警"/>
    <m/>
    <m/>
    <m/>
    <m/>
    <m/>
    <m/>
    <m/>
    <m/>
    <m/>
    <m/>
    <m/>
    <m/>
    <n v="3"/>
    <n v="1"/>
    <m/>
    <n v="1"/>
    <m/>
  </r>
  <r>
    <n v="214"/>
    <s v="2TETN004HXT"/>
    <s v="2LT-TETN003TH"/>
    <m/>
    <s v="R2LTTETN003TH"/>
    <s v="筛板吸收塔003TH-塔釜液位"/>
    <s v="TETN"/>
    <s v="1812-B1132YKS08-001_003"/>
    <x v="1"/>
    <s v="AI216"/>
    <x v="0"/>
    <s v="2TEKC003AR103AI"/>
    <n v="1"/>
    <x v="0"/>
    <x v="6"/>
    <n v="3"/>
    <m/>
    <s v="TB241"/>
    <s v="103BN"/>
    <s v="7B"/>
    <s v="7A"/>
    <s v="--"/>
    <s v="--"/>
    <s v="NR"/>
    <s v="NA"/>
    <s v="AI"/>
    <s v="4~20mA"/>
    <s v="DCS"/>
    <s v="AI1"/>
    <s v="两线制"/>
    <s v="mm"/>
    <n v="0"/>
    <n v="1700"/>
    <m/>
    <m/>
    <m/>
    <m/>
    <m/>
    <m/>
    <m/>
    <s v="A"/>
    <m/>
    <m/>
    <m/>
    <m/>
    <m/>
    <m/>
    <m/>
    <m/>
    <m/>
    <m/>
    <m/>
    <m/>
    <m/>
    <m/>
    <m/>
    <m/>
    <m/>
    <n v="1.6"/>
    <s v="R"/>
    <s v="R2TETN013KA"/>
    <s v="筛板吸收塔003TH-塔釜液位高于1.6m高报警"/>
    <n v="0.1"/>
    <s v="R"/>
    <s v="R2TETN014KA"/>
    <s v="筛板吸收塔003TH-塔釜液位低于0.1m低报警"/>
    <m/>
    <m/>
    <m/>
    <m/>
    <m/>
    <m/>
    <m/>
    <m/>
    <m/>
    <m/>
    <m/>
    <m/>
    <n v="3"/>
    <n v="1"/>
    <m/>
    <n v="1"/>
    <m/>
  </r>
  <r>
    <n v="215"/>
    <s v="备用"/>
    <s v="2TEKC003AR103AICH08"/>
    <m/>
    <s v="R2TEKC003AR103AICH08"/>
    <s v="备用"/>
    <s v="TETN"/>
    <s v="1812-B1132YKS08-001_003"/>
    <x v="1"/>
    <s v="AI216"/>
    <x v="0"/>
    <s v="2TEKC003AR103AI"/>
    <n v="1"/>
    <x v="0"/>
    <x v="7"/>
    <n v="3"/>
    <m/>
    <s v="TB241"/>
    <s v="103BN"/>
    <s v="8B"/>
    <s v="8A"/>
    <s v="--"/>
    <s v="--"/>
    <s v="NR"/>
    <s v="NA"/>
    <s v="AI"/>
    <s v="4~20mA"/>
    <s v="DCS"/>
    <s v="AI1"/>
    <s v="两线制"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16"/>
    <s v="2TETN004HXT"/>
    <s v="2LT-TETN004TH"/>
    <m/>
    <s v="R2LTTETN004TH"/>
    <s v="筛板吸收塔004TH-塔釜液位"/>
    <s v="TETN"/>
    <s v="1812-B1132YKS08-001_003"/>
    <x v="1"/>
    <s v="AI216"/>
    <x v="12"/>
    <s v="2TEKC003AR104AI"/>
    <n v="1"/>
    <x v="1"/>
    <x v="0"/>
    <n v="4"/>
    <m/>
    <s v="TB241"/>
    <s v="104BN"/>
    <s v="1B"/>
    <s v="1A"/>
    <s v="--"/>
    <s v="--"/>
    <s v="NR"/>
    <s v="NA"/>
    <s v="AI"/>
    <s v="4~20mA"/>
    <s v="DCS"/>
    <s v="AI1"/>
    <s v="两线制"/>
    <s v="mm"/>
    <n v="0"/>
    <n v="1700"/>
    <m/>
    <m/>
    <m/>
    <m/>
    <m/>
    <m/>
    <m/>
    <s v="A"/>
    <m/>
    <m/>
    <m/>
    <m/>
    <m/>
    <m/>
    <m/>
    <m/>
    <m/>
    <m/>
    <m/>
    <m/>
    <m/>
    <m/>
    <m/>
    <m/>
    <m/>
    <n v="1.6"/>
    <s v="R"/>
    <s v="R2TETN015KA"/>
    <s v="筛板吸收塔004TH-塔釜液位高于1.6m高报警"/>
    <n v="0.1"/>
    <s v="R"/>
    <s v="R2TETN016KA"/>
    <s v="筛板吸收塔004TH-塔釜液位低于0.1m低报警"/>
    <m/>
    <m/>
    <m/>
    <m/>
    <m/>
    <m/>
    <m/>
    <m/>
    <m/>
    <m/>
    <m/>
    <m/>
    <n v="3"/>
    <n v="1"/>
    <m/>
    <n v="1"/>
    <m/>
  </r>
  <r>
    <n v="217"/>
    <s v="2TETN005HXT"/>
    <s v="2LT-TETN005TH"/>
    <m/>
    <s v="R2LTTETN005TH"/>
    <s v="筛板吸收塔005TH-塔釜液位"/>
    <s v="TETN"/>
    <s v="1812-B1132YKS08-001_004"/>
    <x v="1"/>
    <s v="AI216"/>
    <x v="12"/>
    <s v="2TEKC003AR104AI"/>
    <n v="1"/>
    <x v="1"/>
    <x v="1"/>
    <n v="4"/>
    <m/>
    <s v="TB241"/>
    <s v="104BN"/>
    <s v="2B"/>
    <s v="2A"/>
    <s v="--"/>
    <s v="--"/>
    <s v="NR"/>
    <s v="NA"/>
    <s v="AI"/>
    <s v="4~20mA"/>
    <s v="DCS"/>
    <s v="AI1"/>
    <s v="两线制"/>
    <s v="mm"/>
    <n v="0"/>
    <n v="1700"/>
    <m/>
    <m/>
    <m/>
    <m/>
    <m/>
    <m/>
    <m/>
    <s v="A"/>
    <m/>
    <m/>
    <m/>
    <m/>
    <m/>
    <m/>
    <m/>
    <m/>
    <m/>
    <m/>
    <m/>
    <m/>
    <m/>
    <m/>
    <m/>
    <m/>
    <m/>
    <n v="1.6"/>
    <s v="R"/>
    <s v="R2TETN017KA"/>
    <s v="筛板吸收塔005TH-塔釜液位高于1.6m高报警"/>
    <n v="0.1"/>
    <s v="R"/>
    <s v="R2TETN018KA"/>
    <s v="筛板吸收塔005TH-塔釜液位低于0.1m低报警"/>
    <m/>
    <m/>
    <m/>
    <m/>
    <m/>
    <m/>
    <m/>
    <m/>
    <m/>
    <m/>
    <m/>
    <m/>
    <n v="3"/>
    <n v="1"/>
    <m/>
    <n v="1"/>
    <m/>
  </r>
  <r>
    <n v="218"/>
    <s v="2TETN006HXT"/>
    <s v="2LT-TETN006TH"/>
    <m/>
    <s v="R2LTTETN006TH"/>
    <s v="筛板吸收塔006TH-塔釜液位"/>
    <s v="TETN"/>
    <s v="1812-B1132YKS08-001_004"/>
    <x v="1"/>
    <s v="AI216"/>
    <x v="12"/>
    <s v="2TEKC003AR104AI"/>
    <n v="1"/>
    <x v="1"/>
    <x v="2"/>
    <n v="4"/>
    <m/>
    <s v="TB241"/>
    <s v="104BN"/>
    <s v="3B"/>
    <s v="3A"/>
    <s v="--"/>
    <s v="--"/>
    <s v="NR"/>
    <s v="NA"/>
    <s v="AI"/>
    <s v="4~20mA"/>
    <s v="DCS"/>
    <s v="AI1"/>
    <s v="两线制"/>
    <s v="mm"/>
    <n v="0"/>
    <n v="1700"/>
    <m/>
    <m/>
    <m/>
    <m/>
    <m/>
    <m/>
    <m/>
    <s v="A"/>
    <m/>
    <m/>
    <m/>
    <m/>
    <m/>
    <m/>
    <m/>
    <m/>
    <m/>
    <m/>
    <m/>
    <m/>
    <m/>
    <m/>
    <m/>
    <m/>
    <m/>
    <n v="1.6"/>
    <s v="R"/>
    <s v="R2TETN019KA"/>
    <s v="筛板吸收塔006TH-塔釜液位高于1.6m高报警"/>
    <n v="0.1"/>
    <s v="R"/>
    <s v="R2TETN020KA"/>
    <s v="筛板吸收塔006TH-塔釜液位低于0.1m低报警"/>
    <m/>
    <m/>
    <m/>
    <m/>
    <m/>
    <m/>
    <m/>
    <m/>
    <m/>
    <m/>
    <m/>
    <m/>
    <n v="3"/>
    <n v="1"/>
    <m/>
    <n v="1"/>
    <m/>
  </r>
  <r>
    <n v="219"/>
    <s v="2TETN006HXT"/>
    <s v="2LT-TETN007TH"/>
    <m/>
    <s v="R2LTTETN007TH"/>
    <s v="筛板吸收塔007TH-塔釜液位"/>
    <s v="TETN"/>
    <s v="1812-B1132YKS08-001_004"/>
    <x v="1"/>
    <s v="AI216"/>
    <x v="12"/>
    <s v="2TEKC003AR104AI"/>
    <n v="1"/>
    <x v="1"/>
    <x v="3"/>
    <n v="4"/>
    <m/>
    <s v="TB241"/>
    <s v="104BN"/>
    <s v="4B"/>
    <s v="4A"/>
    <s v="--"/>
    <s v="--"/>
    <s v="NR"/>
    <s v="NA"/>
    <s v="AI"/>
    <s v="4~20mA"/>
    <s v="DCS"/>
    <s v="AI1"/>
    <s v="两线制"/>
    <s v="mm"/>
    <n v="0"/>
    <n v="1700"/>
    <m/>
    <m/>
    <m/>
    <m/>
    <m/>
    <m/>
    <m/>
    <s v="A"/>
    <m/>
    <m/>
    <m/>
    <m/>
    <m/>
    <m/>
    <m/>
    <m/>
    <m/>
    <m/>
    <m/>
    <m/>
    <m/>
    <m/>
    <m/>
    <m/>
    <m/>
    <n v="1.6"/>
    <s v="R"/>
    <s v="R2TETN021KA"/>
    <s v="筛板吸收塔007TH-塔釜液位高于1.6m高报警"/>
    <n v="0.1"/>
    <s v="R"/>
    <s v="R2TETN022KA"/>
    <s v="筛板吸收塔007TH-塔釜液位低于0.1m低报警"/>
    <m/>
    <m/>
    <m/>
    <m/>
    <m/>
    <m/>
    <m/>
    <m/>
    <m/>
    <m/>
    <m/>
    <m/>
    <n v="3"/>
    <n v="1"/>
    <m/>
    <n v="1"/>
    <m/>
  </r>
  <r>
    <n v="220"/>
    <s v="2TETN007HXT"/>
    <s v="2LT-TETN008TH"/>
    <m/>
    <s v="R2LTTETN008TH"/>
    <s v="筛板吸收塔008TH-塔釜液位"/>
    <s v="TETN"/>
    <s v="1812-B1132YKS08-001_004"/>
    <x v="1"/>
    <s v="AI216"/>
    <x v="12"/>
    <s v="2TEKC003AR104AI"/>
    <n v="1"/>
    <x v="1"/>
    <x v="4"/>
    <n v="4"/>
    <m/>
    <s v="TB241"/>
    <s v="104BN"/>
    <s v="5B"/>
    <s v="5A"/>
    <s v="--"/>
    <s v="--"/>
    <s v="NR"/>
    <s v="NA"/>
    <s v="AI"/>
    <s v="4~20mA"/>
    <s v="DCS"/>
    <s v="AI1"/>
    <s v="两线制"/>
    <s v="mm"/>
    <n v="0"/>
    <n v="1700"/>
    <m/>
    <m/>
    <m/>
    <m/>
    <m/>
    <m/>
    <m/>
    <s v="A"/>
    <m/>
    <m/>
    <m/>
    <m/>
    <m/>
    <m/>
    <m/>
    <m/>
    <m/>
    <m/>
    <m/>
    <m/>
    <m/>
    <m/>
    <m/>
    <m/>
    <m/>
    <n v="1.6"/>
    <s v="R"/>
    <s v="R2TETN023KA"/>
    <s v="筛板吸收塔008TH-塔釜液位高于1.6m高报警"/>
    <n v="0.1"/>
    <s v="R"/>
    <s v="R2TETN024KA"/>
    <s v="筛板吸收塔008TH-塔釜液位低于0.1m低报警"/>
    <m/>
    <m/>
    <m/>
    <m/>
    <m/>
    <m/>
    <m/>
    <m/>
    <m/>
    <m/>
    <m/>
    <m/>
    <n v="3"/>
    <n v="1"/>
    <m/>
    <n v="1"/>
    <m/>
  </r>
  <r>
    <n v="221"/>
    <s v="2TETN007HXT"/>
    <s v="2LT-TETN009TH"/>
    <m/>
    <s v="R2LTTETN009TH"/>
    <s v="筛板吸收塔009TH-塔釜液位"/>
    <s v="TETN"/>
    <s v="1812-B1132YKS08-001_005"/>
    <x v="1"/>
    <s v="AI216"/>
    <x v="12"/>
    <s v="2TEKC003AR104AI"/>
    <n v="1"/>
    <x v="1"/>
    <x v="5"/>
    <n v="4"/>
    <m/>
    <s v="TB241"/>
    <s v="104BN"/>
    <s v="6B"/>
    <s v="6A"/>
    <s v="--"/>
    <s v="--"/>
    <s v="NR"/>
    <s v="NA"/>
    <s v="AI"/>
    <s v="4~20mA"/>
    <s v="DCS"/>
    <s v="AI1"/>
    <s v="两线制"/>
    <s v="mm"/>
    <n v="0"/>
    <n v="1700"/>
    <m/>
    <m/>
    <m/>
    <m/>
    <m/>
    <m/>
    <m/>
    <s v="A"/>
    <m/>
    <m/>
    <m/>
    <m/>
    <m/>
    <m/>
    <m/>
    <m/>
    <m/>
    <m/>
    <m/>
    <m/>
    <m/>
    <m/>
    <m/>
    <m/>
    <m/>
    <n v="1.6"/>
    <s v="R"/>
    <s v="R2TETN025KA"/>
    <s v="筛板吸收塔009TH-塔釜液位高于1.6m高报警"/>
    <n v="0.1"/>
    <s v="R"/>
    <s v="R2TETN026KA"/>
    <s v="筛板吸收塔009TH-塔釜液位低于0.1m低报警"/>
    <m/>
    <m/>
    <m/>
    <m/>
    <m/>
    <m/>
    <m/>
    <m/>
    <m/>
    <m/>
    <m/>
    <m/>
    <n v="3"/>
    <n v="1"/>
    <m/>
    <n v="1"/>
    <m/>
  </r>
  <r>
    <n v="222"/>
    <s v="2TETN008HXT"/>
    <s v="2LT-TETN010TH"/>
    <m/>
    <s v="R2LTTETN010TH"/>
    <s v="筛板吸收塔010TH-塔釜液位"/>
    <s v="TETN"/>
    <s v="1812-B1132YKS08-001_005"/>
    <x v="1"/>
    <s v="AI216"/>
    <x v="12"/>
    <s v="2TEKC003AR104AI"/>
    <n v="1"/>
    <x v="1"/>
    <x v="6"/>
    <n v="4"/>
    <m/>
    <s v="TB241"/>
    <s v="104BN"/>
    <s v="7B"/>
    <s v="7A"/>
    <s v="--"/>
    <s v="--"/>
    <s v="NR"/>
    <s v="NA"/>
    <s v="AI"/>
    <s v="4~20mA"/>
    <s v="DCS"/>
    <s v="AI1"/>
    <s v="两线制"/>
    <s v="mm"/>
    <n v="0"/>
    <n v="1700"/>
    <m/>
    <m/>
    <m/>
    <m/>
    <m/>
    <m/>
    <m/>
    <s v="A"/>
    <m/>
    <m/>
    <m/>
    <m/>
    <m/>
    <m/>
    <m/>
    <m/>
    <m/>
    <m/>
    <m/>
    <m/>
    <m/>
    <m/>
    <m/>
    <m/>
    <m/>
    <n v="1.6"/>
    <s v="R"/>
    <s v="R2TETN027KA"/>
    <s v="筛板吸收塔010TH-塔釜液位高于1.6m高报警"/>
    <n v="0.1"/>
    <s v="R"/>
    <s v="R2TETN028KA"/>
    <s v="筛板吸收塔010TH-塔釜液位低于0.1m低报警"/>
    <m/>
    <m/>
    <m/>
    <m/>
    <m/>
    <m/>
    <m/>
    <m/>
    <m/>
    <m/>
    <m/>
    <m/>
    <n v="3"/>
    <n v="1"/>
    <m/>
    <n v="1"/>
    <m/>
  </r>
  <r>
    <n v="223"/>
    <s v="备用"/>
    <s v="2TEKC003AR104AICH08"/>
    <m/>
    <s v="R2TEKC003AR104AICH08"/>
    <s v="备用"/>
    <s v="TETN"/>
    <s v="1812-B1132YKS08-001_005"/>
    <x v="1"/>
    <s v="AI216"/>
    <x v="12"/>
    <s v="2TEKC003AR104AI"/>
    <n v="1"/>
    <x v="1"/>
    <x v="7"/>
    <n v="4"/>
    <m/>
    <s v="TB241"/>
    <s v="104BN"/>
    <s v="8B"/>
    <s v="8A"/>
    <s v="--"/>
    <s v="--"/>
    <s v="NR"/>
    <s v="NA"/>
    <s v="AI"/>
    <s v="4~20mA"/>
    <s v="DCS"/>
    <s v="AI1"/>
    <s v="两线制"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24"/>
    <s v="2TETN006HXT"/>
    <s v="2LT-TETN027PO     "/>
    <m/>
    <s v="R2LTTETN027PO"/>
    <s v="氮氧化物尾气处理间-地坑A液位"/>
    <s v="TETN"/>
    <s v="1812-B1132YKS08-001_005"/>
    <x v="1"/>
    <s v="AI216"/>
    <x v="13"/>
    <s v="2TEKC003AR105AI"/>
    <n v="1"/>
    <x v="2"/>
    <x v="0"/>
    <n v="5"/>
    <m/>
    <s v="TB241"/>
    <s v="105BN"/>
    <s v="1B"/>
    <s v="1A"/>
    <s v="--"/>
    <s v="--"/>
    <s v="NR"/>
    <s v="NA"/>
    <s v="AI"/>
    <s v="4~20mA"/>
    <s v="DCS"/>
    <s v="AI1"/>
    <s v="两线制"/>
    <s v="m"/>
    <n v="0"/>
    <n v="1.2"/>
    <m/>
    <m/>
    <m/>
    <m/>
    <m/>
    <m/>
    <m/>
    <s v="A"/>
    <m/>
    <m/>
    <m/>
    <m/>
    <m/>
    <m/>
    <m/>
    <m/>
    <m/>
    <m/>
    <m/>
    <m/>
    <m/>
    <m/>
    <m/>
    <m/>
    <m/>
    <n v="0.8"/>
    <s v="R"/>
    <s v="R2TETN029KA"/>
    <s v="氮氧化物尾气处理间-地坑A液位高于0.8m高报警"/>
    <n v="0.1"/>
    <s v="R"/>
    <s v="R2TETN030KA"/>
    <s v="氮氧化物尾气处理间-地坑A液位低于0.1m低报警"/>
    <m/>
    <m/>
    <m/>
    <m/>
    <m/>
    <m/>
    <m/>
    <m/>
    <m/>
    <m/>
    <m/>
    <m/>
    <n v="3"/>
    <n v="1"/>
    <m/>
    <n v="3"/>
    <m/>
  </r>
  <r>
    <n v="225"/>
    <s v="2TETN001HXT"/>
    <s v="2LT-TETN028PO"/>
    <m/>
    <s v="R2LTTETN028PO"/>
    <s v="尿素废液间-地坑B液位"/>
    <s v="TETN"/>
    <s v="1812-B1132YKS08-001_006"/>
    <x v="1"/>
    <s v="AI216"/>
    <x v="13"/>
    <s v="2TEKC003AR105AI"/>
    <n v="1"/>
    <x v="2"/>
    <x v="1"/>
    <n v="5"/>
    <m/>
    <s v="TB241"/>
    <s v="105BN"/>
    <s v="2B"/>
    <s v="2A"/>
    <s v="--"/>
    <s v="--"/>
    <s v="NR"/>
    <s v="NA"/>
    <s v="AI"/>
    <s v="4~20mA"/>
    <s v="DCS"/>
    <s v="AI1"/>
    <s v="两线制"/>
    <s v="m"/>
    <n v="0"/>
    <n v="1.2"/>
    <m/>
    <m/>
    <m/>
    <m/>
    <m/>
    <m/>
    <m/>
    <s v="A"/>
    <m/>
    <m/>
    <m/>
    <m/>
    <m/>
    <m/>
    <m/>
    <m/>
    <m/>
    <m/>
    <m/>
    <m/>
    <m/>
    <m/>
    <m/>
    <m/>
    <m/>
    <n v="0.8"/>
    <s v="R"/>
    <s v="R2TETN031KA"/>
    <s v="尿素废液间-地坑B液位高于0.8m高报警"/>
    <n v="0.1"/>
    <s v="R"/>
    <s v="R2TETN032KA"/>
    <s v="尿素废液间-地坑B液位低于0.1m低报警"/>
    <m/>
    <m/>
    <m/>
    <m/>
    <m/>
    <m/>
    <m/>
    <m/>
    <m/>
    <m/>
    <m/>
    <m/>
    <n v="3"/>
    <n v="1"/>
    <m/>
    <n v="3"/>
    <m/>
  </r>
  <r>
    <n v="226"/>
    <s v="2TETN002HXT"/>
    <s v="2LT-TETN029PO"/>
    <m/>
    <s v="R2LTTETN029PO"/>
    <s v="废液暂存间-地坑C液位"/>
    <s v="TETN"/>
    <s v="1812-B1132YKS08-001_006"/>
    <x v="1"/>
    <s v="AI216"/>
    <x v="13"/>
    <s v="2TEKC003AR105AI"/>
    <n v="1"/>
    <x v="2"/>
    <x v="2"/>
    <n v="5"/>
    <m/>
    <s v="TB241"/>
    <s v="105BN"/>
    <s v="3B"/>
    <s v="3A"/>
    <s v="--"/>
    <s v="--"/>
    <s v="NR"/>
    <s v="NA"/>
    <s v="AI"/>
    <s v="4~20mA"/>
    <s v="DCS"/>
    <s v="AI1"/>
    <s v="两线制"/>
    <s v="m"/>
    <n v="0"/>
    <n v="1.2"/>
    <m/>
    <m/>
    <m/>
    <m/>
    <m/>
    <m/>
    <m/>
    <s v="A"/>
    <m/>
    <m/>
    <m/>
    <m/>
    <m/>
    <m/>
    <m/>
    <m/>
    <m/>
    <m/>
    <m/>
    <m/>
    <m/>
    <m/>
    <m/>
    <m/>
    <m/>
    <n v="0.8"/>
    <s v="R"/>
    <s v="R2TETN033KA"/>
    <s v="废液暂存间-地坑C液位高于0.8m高报警"/>
    <n v="0.1"/>
    <s v="R"/>
    <s v="R2TETN034KA"/>
    <s v="废液暂存间-地坑C液位低于0.1m低报警"/>
    <m/>
    <m/>
    <m/>
    <m/>
    <m/>
    <m/>
    <m/>
    <m/>
    <m/>
    <m/>
    <m/>
    <m/>
    <n v="3"/>
    <n v="1"/>
    <m/>
    <n v="3"/>
    <m/>
  </r>
  <r>
    <n v="227"/>
    <s v="2TETN003HXT"/>
    <s v="2TT-TETN001TH"/>
    <m/>
    <s v="R2TTTETN001TH"/>
    <s v="筛板吸收塔001TH-塔釜温度"/>
    <s v="TETN"/>
    <s v="1812-B1132YKS08-001_007"/>
    <x v="1"/>
    <s v="AI216"/>
    <x v="13"/>
    <s v="2TEKC003AR105AI"/>
    <n v="1"/>
    <x v="2"/>
    <x v="3"/>
    <n v="5"/>
    <m/>
    <s v="TB241"/>
    <s v="105BN"/>
    <s v="4B"/>
    <s v="4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50"/>
    <s v="R"/>
    <s v="R2TETN035KA"/>
    <s v="筛板吸收塔001TH-塔釜温度高于50℃高报警"/>
    <n v="20"/>
    <s v="R"/>
    <s v="R2TETN036KA"/>
    <s v="筛板吸收塔001TH-塔釜温度低于20℃低报警"/>
    <m/>
    <m/>
    <m/>
    <m/>
    <m/>
    <m/>
    <m/>
    <m/>
    <m/>
    <m/>
    <m/>
    <m/>
    <n v="3"/>
    <n v="1"/>
    <m/>
    <n v="2"/>
    <m/>
  </r>
  <r>
    <n v="228"/>
    <s v="2TETN003HXT"/>
    <s v="2TT-TETN002TH"/>
    <m/>
    <s v="R2TTTETN002TH"/>
    <s v="筛板吸收塔002TH-塔釜温度"/>
    <s v="TETN"/>
    <s v="1812-B1132YKS08-001_008"/>
    <x v="1"/>
    <s v="AI216"/>
    <x v="13"/>
    <s v="2TEKC003AR105AI"/>
    <n v="1"/>
    <x v="2"/>
    <x v="4"/>
    <n v="5"/>
    <m/>
    <s v="TB241"/>
    <s v="105BN"/>
    <s v="5B"/>
    <s v="5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50"/>
    <s v="R"/>
    <s v="R2TETN037KA"/>
    <s v="筛板吸收塔002TH-塔釜温度高于50℃高报警"/>
    <n v="20"/>
    <s v="R"/>
    <s v="R2TETN038KA"/>
    <s v="筛板吸收塔002TH-塔釜温度低于20℃低报警"/>
    <m/>
    <m/>
    <m/>
    <m/>
    <m/>
    <m/>
    <m/>
    <m/>
    <m/>
    <m/>
    <m/>
    <m/>
    <n v="3"/>
    <n v="1"/>
    <m/>
    <n v="2"/>
    <m/>
  </r>
  <r>
    <n v="229"/>
    <s v="2TETN004HXT"/>
    <s v="2TT-TETN003TH"/>
    <m/>
    <s v="R2TTTETN003TH"/>
    <s v="筛板吸收塔003TH-塔釜温度"/>
    <s v="TETN"/>
    <s v="1812-B1132YKS08-001_009"/>
    <x v="1"/>
    <s v="AI216"/>
    <x v="13"/>
    <s v="2TEKC003AR105AI"/>
    <n v="1"/>
    <x v="2"/>
    <x v="5"/>
    <n v="5"/>
    <m/>
    <s v="TB241"/>
    <s v="105BN"/>
    <s v="6B"/>
    <s v="6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50"/>
    <s v="R"/>
    <s v="R2TETN039KA"/>
    <s v="筛板吸收塔003TH-塔釜温度高于50℃高报警"/>
    <n v="20"/>
    <s v="R"/>
    <s v="R2TETN040KA"/>
    <s v="筛板吸收塔003TH-塔釜温度低于20℃低报警"/>
    <m/>
    <m/>
    <m/>
    <m/>
    <m/>
    <m/>
    <m/>
    <m/>
    <m/>
    <m/>
    <m/>
    <m/>
    <n v="3"/>
    <n v="1"/>
    <m/>
    <n v="2"/>
    <m/>
  </r>
  <r>
    <n v="230"/>
    <s v="2TETN004HXT"/>
    <s v="2TT-TETN004TH"/>
    <m/>
    <s v="R2TTTETN004TH"/>
    <s v="筛板吸收塔004TH-塔釜温度"/>
    <s v="TETN"/>
    <s v="1812-B1132YKS08-001_010"/>
    <x v="1"/>
    <s v="AI216"/>
    <x v="13"/>
    <s v="2TEKC003AR105AI"/>
    <n v="1"/>
    <x v="2"/>
    <x v="6"/>
    <n v="5"/>
    <m/>
    <s v="TB241"/>
    <s v="105BN"/>
    <s v="7B"/>
    <s v="7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50"/>
    <s v="R"/>
    <s v="R2TETN041KA"/>
    <s v="筛板吸收塔004TH-塔釜温度高于50℃高报警"/>
    <n v="20"/>
    <s v="R"/>
    <s v="R2TETN042KA"/>
    <s v="筛板吸收塔004TH-塔釜温度低于20℃低报警"/>
    <m/>
    <m/>
    <m/>
    <m/>
    <m/>
    <m/>
    <m/>
    <m/>
    <m/>
    <m/>
    <m/>
    <m/>
    <n v="3"/>
    <n v="1"/>
    <m/>
    <n v="2"/>
    <m/>
  </r>
  <r>
    <n v="231"/>
    <s v="备用"/>
    <s v="2TEKC003AR105AICH08"/>
    <m/>
    <s v="R2TEKC003AR105AICH08"/>
    <s v="备用"/>
    <s v="TETN"/>
    <m/>
    <x v="1"/>
    <s v="AI216"/>
    <x v="13"/>
    <s v="2TEKC003AR105AI"/>
    <n v="1"/>
    <x v="2"/>
    <x v="7"/>
    <n v="5"/>
    <m/>
    <s v="TB241"/>
    <s v="105BN"/>
    <s v="8B"/>
    <s v="8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32"/>
    <s v="2TETN005HXT"/>
    <s v="2TT-TETN005TH"/>
    <m/>
    <s v="R2TTTETN005TH"/>
    <s v="筛板吸收塔005TH-塔釜温度"/>
    <s v="TETN"/>
    <s v="1812-B1132YKS08-001_011"/>
    <x v="1"/>
    <s v="AI216"/>
    <x v="14"/>
    <s v="2TEKC003AR106AI"/>
    <n v="1"/>
    <x v="3"/>
    <x v="0"/>
    <n v="6"/>
    <m/>
    <s v="TB241"/>
    <s v="106BN"/>
    <s v="1B"/>
    <s v="1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50"/>
    <s v="R"/>
    <s v="R2TETN043KA"/>
    <s v="筛板吸收塔005TH-塔釜温度高于50℃高报警"/>
    <n v="20"/>
    <s v="R"/>
    <s v="R2TETN044KA"/>
    <s v="筛板吸收塔005TH-塔釜温度低于20℃低报警"/>
    <m/>
    <m/>
    <m/>
    <m/>
    <m/>
    <m/>
    <m/>
    <m/>
    <m/>
    <m/>
    <m/>
    <m/>
    <n v="3"/>
    <n v="1"/>
    <m/>
    <n v="2"/>
    <m/>
  </r>
  <r>
    <n v="233"/>
    <s v="2TETN006HXT"/>
    <s v="2TT-TETN006TH"/>
    <m/>
    <s v="R2TTTETN006TH"/>
    <s v="筛板吸收塔006TH-塔釜温度"/>
    <s v="TETN"/>
    <s v="1812-B1132YKS08-001_012"/>
    <x v="1"/>
    <s v="AI216"/>
    <x v="14"/>
    <s v="2TEKC003AR106AI"/>
    <n v="1"/>
    <x v="3"/>
    <x v="1"/>
    <n v="6"/>
    <m/>
    <s v="TB241"/>
    <s v="106BN"/>
    <s v="2B"/>
    <s v="2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50"/>
    <s v="R"/>
    <s v="R2TETN045KA"/>
    <s v="筛板吸收塔006TH-塔釜温度高于50℃高报警"/>
    <n v="20"/>
    <s v="R"/>
    <s v="R2TETN046KA"/>
    <s v="筛板吸收塔006TH-塔釜温度低于20℃低报警"/>
    <m/>
    <m/>
    <m/>
    <m/>
    <m/>
    <m/>
    <m/>
    <m/>
    <m/>
    <m/>
    <m/>
    <m/>
    <n v="3"/>
    <n v="1"/>
    <m/>
    <n v="2"/>
    <m/>
  </r>
  <r>
    <n v="234"/>
    <s v="2TETN006HXT"/>
    <s v="2TT-TETN007TH"/>
    <m/>
    <s v="R2TTTETN007TH"/>
    <s v="筛板吸收塔007TH-塔釜温度"/>
    <s v="TETN"/>
    <s v="1812-B1132YKS08-001_013"/>
    <x v="1"/>
    <s v="AI216"/>
    <x v="14"/>
    <s v="2TEKC003AR106AI"/>
    <n v="1"/>
    <x v="3"/>
    <x v="2"/>
    <n v="6"/>
    <m/>
    <s v="TB241"/>
    <s v="106BN"/>
    <s v="3B"/>
    <s v="3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50"/>
    <s v="R"/>
    <s v="R2TETN047KA"/>
    <s v="筛板吸收塔007TH-塔釜温度高于50℃高报警"/>
    <n v="20"/>
    <s v="R"/>
    <s v="R2TETN048KA"/>
    <s v="筛板吸收塔007TH-塔釜温度低于20℃低报警"/>
    <m/>
    <m/>
    <m/>
    <m/>
    <m/>
    <m/>
    <m/>
    <m/>
    <m/>
    <m/>
    <m/>
    <m/>
    <n v="3"/>
    <n v="1"/>
    <m/>
    <n v="2"/>
    <m/>
  </r>
  <r>
    <n v="235"/>
    <s v="2TETN007HXT"/>
    <s v="2TT-TETN008TH"/>
    <m/>
    <s v="R2TTTETN008TH"/>
    <s v="筛板吸收塔008TH-塔釜温度"/>
    <s v="TETN"/>
    <s v="1812-B1132YKS08-001_014"/>
    <x v="1"/>
    <s v="AI216"/>
    <x v="14"/>
    <s v="2TEKC003AR106AI"/>
    <n v="1"/>
    <x v="3"/>
    <x v="3"/>
    <n v="6"/>
    <m/>
    <s v="TB241"/>
    <s v="106BN"/>
    <s v="4B"/>
    <s v="4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50"/>
    <s v="R"/>
    <s v="R2TETN049KA"/>
    <s v="筛板吸收塔008TH-塔釜温度高于50℃高报警"/>
    <n v="20"/>
    <s v="R"/>
    <s v="R2TETN050KA"/>
    <s v="筛板吸收塔008TH-塔釜温度低于20℃低报警"/>
    <m/>
    <m/>
    <m/>
    <m/>
    <m/>
    <m/>
    <m/>
    <m/>
    <m/>
    <m/>
    <m/>
    <m/>
    <n v="3"/>
    <n v="1"/>
    <m/>
    <n v="2"/>
    <m/>
  </r>
  <r>
    <n v="236"/>
    <s v="2TETN007HXT"/>
    <s v="2TT-TETN009TH"/>
    <m/>
    <s v="R2TTTETN009TH"/>
    <s v="筛板吸收塔009TH-塔釜温度"/>
    <s v="TETN"/>
    <s v="1812-B1132YKS08-001_015"/>
    <x v="1"/>
    <s v="AI216"/>
    <x v="14"/>
    <s v="2TEKC003AR106AI"/>
    <n v="1"/>
    <x v="3"/>
    <x v="4"/>
    <n v="6"/>
    <m/>
    <s v="TB241"/>
    <s v="106BN"/>
    <s v="5B"/>
    <s v="5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50"/>
    <s v="R"/>
    <s v="R2TETN051KA"/>
    <s v="筛板吸收塔009TH-塔釜温度高于50℃高报警"/>
    <n v="20"/>
    <s v="R"/>
    <s v="R2TETN052KA"/>
    <s v="筛板吸收塔009TH-塔釜温度低于20℃低报警"/>
    <m/>
    <m/>
    <m/>
    <m/>
    <m/>
    <m/>
    <m/>
    <m/>
    <m/>
    <m/>
    <m/>
    <m/>
    <n v="3"/>
    <n v="1"/>
    <m/>
    <n v="2"/>
    <m/>
  </r>
  <r>
    <n v="237"/>
    <s v="2TETN008HXT"/>
    <s v="2TT-TETN010TH"/>
    <m/>
    <s v="R2TTTETN010TH"/>
    <s v="筛板吸收塔010TH-塔釜温度"/>
    <s v="TETN"/>
    <s v="1812-B1132YKS08-001_016"/>
    <x v="1"/>
    <s v="AI216"/>
    <x v="14"/>
    <s v="2TEKC003AR106AI"/>
    <n v="1"/>
    <x v="3"/>
    <x v="5"/>
    <n v="6"/>
    <m/>
    <s v="TB241"/>
    <s v="106BN"/>
    <s v="6B"/>
    <s v="6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50"/>
    <s v="R"/>
    <s v="R2TETN053KA"/>
    <s v="筛板吸收塔010TH-塔釜温度高于50℃高报警"/>
    <n v="20"/>
    <s v="R"/>
    <s v="R2TETN054KA"/>
    <s v="筛板吸收塔010TH-塔釜温度低于20℃低报警"/>
    <m/>
    <m/>
    <m/>
    <m/>
    <m/>
    <m/>
    <m/>
    <m/>
    <m/>
    <m/>
    <m/>
    <m/>
    <n v="3"/>
    <n v="1"/>
    <m/>
    <n v="2"/>
    <m/>
  </r>
  <r>
    <n v="238"/>
    <s v="2TETN003HXT"/>
    <s v="2TT-TETN001EX"/>
    <m/>
    <s v="R2TTTETN001EX"/>
    <s v="换热器(001EX)循环冷却水出口管线温度"/>
    <s v="TETN"/>
    <s v="1812-B1132YKS08-001_019"/>
    <x v="1"/>
    <s v="AI216"/>
    <x v="14"/>
    <s v="2TEKC003AR106AI"/>
    <n v="1"/>
    <x v="3"/>
    <x v="6"/>
    <n v="6"/>
    <m/>
    <s v="TB241"/>
    <s v="106BN"/>
    <s v="7B"/>
    <s v="7A"/>
    <s v="--"/>
    <s v="--"/>
    <s v="NR"/>
    <s v="NA"/>
    <s v="AI"/>
    <s v="4~20mA"/>
    <s v="DCS"/>
    <s v="AI1"/>
    <s v="两线制"/>
    <s v="°C"/>
    <n v="0"/>
    <n v="50"/>
    <m/>
    <m/>
    <m/>
    <m/>
    <m/>
    <m/>
    <m/>
    <s v="A"/>
    <m/>
    <m/>
    <m/>
    <m/>
    <m/>
    <m/>
    <m/>
    <m/>
    <m/>
    <m/>
    <m/>
    <m/>
    <m/>
    <m/>
    <m/>
    <m/>
    <m/>
    <n v="33"/>
    <s v="R"/>
    <s v="R2TETN071KA"/>
    <s v="换热器(001EX)循环冷却水出口管线温度高于33℃高报警"/>
    <m/>
    <m/>
    <m/>
    <m/>
    <m/>
    <m/>
    <m/>
    <m/>
    <m/>
    <m/>
    <m/>
    <m/>
    <m/>
    <m/>
    <m/>
    <m/>
    <n v="3"/>
    <n v="1"/>
    <m/>
    <n v="2"/>
    <m/>
  </r>
  <r>
    <n v="239"/>
    <s v="备用"/>
    <s v="2TEKC003AR106AICH08"/>
    <m/>
    <s v="R2TEKC003AR106AICH08"/>
    <s v="备用"/>
    <s v="TETN"/>
    <m/>
    <x v="1"/>
    <s v="AI216"/>
    <x v="14"/>
    <s v="2TEKC003AR106AI"/>
    <n v="1"/>
    <x v="3"/>
    <x v="7"/>
    <n v="6"/>
    <m/>
    <s v="TB241"/>
    <s v="106BN"/>
    <s v="8B"/>
    <s v="8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40"/>
    <s v="2TETN003HXT"/>
    <s v="2TT-TETN002EX"/>
    <m/>
    <s v="R2TTTETN002EX"/>
    <s v="换热器(002EX)循环冷却水出口管线温度"/>
    <s v="TETN"/>
    <s v="1812-B1132YKS08-001_019"/>
    <x v="1"/>
    <s v="AI216"/>
    <x v="15"/>
    <s v="2TEKC003AR107AI"/>
    <n v="1"/>
    <x v="4"/>
    <x v="0"/>
    <n v="7"/>
    <m/>
    <s v="TB241"/>
    <s v="107BN"/>
    <s v="1B"/>
    <s v="1A"/>
    <s v="--"/>
    <s v="--"/>
    <s v="NR"/>
    <s v="NA"/>
    <s v="AI"/>
    <s v="4~20mA"/>
    <s v="DCS"/>
    <s v="AI1"/>
    <s v="两线制"/>
    <s v="°C"/>
    <n v="0"/>
    <n v="50"/>
    <m/>
    <m/>
    <m/>
    <m/>
    <m/>
    <m/>
    <m/>
    <s v="A"/>
    <m/>
    <m/>
    <m/>
    <m/>
    <m/>
    <m/>
    <m/>
    <m/>
    <m/>
    <m/>
    <m/>
    <m/>
    <m/>
    <m/>
    <m/>
    <m/>
    <m/>
    <n v="33"/>
    <s v="R"/>
    <s v="R2TETN072KA"/>
    <s v="换热器(002EX)循环冷却水出口管线温度高于33℃高报警"/>
    <m/>
    <m/>
    <m/>
    <m/>
    <m/>
    <m/>
    <m/>
    <m/>
    <m/>
    <m/>
    <m/>
    <m/>
    <m/>
    <m/>
    <m/>
    <m/>
    <n v="3"/>
    <n v="1"/>
    <m/>
    <n v="2"/>
    <m/>
  </r>
  <r>
    <n v="241"/>
    <s v="2TETN004HXT"/>
    <s v="2TT-TETN003EX"/>
    <m/>
    <s v="R2TTTETN003EX"/>
    <s v="换热器(003EX)循环冷却水出口管线温度"/>
    <s v="TETN"/>
    <s v="1812-B1132YKS08-001_019"/>
    <x v="1"/>
    <s v="AI216"/>
    <x v="15"/>
    <s v="2TEKC003AR107AI"/>
    <n v="1"/>
    <x v="4"/>
    <x v="1"/>
    <n v="7"/>
    <m/>
    <s v="TB241"/>
    <s v="107BN"/>
    <s v="2B"/>
    <s v="2A"/>
    <s v="--"/>
    <s v="--"/>
    <s v="NR"/>
    <s v="NA"/>
    <s v="AI"/>
    <s v="4~20mA"/>
    <s v="DCS"/>
    <s v="AI1"/>
    <s v="两线制"/>
    <s v="°C"/>
    <n v="0"/>
    <n v="50"/>
    <m/>
    <m/>
    <m/>
    <m/>
    <m/>
    <m/>
    <m/>
    <s v="A"/>
    <m/>
    <m/>
    <m/>
    <m/>
    <m/>
    <m/>
    <m/>
    <m/>
    <m/>
    <m/>
    <m/>
    <m/>
    <m/>
    <m/>
    <m/>
    <m/>
    <m/>
    <n v="33"/>
    <s v="R"/>
    <s v="R2TETN073KA"/>
    <s v="换热器(003EX)循环冷却水出口管线温度高于33℃高报警"/>
    <m/>
    <m/>
    <m/>
    <m/>
    <m/>
    <m/>
    <m/>
    <m/>
    <m/>
    <m/>
    <m/>
    <m/>
    <m/>
    <m/>
    <m/>
    <m/>
    <n v="3"/>
    <n v="1"/>
    <m/>
    <n v="2"/>
    <m/>
  </r>
  <r>
    <n v="242"/>
    <s v="2TETN004HXT"/>
    <s v="2TT-TETN004EX"/>
    <m/>
    <s v="R2TTTETN004EX"/>
    <s v="换热器(004EX)循环冷却水出口管线温度"/>
    <s v="TETN"/>
    <s v="1812-B1132YKS08-001_019"/>
    <x v="1"/>
    <s v="AI216"/>
    <x v="15"/>
    <s v="2TEKC003AR107AI"/>
    <n v="1"/>
    <x v="4"/>
    <x v="2"/>
    <n v="7"/>
    <m/>
    <s v="TB241"/>
    <s v="107BN"/>
    <s v="3B"/>
    <s v="3A"/>
    <s v="--"/>
    <s v="--"/>
    <s v="NR"/>
    <s v="NA"/>
    <s v="AI"/>
    <s v="4~20mA"/>
    <s v="DCS"/>
    <s v="AI1"/>
    <s v="两线制"/>
    <s v="°C"/>
    <n v="0"/>
    <n v="50"/>
    <m/>
    <m/>
    <m/>
    <m/>
    <m/>
    <m/>
    <m/>
    <s v="A"/>
    <m/>
    <m/>
    <m/>
    <m/>
    <m/>
    <m/>
    <m/>
    <m/>
    <m/>
    <m/>
    <m/>
    <m/>
    <m/>
    <m/>
    <m/>
    <m/>
    <m/>
    <n v="33"/>
    <s v="R"/>
    <s v="R2TETN074KA"/>
    <s v="换热器(004EX)循环冷却水出口管线温度高于33℃高报警"/>
    <m/>
    <m/>
    <m/>
    <m/>
    <m/>
    <m/>
    <m/>
    <m/>
    <m/>
    <m/>
    <m/>
    <m/>
    <m/>
    <m/>
    <m/>
    <m/>
    <n v="3"/>
    <n v="1"/>
    <m/>
    <n v="2"/>
    <m/>
  </r>
  <r>
    <n v="243"/>
    <s v="2TETN005HXT"/>
    <s v="2TT-TETN005EX"/>
    <m/>
    <s v="R2TTTETN005EX"/>
    <s v="换热器(005EX)循环冷却水出口管线温度"/>
    <s v="TETN"/>
    <s v="1812-B1132YKS08-001_019"/>
    <x v="1"/>
    <s v="AI216"/>
    <x v="15"/>
    <s v="2TEKC003AR107AI"/>
    <n v="1"/>
    <x v="4"/>
    <x v="3"/>
    <n v="7"/>
    <m/>
    <s v="TB241"/>
    <s v="107BN"/>
    <s v="4B"/>
    <s v="4A"/>
    <s v="--"/>
    <s v="--"/>
    <s v="NR"/>
    <s v="NA"/>
    <s v="AI"/>
    <s v="4~20mA"/>
    <s v="DCS"/>
    <s v="AI1"/>
    <s v="两线制"/>
    <s v="°C"/>
    <n v="0"/>
    <n v="50"/>
    <m/>
    <m/>
    <m/>
    <m/>
    <m/>
    <m/>
    <m/>
    <s v="A"/>
    <m/>
    <m/>
    <m/>
    <m/>
    <m/>
    <m/>
    <m/>
    <m/>
    <m/>
    <m/>
    <m/>
    <m/>
    <m/>
    <m/>
    <m/>
    <m/>
    <m/>
    <n v="33"/>
    <s v="R"/>
    <s v="R2TETN075KA"/>
    <s v="换热器(005EX)循环冷却水出口管线温度高于33℃高报警"/>
    <m/>
    <m/>
    <m/>
    <m/>
    <m/>
    <m/>
    <m/>
    <m/>
    <m/>
    <m/>
    <m/>
    <m/>
    <m/>
    <m/>
    <m/>
    <m/>
    <n v="3"/>
    <n v="1"/>
    <m/>
    <n v="2"/>
    <m/>
  </r>
  <r>
    <n v="244"/>
    <s v="2TETN006HXT"/>
    <s v="2TT-TETN006EX"/>
    <m/>
    <s v="R2TTTETN006EX"/>
    <s v="换热器(006EX)循环冷却水出口管线温度"/>
    <s v="TETN"/>
    <s v="1812-B1132YKS08-001_019"/>
    <x v="1"/>
    <s v="AI216"/>
    <x v="15"/>
    <s v="2TEKC003AR107AI"/>
    <n v="1"/>
    <x v="4"/>
    <x v="4"/>
    <n v="7"/>
    <m/>
    <s v="TB241"/>
    <s v="107BN"/>
    <s v="5B"/>
    <s v="5A"/>
    <s v="--"/>
    <s v="--"/>
    <s v="NR"/>
    <s v="NA"/>
    <s v="AI"/>
    <s v="4~20mA"/>
    <s v="DCS"/>
    <s v="AI1"/>
    <s v="两线制"/>
    <s v="°C"/>
    <n v="0"/>
    <n v="50"/>
    <m/>
    <m/>
    <m/>
    <m/>
    <m/>
    <m/>
    <m/>
    <s v="A"/>
    <m/>
    <m/>
    <m/>
    <m/>
    <m/>
    <m/>
    <m/>
    <m/>
    <m/>
    <m/>
    <m/>
    <m/>
    <m/>
    <m/>
    <m/>
    <m/>
    <m/>
    <n v="33"/>
    <s v="R"/>
    <s v="R2TETN076KA"/>
    <s v="换热器(006EX)循环冷却水出口管线温度高于33℃高报警"/>
    <m/>
    <m/>
    <m/>
    <m/>
    <m/>
    <m/>
    <m/>
    <m/>
    <m/>
    <m/>
    <m/>
    <m/>
    <m/>
    <m/>
    <m/>
    <m/>
    <n v="3"/>
    <n v="1"/>
    <m/>
    <n v="2"/>
    <m/>
  </r>
  <r>
    <n v="245"/>
    <s v="2TETN006HXT"/>
    <s v="2TT-TETN007EX"/>
    <m/>
    <s v="R2TTTETN007EX"/>
    <s v="换热器(007EX)循环冷却水出口管线温度"/>
    <s v="TETN"/>
    <s v="1812-B1132YKS08-001_019"/>
    <x v="1"/>
    <s v="AI216"/>
    <x v="15"/>
    <s v="2TEKC003AR107AI"/>
    <n v="1"/>
    <x v="4"/>
    <x v="5"/>
    <n v="7"/>
    <m/>
    <s v="TB241"/>
    <s v="107BN"/>
    <s v="6B"/>
    <s v="6A"/>
    <s v="--"/>
    <s v="--"/>
    <s v="NR"/>
    <s v="NA"/>
    <s v="AI"/>
    <s v="4~20mA"/>
    <s v="DCS"/>
    <s v="AI1"/>
    <s v="两线制"/>
    <s v="°C"/>
    <n v="0"/>
    <n v="50"/>
    <m/>
    <m/>
    <m/>
    <m/>
    <m/>
    <m/>
    <m/>
    <s v="A"/>
    <m/>
    <m/>
    <m/>
    <m/>
    <m/>
    <m/>
    <m/>
    <m/>
    <m/>
    <m/>
    <m/>
    <m/>
    <m/>
    <m/>
    <m/>
    <m/>
    <m/>
    <n v="33"/>
    <s v="R"/>
    <s v="R2TETN077KA"/>
    <s v="换热器(007EX)循环冷却水出口管线温度高于33℃高报警"/>
    <m/>
    <m/>
    <m/>
    <m/>
    <m/>
    <m/>
    <m/>
    <m/>
    <m/>
    <m/>
    <m/>
    <m/>
    <m/>
    <m/>
    <m/>
    <m/>
    <n v="3"/>
    <n v="1"/>
    <m/>
    <n v="2"/>
    <m/>
  </r>
  <r>
    <n v="246"/>
    <s v="备用"/>
    <s v="2TEKC003AR107AICH07"/>
    <m/>
    <s v="R2TEKC003AR107AICH07"/>
    <s v="备用"/>
    <s v="TETN"/>
    <m/>
    <x v="1"/>
    <s v="AI216"/>
    <x v="15"/>
    <s v="2TEKC003AR107AI"/>
    <n v="1"/>
    <x v="4"/>
    <x v="6"/>
    <n v="7"/>
    <m/>
    <s v="TB241"/>
    <s v="107BN"/>
    <s v="7B"/>
    <s v="7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47"/>
    <s v="备用"/>
    <s v="2TEKC003AR107AICH08"/>
    <m/>
    <s v="R2TEKC003AR107AICH08"/>
    <s v="备用"/>
    <s v="TETN"/>
    <m/>
    <x v="1"/>
    <s v="AI216"/>
    <x v="15"/>
    <s v="2TEKC003AR107AI"/>
    <n v="1"/>
    <x v="4"/>
    <x v="7"/>
    <n v="7"/>
    <m/>
    <s v="TB241"/>
    <s v="107BN"/>
    <s v="8B"/>
    <s v="8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48"/>
    <s v="2TETN007HXT"/>
    <s v="2TT-TETN008EX"/>
    <m/>
    <s v="R2TTTETN008EX"/>
    <s v="换热器(008EX)循环冷却水出口管线温度"/>
    <s v="TETN"/>
    <s v="1812-B1132YKS08-001_019"/>
    <x v="1"/>
    <s v="AI216"/>
    <x v="16"/>
    <s v="2TEKC003AR108AI"/>
    <n v="1"/>
    <x v="7"/>
    <x v="0"/>
    <n v="8"/>
    <m/>
    <s v="TB241"/>
    <s v="108BN"/>
    <s v="1B"/>
    <s v="1A"/>
    <s v="--"/>
    <s v="--"/>
    <s v="NR"/>
    <s v="NA"/>
    <s v="AI"/>
    <s v="4~20mA"/>
    <s v="DCS"/>
    <s v="AI1"/>
    <s v="两线制"/>
    <s v="°C"/>
    <n v="0"/>
    <n v="50"/>
    <m/>
    <m/>
    <m/>
    <m/>
    <m/>
    <m/>
    <m/>
    <s v="A"/>
    <m/>
    <m/>
    <m/>
    <m/>
    <m/>
    <m/>
    <m/>
    <m/>
    <m/>
    <m/>
    <m/>
    <m/>
    <m/>
    <m/>
    <m/>
    <m/>
    <m/>
    <n v="33"/>
    <s v="R"/>
    <s v="R2TETN078KA"/>
    <s v="换热器(008EX)循环冷却水出口管线温度高于33℃高报警"/>
    <m/>
    <m/>
    <m/>
    <m/>
    <m/>
    <m/>
    <m/>
    <m/>
    <m/>
    <m/>
    <m/>
    <m/>
    <m/>
    <m/>
    <m/>
    <m/>
    <n v="3"/>
    <n v="1"/>
    <m/>
    <n v="2"/>
    <m/>
  </r>
  <r>
    <n v="249"/>
    <m/>
    <s v="2TT-TETN001ZV-1"/>
    <m/>
    <s v="R2TTTETN001ZV1"/>
    <s v="风机（2TETN-001ZV）前轴承温度"/>
    <s v="TETN"/>
    <s v="1812-B1132YKS08-001_017"/>
    <x v="1"/>
    <s v="AI216"/>
    <x v="16"/>
    <s v="2TEKC003AR108AI"/>
    <n v="1"/>
    <x v="7"/>
    <x v="1"/>
    <n v="8"/>
    <m/>
    <s v="TB241"/>
    <s v="108BN"/>
    <s v="2B"/>
    <s v="2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80"/>
    <s v="R"/>
    <s v="R2TETN055KA"/>
    <s v="风机（2TETN-001ZV）前轴承温度高于80℃高报警"/>
    <m/>
    <m/>
    <m/>
    <m/>
    <m/>
    <m/>
    <m/>
    <m/>
    <m/>
    <m/>
    <m/>
    <m/>
    <m/>
    <m/>
    <m/>
    <m/>
    <n v="3"/>
    <n v="1"/>
    <m/>
    <n v="2"/>
    <m/>
  </r>
  <r>
    <n v="250"/>
    <m/>
    <s v="2TT-TETN001ZV-2"/>
    <m/>
    <s v="R2TTTETN001ZV2"/>
    <s v="风机（2TETN-001ZV）后轴承温度"/>
    <s v="TETN"/>
    <s v="1812-B1132YKS08-001_017"/>
    <x v="1"/>
    <s v="AI216"/>
    <x v="16"/>
    <s v="2TEKC003AR108AI"/>
    <n v="1"/>
    <x v="7"/>
    <x v="2"/>
    <n v="8"/>
    <m/>
    <s v="TB241"/>
    <s v="108BN"/>
    <s v="3B"/>
    <s v="3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80"/>
    <s v="R"/>
    <s v="R2TETN056KA"/>
    <s v="风机（2TETN-001ZV）后轴承温度高于80℃高报警"/>
    <m/>
    <m/>
    <m/>
    <m/>
    <m/>
    <m/>
    <m/>
    <m/>
    <m/>
    <m/>
    <m/>
    <m/>
    <m/>
    <m/>
    <m/>
    <m/>
    <n v="3"/>
    <n v="1"/>
    <m/>
    <n v="2"/>
    <m/>
  </r>
  <r>
    <n v="251"/>
    <m/>
    <s v="2TT-TETN002ZV-1"/>
    <m/>
    <s v="R2TTTETN002ZV1"/>
    <s v="风机（2TETN-002ZV）前轴承温度"/>
    <s v="TETN"/>
    <s v="1812-B1132YKS08-001_017"/>
    <x v="1"/>
    <s v="AI216"/>
    <x v="16"/>
    <s v="2TEKC003AR108AI"/>
    <n v="1"/>
    <x v="7"/>
    <x v="3"/>
    <n v="8"/>
    <m/>
    <s v="TB241"/>
    <s v="108BN"/>
    <s v="4B"/>
    <s v="4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80"/>
    <s v="R"/>
    <s v="R2TETN057KA"/>
    <s v="风机（2TETN-002ZV）前轴承温度高于80℃高报警"/>
    <m/>
    <m/>
    <m/>
    <m/>
    <m/>
    <m/>
    <m/>
    <m/>
    <m/>
    <m/>
    <m/>
    <m/>
    <m/>
    <m/>
    <m/>
    <m/>
    <n v="3"/>
    <n v="1"/>
    <m/>
    <n v="2"/>
    <m/>
  </r>
  <r>
    <n v="252"/>
    <m/>
    <s v="2TT-TETN002ZV-2"/>
    <m/>
    <s v="R2TTTETN002ZV2"/>
    <s v="风机（2TETN-002ZV）后轴承温度"/>
    <s v="TETN"/>
    <s v="1812-B1132YKS08-001_017"/>
    <x v="1"/>
    <s v="AI216"/>
    <x v="16"/>
    <s v="2TEKC003AR108AI"/>
    <n v="1"/>
    <x v="7"/>
    <x v="4"/>
    <n v="8"/>
    <m/>
    <s v="TB241"/>
    <s v="108BN"/>
    <s v="5B"/>
    <s v="5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80"/>
    <s v="R"/>
    <s v="R2TETN058KA"/>
    <s v="风机（2TETN-002ZV）后轴承温度高于80℃高报警"/>
    <m/>
    <m/>
    <m/>
    <m/>
    <m/>
    <m/>
    <m/>
    <m/>
    <m/>
    <m/>
    <m/>
    <m/>
    <m/>
    <m/>
    <m/>
    <m/>
    <n v="3"/>
    <n v="1"/>
    <m/>
    <n v="2"/>
    <m/>
  </r>
  <r>
    <n v="253"/>
    <m/>
    <s v="2TT-TETN003ZV-1"/>
    <m/>
    <s v="R2TTTETN003ZV1"/>
    <s v="风机（2TETN-003ZV）前轴承温度"/>
    <s v="TETN"/>
    <s v="1812-B1132YKS08-001_017"/>
    <x v="1"/>
    <s v="AI216"/>
    <x v="16"/>
    <s v="2TEKC003AR108AI"/>
    <n v="1"/>
    <x v="7"/>
    <x v="5"/>
    <n v="8"/>
    <m/>
    <s v="TB241"/>
    <s v="108BN"/>
    <s v="6B"/>
    <s v="6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80"/>
    <s v="R"/>
    <s v="R2TETN059KA"/>
    <s v="风机（2TETN-003ZV）前轴承温度高于80℃高报警"/>
    <m/>
    <m/>
    <m/>
    <m/>
    <m/>
    <m/>
    <m/>
    <m/>
    <m/>
    <m/>
    <m/>
    <m/>
    <m/>
    <m/>
    <m/>
    <m/>
    <n v="3"/>
    <n v="1"/>
    <m/>
    <n v="2"/>
    <m/>
  </r>
  <r>
    <n v="254"/>
    <m/>
    <s v="2TT-TETN003ZV-2"/>
    <m/>
    <s v="R2TTTETN003ZV2"/>
    <s v="风机（2TETN-003ZV）后轴承温度"/>
    <s v="TETN"/>
    <s v="1812-B1132YKS08-001_017"/>
    <x v="1"/>
    <s v="AI216"/>
    <x v="16"/>
    <s v="2TEKC003AR108AI"/>
    <n v="1"/>
    <x v="7"/>
    <x v="6"/>
    <n v="8"/>
    <m/>
    <s v="TB241"/>
    <s v="108BN"/>
    <s v="7B"/>
    <s v="7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80"/>
    <s v="R"/>
    <s v="R2TETN060KA"/>
    <s v="风机（2TETN-003ZV）后轴承温度高于80℃高报警"/>
    <m/>
    <m/>
    <m/>
    <m/>
    <m/>
    <m/>
    <m/>
    <m/>
    <m/>
    <m/>
    <m/>
    <m/>
    <m/>
    <m/>
    <m/>
    <m/>
    <n v="3"/>
    <n v="1"/>
    <m/>
    <n v="2"/>
    <m/>
  </r>
  <r>
    <n v="255"/>
    <s v="备用"/>
    <s v="2TEKC003AR108AICH08"/>
    <m/>
    <s v="R2TEKC003AR108AICH08"/>
    <s v="备用"/>
    <s v="TETN"/>
    <m/>
    <x v="1"/>
    <s v="AI216"/>
    <x v="16"/>
    <s v="2TEKC003AR108AI"/>
    <n v="1"/>
    <x v="7"/>
    <x v="7"/>
    <n v="8"/>
    <m/>
    <s v="TB241"/>
    <s v="108BN"/>
    <s v="8B"/>
    <s v="8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56"/>
    <m/>
    <s v="2TT-TETN004ZV-1"/>
    <m/>
    <s v="R2TTTETN004ZV1"/>
    <s v="风机（2TETN-004ZV）前轴承温度"/>
    <s v="TETN"/>
    <s v="1812-B1132YKS08-001_017"/>
    <x v="1"/>
    <s v="AI216"/>
    <x v="17"/>
    <s v="2TEKC003AR109AI"/>
    <n v="1"/>
    <x v="6"/>
    <x v="0"/>
    <n v="9"/>
    <m/>
    <s v="TB241"/>
    <s v="109BN"/>
    <s v="1B"/>
    <s v="1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80"/>
    <s v="R"/>
    <s v="R2TETN061KA"/>
    <s v="风机（2TETN-004ZV）前轴承温度高于80℃高报警"/>
    <m/>
    <m/>
    <m/>
    <m/>
    <m/>
    <m/>
    <m/>
    <m/>
    <m/>
    <m/>
    <m/>
    <m/>
    <m/>
    <m/>
    <m/>
    <m/>
    <n v="3"/>
    <n v="1"/>
    <m/>
    <n v="2"/>
    <m/>
  </r>
  <r>
    <n v="257"/>
    <m/>
    <s v="2TT-TETN004ZV-2"/>
    <m/>
    <s v="R2TTTETN004ZV2"/>
    <s v="风机（2TETN-004ZV）后轴承温度"/>
    <s v="TETN"/>
    <s v="1812-B1132YKS08-001_017"/>
    <x v="1"/>
    <s v="AI216"/>
    <x v="17"/>
    <s v="2TEKC003AR109AI"/>
    <n v="1"/>
    <x v="6"/>
    <x v="1"/>
    <n v="9"/>
    <m/>
    <s v="TB241"/>
    <s v="109BN"/>
    <s v="2B"/>
    <s v="2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80"/>
    <s v="R"/>
    <s v="R2TETN062KA"/>
    <s v="风机（2TETN-004ZV）后轴承温度高于80℃高报警"/>
    <m/>
    <m/>
    <m/>
    <m/>
    <m/>
    <m/>
    <m/>
    <m/>
    <m/>
    <m/>
    <m/>
    <m/>
    <m/>
    <m/>
    <m/>
    <m/>
    <n v="3"/>
    <n v="1"/>
    <m/>
    <n v="2"/>
    <m/>
  </r>
  <r>
    <n v="258"/>
    <m/>
    <s v="2TT-TETN005ZV-1"/>
    <m/>
    <s v="R2TTTETN005ZV1"/>
    <s v="风机（2TETN-005ZV）前轴承温度"/>
    <s v="TETN"/>
    <s v="1812-B1132YKS08-001_018"/>
    <x v="1"/>
    <s v="AI216"/>
    <x v="17"/>
    <s v="2TEKC003AR109AI"/>
    <n v="1"/>
    <x v="6"/>
    <x v="2"/>
    <n v="9"/>
    <m/>
    <s v="TB241"/>
    <s v="109BN"/>
    <s v="3B"/>
    <s v="3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80"/>
    <s v="R"/>
    <s v="R2TETN063KA"/>
    <s v="风机（2TETN-005ZV）前轴承温度高于80℃高报警"/>
    <m/>
    <m/>
    <m/>
    <m/>
    <m/>
    <m/>
    <m/>
    <m/>
    <m/>
    <m/>
    <m/>
    <m/>
    <m/>
    <m/>
    <m/>
    <m/>
    <n v="3"/>
    <n v="1"/>
    <m/>
    <n v="2"/>
    <m/>
  </r>
  <r>
    <n v="259"/>
    <m/>
    <s v="2TT-TETN005ZV-2"/>
    <m/>
    <s v="R2TTTETN005ZV2"/>
    <s v="风机（2TETN-005ZV）后轴承温度"/>
    <s v="TETN"/>
    <s v="1812-B1132YKS08-001_018"/>
    <x v="1"/>
    <s v="AI216"/>
    <x v="17"/>
    <s v="2TEKC003AR109AI"/>
    <n v="1"/>
    <x v="6"/>
    <x v="3"/>
    <n v="9"/>
    <m/>
    <s v="TB241"/>
    <s v="109BN"/>
    <s v="4B"/>
    <s v="4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80"/>
    <s v="R"/>
    <s v="R2TETN064KA"/>
    <s v="风机（2TETN-005ZV）后轴承温度高于80℃高报警"/>
    <m/>
    <m/>
    <m/>
    <m/>
    <m/>
    <m/>
    <m/>
    <m/>
    <m/>
    <m/>
    <m/>
    <m/>
    <m/>
    <m/>
    <m/>
    <m/>
    <n v="3"/>
    <n v="1"/>
    <m/>
    <n v="2"/>
    <m/>
  </r>
  <r>
    <n v="260"/>
    <m/>
    <s v="2TT-TETN006ZV-1"/>
    <m/>
    <s v="R2TTTETN006ZV1"/>
    <s v="风机（2TETN-006ZV）前轴承温度"/>
    <s v="TETN"/>
    <s v="1812-B1132YKS08-001_018"/>
    <x v="1"/>
    <s v="AI216"/>
    <x v="17"/>
    <s v="2TEKC003AR109AI"/>
    <n v="1"/>
    <x v="6"/>
    <x v="4"/>
    <n v="9"/>
    <m/>
    <s v="TB241"/>
    <s v="109BN"/>
    <s v="5B"/>
    <s v="5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80"/>
    <s v="R"/>
    <s v="R2TETN065KA"/>
    <s v="风机（2TETN-006ZV）前轴承温度高于80℃高报警"/>
    <m/>
    <m/>
    <m/>
    <m/>
    <m/>
    <m/>
    <m/>
    <m/>
    <m/>
    <m/>
    <m/>
    <m/>
    <m/>
    <m/>
    <m/>
    <m/>
    <n v="3"/>
    <n v="1"/>
    <m/>
    <n v="2"/>
    <m/>
  </r>
  <r>
    <n v="261"/>
    <m/>
    <s v="2TT-TETN006ZV-2"/>
    <m/>
    <s v="R2TTTETN006ZV2"/>
    <s v="风机（2TETN-006ZV）后轴承温度"/>
    <s v="TETN"/>
    <s v="1812-B1132YKS08-001_018"/>
    <x v="1"/>
    <s v="AI216"/>
    <x v="17"/>
    <s v="2TEKC003AR109AI"/>
    <n v="1"/>
    <x v="6"/>
    <x v="5"/>
    <n v="9"/>
    <m/>
    <s v="TB241"/>
    <s v="109BN"/>
    <s v="6B"/>
    <s v="6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80"/>
    <s v="R"/>
    <s v="R2TETN066KA"/>
    <s v="风机（2TETN-006ZV）后轴承温度高于80℃高报警"/>
    <m/>
    <m/>
    <m/>
    <m/>
    <m/>
    <m/>
    <m/>
    <m/>
    <m/>
    <m/>
    <m/>
    <m/>
    <m/>
    <m/>
    <m/>
    <m/>
    <n v="3"/>
    <n v="1"/>
    <m/>
    <n v="2"/>
    <m/>
  </r>
  <r>
    <n v="262"/>
    <s v="备用"/>
    <s v="2TEKC003AR109AICH07"/>
    <m/>
    <s v="R2TEKC003AR109AICH07"/>
    <s v="备用"/>
    <s v="TETN"/>
    <m/>
    <x v="1"/>
    <s v="AI216"/>
    <x v="17"/>
    <s v="2TEKC003AR109AI"/>
    <n v="1"/>
    <x v="6"/>
    <x v="6"/>
    <n v="9"/>
    <m/>
    <s v="TB241"/>
    <s v="109BN"/>
    <s v="7B"/>
    <s v="7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63"/>
    <s v="备用"/>
    <s v="2TEKC003AR109AICH08"/>
    <m/>
    <s v="R2TEKC003AR109AICH08"/>
    <s v="备用"/>
    <s v="TETN"/>
    <m/>
    <x v="1"/>
    <s v="AI216"/>
    <x v="17"/>
    <s v="2TEKC003AR109AI"/>
    <n v="1"/>
    <x v="6"/>
    <x v="7"/>
    <n v="9"/>
    <m/>
    <s v="TB241"/>
    <s v="109BN"/>
    <s v="8B"/>
    <s v="8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64"/>
    <s v="2TETN003HXT"/>
    <s v="2TETN-001PO"/>
    <s v="Q"/>
    <s v="R2TETN001PO_Q"/>
    <s v="2TETN-001PO启动"/>
    <s v="TETN"/>
    <s v="1812-B1132YKS07-001-089"/>
    <x v="1"/>
    <s v="DO211"/>
    <x v="18"/>
    <s v="2TEKC003AR110DO"/>
    <n v="1"/>
    <x v="8"/>
    <x v="0"/>
    <n v="10"/>
    <m/>
    <s v="TB231"/>
    <s v="110BN"/>
    <s v="1C"/>
    <s v="1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65"/>
    <s v="2TETN003HXT"/>
    <s v="2TETN-001PO"/>
    <s v="T"/>
    <s v="R2TETN001PO_T"/>
    <s v="2TETN-001PO停止"/>
    <s v="TETN"/>
    <s v="1812-B1132YKS07-001-089"/>
    <x v="1"/>
    <s v="DO211"/>
    <x v="18"/>
    <s v="2TEKC003AR110DO"/>
    <n v="1"/>
    <x v="8"/>
    <x v="1"/>
    <n v="10"/>
    <m/>
    <s v="TB231"/>
    <s v="110BN"/>
    <s v="2C"/>
    <s v="2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66"/>
    <s v="2TETN003HXT"/>
    <s v="2TETN-002PO"/>
    <s v="Q"/>
    <s v="R2TETN002PO_Q"/>
    <s v="2TETN-002PO启动"/>
    <s v="TETN"/>
    <s v="1812-B1132YKS07-001-090"/>
    <x v="1"/>
    <s v="DO211"/>
    <x v="18"/>
    <s v="2TEKC003AR110DO"/>
    <n v="1"/>
    <x v="8"/>
    <x v="2"/>
    <n v="10"/>
    <m/>
    <s v="TB231"/>
    <s v="110BN"/>
    <s v="3C"/>
    <s v="3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67"/>
    <s v="2TETN003HXT"/>
    <s v="2TETN-002PO"/>
    <s v="T"/>
    <s v="R2TETN002PO_T"/>
    <s v="2TETN-002PO停止"/>
    <s v="TETN"/>
    <s v="1812-B1132YKS07-001-090"/>
    <x v="1"/>
    <s v="DO211"/>
    <x v="18"/>
    <s v="2TEKC003AR110DO"/>
    <n v="1"/>
    <x v="8"/>
    <x v="3"/>
    <n v="10"/>
    <m/>
    <s v="TB231"/>
    <s v="110BN"/>
    <s v="4C"/>
    <s v="4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68"/>
    <s v="2TETN003HXT"/>
    <s v="2TETN-003PO"/>
    <s v="Q"/>
    <s v="R2TETN003PO_Q"/>
    <s v="2TETN-003PO启动"/>
    <s v="TETN"/>
    <s v="1812-B1132YKS07-001-091"/>
    <x v="1"/>
    <s v="DO211"/>
    <x v="18"/>
    <s v="2TEKC003AR110DO"/>
    <n v="1"/>
    <x v="8"/>
    <x v="4"/>
    <n v="10"/>
    <m/>
    <s v="TB231"/>
    <s v="110BN"/>
    <s v="5C"/>
    <s v="5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69"/>
    <s v="2TETN003HXT"/>
    <s v="2TETN-003PO"/>
    <s v="T"/>
    <s v="R2TETN003PO_T"/>
    <s v="2TETN-003PO停止"/>
    <s v="TETN"/>
    <s v="1812-B1132YKS07-001-091"/>
    <x v="1"/>
    <s v="DO211"/>
    <x v="18"/>
    <s v="2TEKC003AR110DO"/>
    <n v="1"/>
    <x v="8"/>
    <x v="5"/>
    <n v="10"/>
    <m/>
    <s v="TB231"/>
    <s v="110BN"/>
    <s v="6C"/>
    <s v="6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70"/>
    <s v="2TETN003HXT"/>
    <s v="2TETN-004PO"/>
    <s v="Q"/>
    <s v="R2TETN004PO_Q"/>
    <s v="2TETN-004PO启动"/>
    <s v="TETN"/>
    <s v="1812-B1132YKS07-001-092"/>
    <x v="1"/>
    <s v="DO211"/>
    <x v="18"/>
    <s v="2TEKC003AR110DO"/>
    <n v="1"/>
    <x v="8"/>
    <x v="6"/>
    <n v="10"/>
    <m/>
    <s v="TB231"/>
    <s v="110BN"/>
    <s v="7C"/>
    <s v="7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71"/>
    <s v="2TETN003HXT"/>
    <s v="2TETN-004PO"/>
    <s v="T"/>
    <s v="R2TETN004PO_T"/>
    <s v="2TETN-004PO停止"/>
    <s v="TETN"/>
    <s v="1812-B1132YKS07-001-092"/>
    <x v="1"/>
    <s v="DO211"/>
    <x v="18"/>
    <s v="2TEKC003AR110DO"/>
    <n v="1"/>
    <x v="8"/>
    <x v="7"/>
    <n v="10"/>
    <m/>
    <s v="TB231"/>
    <s v="110BN"/>
    <s v="8C"/>
    <s v="8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72"/>
    <s v="2TETN004HXT"/>
    <s v="2TETN-005PO"/>
    <s v="Q"/>
    <s v="R2TETN005PO_Q"/>
    <s v="2TETN-005PO启动"/>
    <s v="TETN"/>
    <s v="1812-B1132YKS07-001-093"/>
    <x v="1"/>
    <s v="DO211"/>
    <x v="18"/>
    <s v="2TEKC003AR110DO"/>
    <n v="1"/>
    <x v="8"/>
    <x v="8"/>
    <n v="10"/>
    <m/>
    <s v="TB231"/>
    <s v="110BN"/>
    <s v="9C"/>
    <s v="9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73"/>
    <s v="2TETN004HXT"/>
    <s v="2TETN-005PO"/>
    <s v="T"/>
    <s v="R2TETN005PO_T"/>
    <s v="2TETN-005PO停止"/>
    <s v="TETN"/>
    <s v="1812-B1132YKS07-001-093"/>
    <x v="1"/>
    <s v="DO211"/>
    <x v="18"/>
    <s v="2TEKC003AR110DO"/>
    <n v="1"/>
    <x v="8"/>
    <x v="9"/>
    <n v="10"/>
    <m/>
    <s v="TB231"/>
    <s v="110BN"/>
    <s v="10C"/>
    <s v="10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74"/>
    <s v="2TETN004HXT"/>
    <s v="2TETN-006PO"/>
    <s v="Q"/>
    <s v="R2TETN006PO_Q"/>
    <s v="2TETN-006PO启动"/>
    <s v="TETN"/>
    <s v="1812-B1132YKS07-001-094"/>
    <x v="1"/>
    <s v="DO211"/>
    <x v="18"/>
    <s v="2TEKC003AR110DO"/>
    <n v="1"/>
    <x v="8"/>
    <x v="10"/>
    <n v="10"/>
    <m/>
    <s v="TB231"/>
    <s v="110BN"/>
    <s v="11C"/>
    <s v="11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75"/>
    <s v="2TETN004HXT"/>
    <s v="2TETN-006PO"/>
    <s v="T"/>
    <s v="R2TETN006PO_T"/>
    <s v="2TETN-006PO停止"/>
    <s v="TETN"/>
    <s v="1812-B1132YKS07-001-094"/>
    <x v="1"/>
    <s v="DO211"/>
    <x v="18"/>
    <s v="2TEKC003AR110DO"/>
    <n v="1"/>
    <x v="8"/>
    <x v="11"/>
    <n v="10"/>
    <m/>
    <s v="TB231"/>
    <s v="110BN"/>
    <s v="12C"/>
    <s v="12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76"/>
    <s v="备用"/>
    <s v="2TEKC003AR110DOCH13"/>
    <m/>
    <s v="R2TEKC003AR110DOCH13"/>
    <s v="备用"/>
    <s v="TETN"/>
    <m/>
    <x v="1"/>
    <s v="DO211"/>
    <x v="18"/>
    <s v="2TEKC003AR110DO"/>
    <n v="1"/>
    <x v="8"/>
    <x v="12"/>
    <n v="10"/>
    <m/>
    <s v="TB231"/>
    <s v="110BN"/>
    <s v="13C"/>
    <s v="13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77"/>
    <s v="备用"/>
    <s v="2TEKC003AR110DOCH14"/>
    <m/>
    <s v="R2TEKC003AR110DOCH14"/>
    <s v="备用"/>
    <s v="TETN"/>
    <m/>
    <x v="1"/>
    <s v="DO211"/>
    <x v="18"/>
    <s v="2TEKC003AR110DO"/>
    <n v="1"/>
    <x v="8"/>
    <x v="13"/>
    <n v="10"/>
    <m/>
    <s v="TB231"/>
    <s v="110BN"/>
    <s v="14C"/>
    <s v="14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78"/>
    <s v="备用"/>
    <s v="2TEKC003AR110DOCH15"/>
    <m/>
    <s v="R2TEKC003AR110DOCH15"/>
    <s v="备用"/>
    <s v="TETN"/>
    <m/>
    <x v="1"/>
    <s v="DO211"/>
    <x v="18"/>
    <s v="2TEKC003AR110DO"/>
    <n v="1"/>
    <x v="8"/>
    <x v="14"/>
    <n v="10"/>
    <m/>
    <s v="TB231"/>
    <s v="110BN"/>
    <s v="15C"/>
    <s v="15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79"/>
    <s v="备用"/>
    <s v="2TEKC003AR110DOCH16"/>
    <m/>
    <s v="R2TEKC003AR110DOCH16"/>
    <s v="备用"/>
    <s v="TETN"/>
    <m/>
    <x v="1"/>
    <s v="DO211"/>
    <x v="18"/>
    <s v="2TEKC003AR110DO"/>
    <n v="1"/>
    <x v="8"/>
    <x v="15"/>
    <n v="10"/>
    <m/>
    <s v="TB231"/>
    <s v="110BN"/>
    <s v="16C"/>
    <s v="16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80"/>
    <m/>
    <s v="2TT-TETN007ZV-1"/>
    <m/>
    <s v="R2TTTETN007ZV1"/>
    <s v="风机（2TETN-007ZV）前轴承温度"/>
    <s v="TETN"/>
    <s v="1812-B1132YKS08-001_018"/>
    <x v="1"/>
    <s v="AI216"/>
    <x v="19"/>
    <s v="2TEKC003AR201AI"/>
    <n v="2"/>
    <x v="5"/>
    <x v="0"/>
    <n v="11"/>
    <m/>
    <s v="TB241"/>
    <s v="201BN"/>
    <s v="1B"/>
    <s v="1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80"/>
    <s v="R"/>
    <s v="R2TETN067KA"/>
    <s v="风机（2TETN-007ZV）前轴承温度高于80℃高报警"/>
    <m/>
    <m/>
    <m/>
    <m/>
    <m/>
    <m/>
    <m/>
    <m/>
    <m/>
    <m/>
    <m/>
    <m/>
    <m/>
    <m/>
    <m/>
    <m/>
    <n v="3"/>
    <n v="1"/>
    <m/>
    <n v="2"/>
    <m/>
  </r>
  <r>
    <n v="281"/>
    <m/>
    <s v="2TT-TETN007ZV-2"/>
    <m/>
    <s v="R2TTTETN007ZV2"/>
    <s v="风机（2TETN-007ZV）后轴承温度"/>
    <s v="TETN"/>
    <s v="1812-B1132YKS08-001_018"/>
    <x v="1"/>
    <s v="AI216"/>
    <x v="19"/>
    <s v="2TEKC003AR201AI"/>
    <n v="2"/>
    <x v="5"/>
    <x v="1"/>
    <n v="11"/>
    <m/>
    <s v="TB241"/>
    <s v="201BN"/>
    <s v="2B"/>
    <s v="2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80"/>
    <s v="R"/>
    <s v="R2TETN068KA"/>
    <s v="风机（2TETN-007ZV）后轴承温度高于80℃高报警"/>
    <m/>
    <m/>
    <m/>
    <m/>
    <m/>
    <m/>
    <m/>
    <m/>
    <m/>
    <m/>
    <m/>
    <m/>
    <m/>
    <m/>
    <m/>
    <m/>
    <n v="3"/>
    <n v="1"/>
    <m/>
    <n v="2"/>
    <m/>
  </r>
  <r>
    <n v="282"/>
    <m/>
    <s v="2TT-TETN008ZV-1"/>
    <m/>
    <s v="R2TTTETN008ZV1"/>
    <s v="风机（2TETN-008ZV）前轴承温度"/>
    <s v="TETN"/>
    <s v="1812-B1132YKS08-001_018"/>
    <x v="1"/>
    <s v="AI216"/>
    <x v="19"/>
    <s v="2TEKC003AR201AI"/>
    <n v="2"/>
    <x v="5"/>
    <x v="2"/>
    <n v="11"/>
    <m/>
    <s v="TB241"/>
    <s v="201BN"/>
    <s v="3B"/>
    <s v="3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80"/>
    <s v="R"/>
    <s v="R2TETN069KA"/>
    <s v="风机（2TETN-008ZV）前轴承温度高于80℃高报警"/>
    <m/>
    <m/>
    <m/>
    <m/>
    <m/>
    <m/>
    <m/>
    <m/>
    <m/>
    <m/>
    <m/>
    <m/>
    <m/>
    <m/>
    <m/>
    <m/>
    <n v="3"/>
    <n v="1"/>
    <m/>
    <n v="2"/>
    <m/>
  </r>
  <r>
    <n v="283"/>
    <m/>
    <s v="2TT-TETN008ZV-2"/>
    <m/>
    <s v="R2TTTETN008ZV2"/>
    <s v="风机（2TETN-008ZV）后轴承温度"/>
    <s v="TETN"/>
    <s v="1812-B1132YKS08-001_018"/>
    <x v="1"/>
    <s v="AI216"/>
    <x v="19"/>
    <s v="2TEKC003AR201AI"/>
    <n v="2"/>
    <x v="5"/>
    <x v="3"/>
    <n v="11"/>
    <m/>
    <s v="TB241"/>
    <s v="201BN"/>
    <s v="4B"/>
    <s v="4A"/>
    <s v="--"/>
    <s v="--"/>
    <s v="NR"/>
    <s v="NA"/>
    <s v="AI"/>
    <s v="4~20mA"/>
    <s v="DCS"/>
    <s v="AI1"/>
    <s v="两线制"/>
    <s v="°C"/>
    <n v="0"/>
    <n v="100"/>
    <m/>
    <m/>
    <m/>
    <m/>
    <m/>
    <m/>
    <m/>
    <s v="A"/>
    <m/>
    <m/>
    <m/>
    <m/>
    <m/>
    <m/>
    <m/>
    <m/>
    <m/>
    <m/>
    <m/>
    <m/>
    <m/>
    <m/>
    <m/>
    <m/>
    <m/>
    <n v="80"/>
    <s v="R"/>
    <s v="R2TETN070KA"/>
    <s v="风机（2TETN-008ZV）后轴承温度高于80℃高报警"/>
    <m/>
    <m/>
    <m/>
    <m/>
    <m/>
    <m/>
    <m/>
    <m/>
    <m/>
    <m/>
    <m/>
    <m/>
    <m/>
    <m/>
    <m/>
    <m/>
    <n v="3"/>
    <n v="1"/>
    <m/>
    <n v="2"/>
    <m/>
  </r>
  <r>
    <n v="284"/>
    <s v="2TETN003HXT"/>
    <s v="2TETN-401VCM"/>
    <s v="FW"/>
    <s v="R2TETN401VCM_FW"/>
    <s v="气动调节阀0-100%开度反馈"/>
    <s v="TETN"/>
    <s v="1812-B1132YKS08-001_007"/>
    <x v="1"/>
    <s v="AI216"/>
    <x v="19"/>
    <s v="2TEKC003AR201AI"/>
    <n v="2"/>
    <x v="5"/>
    <x v="4"/>
    <n v="11"/>
    <m/>
    <s v="TB241"/>
    <s v="201BN"/>
    <s v="5B"/>
    <s v="5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285"/>
    <s v="2TETN003HXT"/>
    <s v="2TETN-402VCM"/>
    <s v="FW"/>
    <s v="R2TETN402VCM_FW"/>
    <s v="气动调节阀0-100%开度反馈"/>
    <s v="TETN"/>
    <s v="1812-B1132YKS08-001_008"/>
    <x v="1"/>
    <s v="AI216"/>
    <x v="19"/>
    <s v="2TEKC003AR201AI"/>
    <n v="2"/>
    <x v="5"/>
    <x v="5"/>
    <n v="11"/>
    <m/>
    <s v="TB241"/>
    <s v="201BN"/>
    <s v="6B"/>
    <s v="6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286"/>
    <s v="备用"/>
    <s v="2TEKC003AR201AICH07"/>
    <m/>
    <s v="R2TEKC003AR201AICH07"/>
    <s v="备用"/>
    <s v="TETN"/>
    <m/>
    <x v="1"/>
    <s v="AI216"/>
    <x v="19"/>
    <s v="2TEKC003AR201AI"/>
    <n v="2"/>
    <x v="5"/>
    <x v="6"/>
    <n v="11"/>
    <m/>
    <s v="TB241"/>
    <s v="201BN"/>
    <s v="7B"/>
    <s v="7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87"/>
    <s v="备用"/>
    <s v="2TEKC003AR201AICH08"/>
    <m/>
    <s v="R2TEKC003AR201AICH08"/>
    <s v="备用"/>
    <s v="TETN"/>
    <m/>
    <x v="1"/>
    <s v="AI216"/>
    <x v="19"/>
    <s v="2TEKC003AR201AI"/>
    <n v="2"/>
    <x v="5"/>
    <x v="7"/>
    <n v="11"/>
    <m/>
    <s v="TB241"/>
    <s v="201BN"/>
    <s v="8B"/>
    <s v="8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88"/>
    <s v="2TETN004HXT"/>
    <s v="2TETN-403VCM"/>
    <s v="FW"/>
    <s v="R2TETN403VCM_FW"/>
    <s v="气动调节阀0-100%开度反馈"/>
    <s v="TETN"/>
    <s v="1812-B1132YKS08-001_009"/>
    <x v="1"/>
    <s v="AI216"/>
    <x v="20"/>
    <s v="2TEKC003AR202AI"/>
    <n v="2"/>
    <x v="9"/>
    <x v="0"/>
    <n v="12"/>
    <m/>
    <s v="TB241"/>
    <s v="202BN"/>
    <s v="1B"/>
    <s v="1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289"/>
    <m/>
    <s v="2TETN-404VCM"/>
    <s v="FW"/>
    <s v="R2TETN404VCM_FW"/>
    <s v="气动调节阀0-100%开度反馈"/>
    <s v="TETN"/>
    <s v="1812-B1132YKS08-001_010"/>
    <x v="1"/>
    <s v="AI216"/>
    <x v="20"/>
    <s v="2TEKC003AR202AI"/>
    <n v="2"/>
    <x v="9"/>
    <x v="1"/>
    <n v="12"/>
    <m/>
    <s v="TB241"/>
    <s v="202BN"/>
    <s v="2B"/>
    <s v="2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290"/>
    <s v="2TETN005HXT"/>
    <s v="2TETN-405VCM"/>
    <s v="FW"/>
    <s v="R2TETN405VCM_FW"/>
    <s v="气动调节阀0-100%开度反馈"/>
    <s v="TETN"/>
    <s v="1812-B1132YKS08-001_011"/>
    <x v="1"/>
    <s v="AI216"/>
    <x v="20"/>
    <s v="2TEKC003AR202AI"/>
    <n v="2"/>
    <x v="9"/>
    <x v="2"/>
    <n v="12"/>
    <m/>
    <s v="TB241"/>
    <s v="202BN"/>
    <s v="3B"/>
    <s v="3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291"/>
    <s v="2TETN006HXT"/>
    <s v="2TETN-406VCM"/>
    <s v="FW"/>
    <s v="R2TETN406VCM_FW"/>
    <s v="气动调节阀0-100%开度反馈"/>
    <s v="TETN"/>
    <s v="1812-B1132YKS08-001_012"/>
    <x v="1"/>
    <s v="AI216"/>
    <x v="20"/>
    <s v="2TEKC003AR202AI"/>
    <n v="2"/>
    <x v="9"/>
    <x v="3"/>
    <n v="12"/>
    <m/>
    <s v="TB241"/>
    <s v="202BN"/>
    <s v="4B"/>
    <s v="4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292"/>
    <s v="2TETN006HXT"/>
    <s v="2TETN-407VCM"/>
    <s v="FW"/>
    <s v="R2TETN407VCM_FW"/>
    <s v="气动调节阀0-100%开度反馈"/>
    <s v="TETN"/>
    <s v="1812-B1132YKS08-001_013"/>
    <x v="1"/>
    <s v="AI216"/>
    <x v="20"/>
    <s v="2TEKC003AR202AI"/>
    <n v="2"/>
    <x v="9"/>
    <x v="4"/>
    <n v="12"/>
    <m/>
    <s v="TB241"/>
    <s v="202BN"/>
    <s v="5B"/>
    <s v="5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293"/>
    <s v="2TETN007HXT"/>
    <s v="2TETN-408VCM"/>
    <s v="FW"/>
    <s v="R2TETN408VCM_FW"/>
    <s v="气动调节阀0-100%开度反馈"/>
    <s v="TETN"/>
    <s v="1812-B1132YKS08-001_014"/>
    <x v="1"/>
    <s v="AI216"/>
    <x v="20"/>
    <s v="2TEKC003AR202AI"/>
    <n v="2"/>
    <x v="9"/>
    <x v="5"/>
    <n v="12"/>
    <m/>
    <s v="TB241"/>
    <s v="202BN"/>
    <s v="6B"/>
    <s v="6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294"/>
    <s v="备用"/>
    <s v="2TEKC003AR202AICH07"/>
    <m/>
    <s v="R2TEKC003AR202AICH07"/>
    <s v="备用"/>
    <s v="TETN"/>
    <m/>
    <x v="1"/>
    <s v="AI216"/>
    <x v="20"/>
    <s v="2TEKC003AR202AI"/>
    <n v="2"/>
    <x v="9"/>
    <x v="6"/>
    <n v="12"/>
    <m/>
    <s v="TB241"/>
    <s v="202BN"/>
    <s v="7B"/>
    <s v="7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95"/>
    <s v="备用"/>
    <s v="2TEKC003AR202AICH08"/>
    <m/>
    <s v="R2TEKC003AR202AICH08"/>
    <s v="备用"/>
    <s v="TETN"/>
    <m/>
    <x v="1"/>
    <s v="AI216"/>
    <x v="20"/>
    <s v="2TEKC003AR202AI"/>
    <n v="2"/>
    <x v="9"/>
    <x v="7"/>
    <n v="12"/>
    <m/>
    <s v="TB241"/>
    <s v="202BN"/>
    <s v="8B"/>
    <s v="8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296"/>
    <s v="2TETN007HXT"/>
    <s v="2TETN-409VCM"/>
    <s v="FW"/>
    <s v="R2TETN409VCM_FW"/>
    <s v="气动调节阀0-100%开度反馈"/>
    <s v="TETN"/>
    <s v="1812-B1132YKS08-001_015"/>
    <x v="1"/>
    <s v="AI216"/>
    <x v="21"/>
    <s v="2TEKC003AR203AI"/>
    <n v="2"/>
    <x v="0"/>
    <x v="0"/>
    <n v="13"/>
    <m/>
    <s v="TB241"/>
    <s v="203BN"/>
    <s v="1B"/>
    <s v="1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297"/>
    <s v="2TETN008HXT"/>
    <s v="2TETN-410VCM"/>
    <s v="FW"/>
    <s v="R2TETN410VCM_FW"/>
    <s v="气动调节阀0-100%开度反馈"/>
    <s v="TETN"/>
    <s v="1812-B1132YKS08-001_016"/>
    <x v="1"/>
    <s v="AI216"/>
    <x v="21"/>
    <s v="2TEKC003AR203AI"/>
    <n v="2"/>
    <x v="0"/>
    <x v="1"/>
    <n v="13"/>
    <m/>
    <s v="TB241"/>
    <s v="203BN"/>
    <s v="2B"/>
    <s v="2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298"/>
    <s v="2TETN002HXT"/>
    <s v="2TETN-800VRM"/>
    <s v="FW"/>
    <s v="R2TETN800VRM_FW"/>
    <s v="气动调节阀0-100%开度反馈"/>
    <s v="TETN"/>
    <s v="1812-B1132YKS08-001_035"/>
    <x v="1"/>
    <s v="AI216"/>
    <x v="21"/>
    <s v="2TEKC003AR203AI"/>
    <n v="2"/>
    <x v="0"/>
    <x v="2"/>
    <n v="13"/>
    <m/>
    <s v="TB241"/>
    <s v="203BN"/>
    <s v="3B"/>
    <s v="3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299"/>
    <m/>
    <s v="2TETN-804VRM"/>
    <s v="FW"/>
    <s v="R2TETN804VRM_FW"/>
    <s v="气动调节阀0-100%开度反馈"/>
    <s v="TETN"/>
    <s v="1812-B1132YKS08-001_036"/>
    <x v="1"/>
    <s v="AI216"/>
    <x v="21"/>
    <s v="2TEKC003AR203AI"/>
    <n v="2"/>
    <x v="0"/>
    <x v="3"/>
    <n v="13"/>
    <m/>
    <s v="TB241"/>
    <s v="203BN"/>
    <s v="4B"/>
    <s v="4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300"/>
    <s v="2TETN003HXT"/>
    <s v="2TETN-602VAM"/>
    <s v="FW"/>
    <s v="R2TETN602VAM_FW"/>
    <s v="气动调节阀0-100%开度反馈"/>
    <s v="TETN"/>
    <s v="1812-B1132YKS08-001_036"/>
    <x v="1"/>
    <s v="AI216"/>
    <x v="21"/>
    <s v="2TEKC003AR203AI"/>
    <n v="2"/>
    <x v="0"/>
    <x v="4"/>
    <n v="13"/>
    <m/>
    <s v="TB241"/>
    <s v="203BN"/>
    <s v="5B"/>
    <s v="5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301"/>
    <s v="2TETN004HXT"/>
    <s v="2TETN-604VAM"/>
    <s v="FW"/>
    <s v="R2TETN604VAM_FW"/>
    <s v="气动调节阀0-100%开度反馈"/>
    <s v="TETN"/>
    <s v="1812-B1132YKS08-001_036"/>
    <x v="1"/>
    <s v="AI216"/>
    <x v="21"/>
    <s v="2TEKC003AR203AI"/>
    <n v="2"/>
    <x v="0"/>
    <x v="5"/>
    <n v="13"/>
    <m/>
    <s v="TB241"/>
    <s v="203BN"/>
    <s v="6B"/>
    <s v="6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302"/>
    <s v="备用"/>
    <s v="2TEKC003AR203AICH07"/>
    <m/>
    <s v="R2TEKC003AR203AICH07"/>
    <s v="备用"/>
    <s v="TETN"/>
    <m/>
    <x v="1"/>
    <s v="AI216"/>
    <x v="21"/>
    <s v="2TEKC003AR203AI"/>
    <n v="2"/>
    <x v="0"/>
    <x v="6"/>
    <n v="13"/>
    <m/>
    <s v="TB241"/>
    <s v="203BN"/>
    <s v="7B"/>
    <s v="7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03"/>
    <s v="备用"/>
    <s v="2TEKC003AR203AICH08"/>
    <m/>
    <s v="R2TEKC003AR203AICH08"/>
    <s v="备用"/>
    <s v="TETN"/>
    <m/>
    <x v="1"/>
    <s v="AI216"/>
    <x v="21"/>
    <s v="2TEKC003AR203AI"/>
    <n v="2"/>
    <x v="0"/>
    <x v="7"/>
    <n v="13"/>
    <m/>
    <s v="TB241"/>
    <s v="203BN"/>
    <s v="8B"/>
    <s v="8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04"/>
    <s v="2TETN002HXT"/>
    <s v="2FT-TETN002H11"/>
    <m/>
    <s v="R2FTTETN002H11"/>
    <s v="硝酸输送总管流量"/>
    <s v="TETN"/>
    <s v="1812-B1132YKS08-001_027"/>
    <x v="1"/>
    <s v="AI216"/>
    <x v="22"/>
    <s v="2TEKC003AR204AI"/>
    <n v="2"/>
    <x v="1"/>
    <x v="0"/>
    <n v="14"/>
    <m/>
    <s v="TB241"/>
    <s v="204BN"/>
    <s v="1A"/>
    <s v="1C"/>
    <s v="--"/>
    <s v="--"/>
    <s v="NR"/>
    <s v="NA"/>
    <s v="AI"/>
    <s v="4~20mA"/>
    <s v="USER(提供220VAC)"/>
    <s v="AI3"/>
    <s v="四线制"/>
    <s v="m3/h"/>
    <n v="0"/>
    <n v="2"/>
    <m/>
    <m/>
    <m/>
    <m/>
    <m/>
    <m/>
    <m/>
    <s v="A"/>
    <m/>
    <m/>
    <s v="20W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3"/>
    <m/>
  </r>
  <r>
    <n v="305"/>
    <s v="2TETN001HXT"/>
    <s v="2FT-TETN003SH"/>
    <m/>
    <s v="R2FTTETN003SH"/>
    <s v="氢氧化钠溶液输送总管流量"/>
    <s v="TETN"/>
    <s v="1812-B1132YKS08-001_028"/>
    <x v="1"/>
    <s v="AI216"/>
    <x v="22"/>
    <s v="2TEKC003AR204AI"/>
    <n v="2"/>
    <x v="1"/>
    <x v="1"/>
    <n v="14"/>
    <m/>
    <s v="TB241"/>
    <s v="204BN"/>
    <s v="2A"/>
    <s v="2C"/>
    <s v="--"/>
    <s v="--"/>
    <s v="NR"/>
    <s v="NA"/>
    <s v="AI"/>
    <s v="4~20mA"/>
    <s v="USER(提供220VAC)"/>
    <s v="AI3"/>
    <s v="四线制"/>
    <s v="m3/h"/>
    <n v="0"/>
    <n v="2"/>
    <m/>
    <m/>
    <m/>
    <m/>
    <m/>
    <m/>
    <m/>
    <s v="A"/>
    <m/>
    <m/>
    <s v="20W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3"/>
    <m/>
  </r>
  <r>
    <n v="306"/>
    <s v="2TETN001HXT"/>
    <s v="2FT-TETN004LLLW"/>
    <m/>
    <s v="R2FTTETN004LLLW"/>
    <s v="尿素废液排放总管流量"/>
    <s v="TETN"/>
    <s v="1812-B1132YKS08-001_028"/>
    <x v="1"/>
    <s v="AI216"/>
    <x v="22"/>
    <s v="2TEKC003AR204AI"/>
    <n v="2"/>
    <x v="1"/>
    <x v="2"/>
    <n v="14"/>
    <m/>
    <s v="TB241"/>
    <s v="204BN"/>
    <s v="3A"/>
    <s v="3C"/>
    <s v="--"/>
    <s v="--"/>
    <s v="NR"/>
    <s v="NA"/>
    <s v="AI"/>
    <s v="4~20mA"/>
    <s v="USER(提供220VAC)"/>
    <s v="AI3"/>
    <s v="四线制"/>
    <s v="m3/h"/>
    <n v="0"/>
    <n v="25"/>
    <m/>
    <m/>
    <m/>
    <m/>
    <m/>
    <m/>
    <m/>
    <s v="A"/>
    <m/>
    <m/>
    <s v="20W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307"/>
    <s v="2TETN002HXT"/>
    <s v="2AT-TETN001BA-1"/>
    <m/>
    <s v="R2ATTETN001BA1"/>
    <s v="尿素溶解槽(001BA)尿素浓度"/>
    <s v="TETN"/>
    <s v="1812-B1132YKS08-001_028"/>
    <x v="1"/>
    <s v="AI216"/>
    <x v="22"/>
    <s v="2TEKC003AR204AI"/>
    <n v="2"/>
    <x v="1"/>
    <x v="3"/>
    <n v="14"/>
    <m/>
    <s v="TB241"/>
    <s v="204BN"/>
    <s v="4A"/>
    <s v="4C"/>
    <s v="--"/>
    <s v="--"/>
    <s v="NR"/>
    <s v="NA"/>
    <s v="AI"/>
    <s v="4~20mA"/>
    <s v="USER(提供24VDC)"/>
    <s v="AI2"/>
    <s v="四线制"/>
    <s v="g/cm3"/>
    <n v="0"/>
    <n v="2"/>
    <m/>
    <m/>
    <m/>
    <m/>
    <m/>
    <m/>
    <m/>
    <s v="A"/>
    <m/>
    <m/>
    <s v="15W"/>
    <m/>
    <m/>
    <m/>
    <m/>
    <m/>
    <m/>
    <m/>
    <m/>
    <m/>
    <m/>
    <m/>
    <m/>
    <m/>
    <m/>
    <n v="30"/>
    <s v="R"/>
    <s v="R2TETN095KA"/>
    <s v="尿素溶解槽(001BA)尿素浓度高于30%高报警"/>
    <m/>
    <m/>
    <m/>
    <m/>
    <m/>
    <m/>
    <m/>
    <m/>
    <m/>
    <m/>
    <m/>
    <m/>
    <m/>
    <m/>
    <m/>
    <m/>
    <n v="3"/>
    <n v="1"/>
    <m/>
    <n v="3"/>
    <m/>
  </r>
  <r>
    <n v="308"/>
    <s v="2TETN002HXT"/>
    <s v="2AT-TETN002BA-1"/>
    <m/>
    <s v="R2ATTETN002BA1"/>
    <s v="废液中转槽(002BA)尿素浓度"/>
    <s v="TETN"/>
    <s v="1812-B1132YKS08-001_028"/>
    <x v="1"/>
    <s v="AI216"/>
    <x v="22"/>
    <s v="2TEKC003AR204AI"/>
    <n v="2"/>
    <x v="1"/>
    <x v="4"/>
    <n v="14"/>
    <m/>
    <s v="TB241"/>
    <s v="204BN"/>
    <s v="5A"/>
    <s v="5C"/>
    <s v="--"/>
    <s v="--"/>
    <s v="NR"/>
    <s v="NA"/>
    <s v="AI"/>
    <s v="4~20mA"/>
    <s v="USER(提供24VDC)"/>
    <s v="AI2"/>
    <s v="四线制"/>
    <s v="g/cm3"/>
    <n v="0"/>
    <n v="2"/>
    <m/>
    <m/>
    <m/>
    <m/>
    <m/>
    <m/>
    <m/>
    <s v="A"/>
    <m/>
    <m/>
    <s v="15W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3"/>
    <m/>
  </r>
  <r>
    <n v="309"/>
    <s v="2TETN001HXT"/>
    <s v="2AT-TETN003BA-1"/>
    <m/>
    <s v="R2ATTETN003BA1"/>
    <s v="废液储槽(003BA)尿素浓度"/>
    <s v="TETN"/>
    <s v="1812-B1132YKS08-001_028"/>
    <x v="1"/>
    <s v="AI216"/>
    <x v="22"/>
    <s v="2TEKC003AR204AI"/>
    <n v="2"/>
    <x v="1"/>
    <x v="5"/>
    <n v="14"/>
    <m/>
    <s v="TB241"/>
    <s v="204BN"/>
    <s v="6A"/>
    <s v="6C"/>
    <s v="--"/>
    <s v="--"/>
    <s v="NR"/>
    <s v="NA"/>
    <s v="AI"/>
    <s v="4~20mA"/>
    <s v="USER(提供24VDC)"/>
    <s v="AI2"/>
    <s v="四线制"/>
    <s v="g/cm3"/>
    <n v="0"/>
    <n v="2"/>
    <m/>
    <m/>
    <m/>
    <m/>
    <m/>
    <m/>
    <m/>
    <s v="A"/>
    <m/>
    <m/>
    <s v="15W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3"/>
    <m/>
  </r>
  <r>
    <n v="310"/>
    <s v="2TETN001HXT"/>
    <s v="2AT-TETN004BA-1"/>
    <m/>
    <s v="R2ATTETN004BA1"/>
    <s v="废液储槽(004BA)尿素浓度"/>
    <s v="TETN"/>
    <s v="1812-B1132YKS08-001_028"/>
    <x v="1"/>
    <s v="AI216"/>
    <x v="22"/>
    <s v="2TEKC003AR204AI"/>
    <n v="2"/>
    <x v="1"/>
    <x v="6"/>
    <n v="14"/>
    <m/>
    <s v="TB241"/>
    <s v="204BN"/>
    <s v="7A"/>
    <s v="7C"/>
    <s v="--"/>
    <s v="--"/>
    <s v="NR"/>
    <s v="NA"/>
    <s v="AI"/>
    <s v="4~20mA"/>
    <s v="USER(提供24VDC)"/>
    <s v="AI2"/>
    <s v="四线制"/>
    <s v="g/cm3"/>
    <n v="0"/>
    <n v="2"/>
    <m/>
    <m/>
    <m/>
    <m/>
    <m/>
    <m/>
    <m/>
    <s v="A"/>
    <m/>
    <m/>
    <s v="15W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3"/>
    <m/>
  </r>
  <r>
    <n v="311"/>
    <s v="备用"/>
    <s v="2TEKC003AR204AICH08"/>
    <m/>
    <s v="R2TEKC003AR204AICH08"/>
    <s v="备用"/>
    <s v="TETN"/>
    <m/>
    <x v="1"/>
    <s v="AI216"/>
    <x v="22"/>
    <s v="2TEKC003AR204AI"/>
    <n v="2"/>
    <x v="1"/>
    <x v="7"/>
    <n v="14"/>
    <m/>
    <s v="TB241"/>
    <s v="204BN"/>
    <s v="8A"/>
    <s v="8C"/>
    <s v="--"/>
    <s v="--"/>
    <s v="NR"/>
    <s v="NA"/>
    <s v="AI"/>
    <s v="4~20mA"/>
    <s v="USER(提供24VDC)"/>
    <s v="AI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12"/>
    <s v="2TETN003HXT"/>
    <s v="2TETN-401VCM"/>
    <s v="TJ"/>
    <s v="R2TETN401VCM_TJ"/>
    <s v="气动调节阀0-100%开度调节"/>
    <s v="TETN"/>
    <s v="1812-B1132YKS08-001_007"/>
    <x v="1"/>
    <s v="AO211"/>
    <x v="23"/>
    <s v="2TEKC003AR205AO"/>
    <n v="2"/>
    <x v="2"/>
    <x v="0"/>
    <n v="15"/>
    <m/>
    <s v="TB251"/>
    <s v="205BN"/>
    <s v="1B"/>
    <s v="1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313"/>
    <s v="2TETN003HXT"/>
    <s v="2TETN-402VCM"/>
    <s v="TJ"/>
    <s v="R2TETN402VCM_TJ"/>
    <s v="气动调节阀0-100%开度调节"/>
    <s v="TETN"/>
    <s v="1812-B1132YKS08-001_008"/>
    <x v="1"/>
    <s v="AO211"/>
    <x v="23"/>
    <s v="2TEKC003AR205AO"/>
    <n v="2"/>
    <x v="2"/>
    <x v="1"/>
    <n v="15"/>
    <m/>
    <s v="TB251"/>
    <s v="205BN"/>
    <s v="2B"/>
    <s v="2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314"/>
    <s v="2TETN004HXT"/>
    <s v="2TETN-403VCM"/>
    <s v="TJ"/>
    <s v="R2TETN403VCM_TJ"/>
    <s v="气动调节阀0-100%开度调节"/>
    <s v="TETN"/>
    <s v="1812-B1132YKS08-001_009"/>
    <x v="1"/>
    <s v="AO211"/>
    <x v="23"/>
    <s v="2TEKC003AR205AO"/>
    <n v="2"/>
    <x v="2"/>
    <x v="2"/>
    <n v="15"/>
    <m/>
    <s v="TB251"/>
    <s v="205BN"/>
    <s v="3B"/>
    <s v="3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315"/>
    <s v="2TETN004HXT"/>
    <s v="2TETN-404VCM"/>
    <s v="TJ"/>
    <s v="R2TETN404VCM_TJ"/>
    <s v="气动调节阀0-100%开度调节"/>
    <s v="TETN"/>
    <s v="1812-B1132YKS08-001_010"/>
    <x v="1"/>
    <s v="AO211"/>
    <x v="23"/>
    <s v="2TEKC003AR205AO"/>
    <n v="2"/>
    <x v="2"/>
    <x v="3"/>
    <n v="15"/>
    <m/>
    <s v="TB251"/>
    <s v="205BN"/>
    <s v="4B"/>
    <s v="4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316"/>
    <s v="2TETN005HXT"/>
    <s v="2TETN-405VCM"/>
    <s v="TJ"/>
    <s v="R2TETN405VCM_TJ"/>
    <s v="气动调节阀0-100%开度调节"/>
    <s v="TETN"/>
    <s v="1812-B1132YKS08-001_011"/>
    <x v="1"/>
    <s v="AO211"/>
    <x v="23"/>
    <s v="2TEKC003AR205AO"/>
    <n v="2"/>
    <x v="2"/>
    <x v="4"/>
    <n v="15"/>
    <m/>
    <s v="TB251"/>
    <s v="205BN"/>
    <s v="5B"/>
    <s v="5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317"/>
    <s v="2TETN006HXT"/>
    <s v="2TETN-406VCM"/>
    <s v="TJ"/>
    <s v="R2TETN406VCM_TJ"/>
    <s v="气动调节阀0-100%开度调节"/>
    <s v="TETN"/>
    <s v="1812-B1132YKS08-001_012"/>
    <x v="1"/>
    <s v="AO211"/>
    <x v="23"/>
    <s v="2TEKC003AR205AO"/>
    <n v="2"/>
    <x v="2"/>
    <x v="5"/>
    <n v="15"/>
    <m/>
    <s v="TB251"/>
    <s v="205BN"/>
    <s v="6B"/>
    <s v="6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318"/>
    <s v="2TETN006HXT"/>
    <s v="2TETN-407VCM"/>
    <s v="TJ"/>
    <s v="R2TETN407VCM_TJ"/>
    <s v="气动调节阀0-100%开度调节"/>
    <s v="TETN"/>
    <s v="1812-B1132YKS08-001_013"/>
    <x v="1"/>
    <s v="AO211"/>
    <x v="23"/>
    <s v="2TEKC003AR205AO"/>
    <n v="2"/>
    <x v="2"/>
    <x v="6"/>
    <n v="15"/>
    <m/>
    <s v="TB251"/>
    <s v="205BN"/>
    <s v="7B"/>
    <s v="7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319"/>
    <s v="备用"/>
    <s v="2TEKC003AR205AOCH08"/>
    <m/>
    <s v="R2TEKC003AR205AOCH08"/>
    <s v="备用"/>
    <s v="TETN"/>
    <m/>
    <x v="1"/>
    <s v="AO211"/>
    <x v="23"/>
    <s v="2TEKC003AR205AO"/>
    <n v="2"/>
    <x v="2"/>
    <x v="7"/>
    <n v="15"/>
    <m/>
    <s v="TB251"/>
    <s v="205BN"/>
    <s v="8B"/>
    <s v="8C"/>
    <s v="--"/>
    <s v="--"/>
    <s v="NR"/>
    <s v="NA"/>
    <s v="AO"/>
    <s v="4~20mA"/>
    <s v="DCS"/>
    <s v="A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20"/>
    <s v="2TETN007HXT"/>
    <s v="2TETN-408VCM"/>
    <s v="TJ"/>
    <s v="R2TETN408VCM_TJ"/>
    <s v="气动调节阀0-100%开度调节"/>
    <s v="TETN"/>
    <s v="1812-B1132YKS08-001_014"/>
    <x v="1"/>
    <s v="AO211"/>
    <x v="24"/>
    <s v="2TEKC003AR206AO"/>
    <n v="2"/>
    <x v="3"/>
    <x v="0"/>
    <n v="16"/>
    <m/>
    <s v="TB251"/>
    <s v="206BN"/>
    <s v="1B"/>
    <s v="1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321"/>
    <s v="2TETN007HXT"/>
    <s v="2TETN-409VCM"/>
    <s v="TJ"/>
    <s v="R2TETN409VCM_TJ"/>
    <s v="气动调节阀0-100%开度调节"/>
    <s v="TETN"/>
    <s v="1812-B1132YKS08-001_015"/>
    <x v="1"/>
    <s v="AO211"/>
    <x v="24"/>
    <s v="2TEKC003AR206AO"/>
    <n v="2"/>
    <x v="3"/>
    <x v="1"/>
    <n v="16"/>
    <m/>
    <s v="TB251"/>
    <s v="206BN"/>
    <s v="2B"/>
    <s v="2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322"/>
    <s v="2TETN008HXT"/>
    <s v="2TETN-410VCM"/>
    <s v="TJ"/>
    <s v="R2TETN410VCM_TJ"/>
    <s v="气动调节阀0-100%开度调节"/>
    <s v="TETN"/>
    <s v="1812-B1132YKS08-001_016"/>
    <x v="1"/>
    <s v="AO211"/>
    <x v="24"/>
    <s v="2TEKC003AR206AO"/>
    <n v="2"/>
    <x v="3"/>
    <x v="2"/>
    <n v="16"/>
    <m/>
    <s v="TB251"/>
    <s v="206BN"/>
    <s v="3B"/>
    <s v="3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323"/>
    <s v="2TETN002HXT"/>
    <s v="2TETN-800VRM"/>
    <s v="TJ"/>
    <s v="R2TETN800VRM_TJ"/>
    <s v="气动调节阀0-100%开度调节"/>
    <s v="TETN"/>
    <s v="1812-B1132YKS08-001_035"/>
    <x v="1"/>
    <s v="AO211"/>
    <x v="24"/>
    <s v="2TEKC003AR206AO"/>
    <n v="2"/>
    <x v="3"/>
    <x v="3"/>
    <n v="16"/>
    <m/>
    <s v="TB251"/>
    <s v="206BN"/>
    <s v="4B"/>
    <s v="4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324"/>
    <m/>
    <s v="2TETN-804VRM"/>
    <s v="TJ"/>
    <s v="R2TETN804VRM_TJ"/>
    <s v="气动调节阀0-100%开度调节"/>
    <s v="TETN"/>
    <s v="1812-B1132YKS08-001_036"/>
    <x v="1"/>
    <s v="AO211"/>
    <x v="24"/>
    <s v="2TEKC003AR206AO"/>
    <n v="2"/>
    <x v="3"/>
    <x v="4"/>
    <n v="16"/>
    <m/>
    <s v="TB251"/>
    <s v="206BN"/>
    <s v="5B"/>
    <s v="5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325"/>
    <s v="2TETN003HXT"/>
    <s v="2TETN-602VAM"/>
    <s v="TJ"/>
    <s v="R2TETN602VAM_TJ"/>
    <s v="气动调节阀0-100%开度调节"/>
    <s v="TETN"/>
    <s v="1812-B1132YKS08-001_036"/>
    <x v="1"/>
    <s v="AO211"/>
    <x v="24"/>
    <s v="2TEKC003AR206AO"/>
    <n v="2"/>
    <x v="3"/>
    <x v="5"/>
    <n v="16"/>
    <m/>
    <s v="TB251"/>
    <s v="206BN"/>
    <s v="6B"/>
    <s v="6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326"/>
    <s v="2TETN004HXT"/>
    <s v="2TETN-604VAM"/>
    <s v="TJ"/>
    <s v="R2TETN604VAM_TJ"/>
    <s v="气动调节阀0-100%开度调节"/>
    <s v="TETN"/>
    <s v="1812-B1132YKS08-001_036"/>
    <x v="1"/>
    <s v="AO211"/>
    <x v="24"/>
    <s v="2TEKC003AR206AO"/>
    <n v="2"/>
    <x v="3"/>
    <x v="6"/>
    <n v="16"/>
    <m/>
    <s v="TB251"/>
    <s v="206BN"/>
    <s v="7B"/>
    <s v="7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n v="2"/>
    <m/>
  </r>
  <r>
    <n v="327"/>
    <s v="备用"/>
    <s v="2TEKC003AR206AOCH08"/>
    <m/>
    <s v="R2TEKC003AR206AOCH08"/>
    <s v="备用"/>
    <s v="TETN"/>
    <m/>
    <x v="1"/>
    <s v="AO211"/>
    <x v="24"/>
    <s v="2TEKC003AR206AO"/>
    <n v="2"/>
    <x v="3"/>
    <x v="7"/>
    <n v="16"/>
    <m/>
    <s v="TB251"/>
    <s v="206BN"/>
    <s v="8B"/>
    <s v="8C"/>
    <s v="--"/>
    <s v="--"/>
    <s v="NR"/>
    <s v="NA"/>
    <s v="AO"/>
    <s v="4~20mA"/>
    <s v="DCS"/>
    <s v="A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28"/>
    <s v="2TETN004HXT"/>
    <s v="2TETN-007PO"/>
    <s v="Q"/>
    <s v="R2TETN007PO_Q"/>
    <s v="2TETN-007PO启动"/>
    <s v="TETN"/>
    <s v="1812-B1132YKS07-001-095"/>
    <x v="1"/>
    <s v="DO211"/>
    <x v="25"/>
    <s v="2TEKC003AR207DO"/>
    <n v="2"/>
    <x v="4"/>
    <x v="0"/>
    <n v="17"/>
    <m/>
    <s v="TB231"/>
    <s v="207BN"/>
    <s v="1C"/>
    <s v="1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29"/>
    <s v="2TETN004HXT"/>
    <s v="2TETN-007PO"/>
    <s v="T"/>
    <s v="R2TETN007PO_T"/>
    <s v="2TETN-007PO停止"/>
    <s v="TETN"/>
    <s v="1812-B1132YKS07-001-095"/>
    <x v="1"/>
    <s v="DO211"/>
    <x v="25"/>
    <s v="2TEKC003AR207DO"/>
    <n v="2"/>
    <x v="4"/>
    <x v="1"/>
    <n v="17"/>
    <m/>
    <s v="TB231"/>
    <s v="207BN"/>
    <s v="2C"/>
    <s v="2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30"/>
    <s v="2TETN004HXT"/>
    <s v="2TETN-008PO"/>
    <s v="Q"/>
    <s v="R2TETN008PO_Q"/>
    <s v="2TETN-008PO启动"/>
    <s v="TETN"/>
    <s v="1812-B1132YKS07-001-096"/>
    <x v="1"/>
    <s v="DO211"/>
    <x v="25"/>
    <s v="2TEKC003AR207DO"/>
    <n v="2"/>
    <x v="4"/>
    <x v="2"/>
    <n v="17"/>
    <m/>
    <s v="TB231"/>
    <s v="207BN"/>
    <s v="3C"/>
    <s v="3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31"/>
    <s v="2TETN004HXT"/>
    <s v="2TETN-008PO"/>
    <s v="T"/>
    <s v="R2TETN008PO_T"/>
    <s v="2TETN-008PO停止"/>
    <s v="TETN"/>
    <s v="1812-B1132YKS07-001-096"/>
    <x v="1"/>
    <s v="DO211"/>
    <x v="25"/>
    <s v="2TEKC003AR207DO"/>
    <n v="2"/>
    <x v="4"/>
    <x v="3"/>
    <n v="17"/>
    <m/>
    <s v="TB231"/>
    <s v="207BN"/>
    <s v="4C"/>
    <s v="4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32"/>
    <s v="2TETN005HXT"/>
    <s v="2TETN-009PO"/>
    <s v="Q"/>
    <s v="R2TETN009PO_Q"/>
    <s v="2TETN-009PO启动"/>
    <s v="TETN"/>
    <s v="1812-B1132YKS07-001-097"/>
    <x v="1"/>
    <s v="DO211"/>
    <x v="25"/>
    <s v="2TEKC003AR207DO"/>
    <n v="2"/>
    <x v="4"/>
    <x v="4"/>
    <n v="17"/>
    <m/>
    <s v="TB231"/>
    <s v="207BN"/>
    <s v="5C"/>
    <s v="5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33"/>
    <s v="2TETN005HXT"/>
    <s v="2TETN-009PO"/>
    <s v="T"/>
    <s v="R2TETN009PO_T"/>
    <s v="2TETN-009PO停止"/>
    <s v="TETN"/>
    <s v="1812-B1132YKS07-001-097"/>
    <x v="1"/>
    <s v="DO211"/>
    <x v="25"/>
    <s v="2TEKC003AR207DO"/>
    <n v="2"/>
    <x v="4"/>
    <x v="5"/>
    <n v="17"/>
    <m/>
    <s v="TB231"/>
    <s v="207BN"/>
    <s v="6C"/>
    <s v="6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34"/>
    <s v="2TETN005HXT"/>
    <s v="2TETN-010PO"/>
    <s v="Q"/>
    <s v="R2TETN010PO_Q"/>
    <s v="2TETN-010PO启动"/>
    <s v="TETN"/>
    <s v="1812-B1132YKS07-001-098"/>
    <x v="1"/>
    <s v="DO211"/>
    <x v="25"/>
    <s v="2TEKC003AR207DO"/>
    <n v="2"/>
    <x v="4"/>
    <x v="6"/>
    <n v="17"/>
    <m/>
    <s v="TB231"/>
    <s v="207BN"/>
    <s v="7C"/>
    <s v="7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35"/>
    <s v="2TETN005HXT"/>
    <s v="2TETN-010PO"/>
    <s v="T"/>
    <s v="R2TETN010PO_T"/>
    <s v="2TETN-010PO停止"/>
    <s v="TETN"/>
    <s v="1812-B1132YKS07-001-098"/>
    <x v="1"/>
    <s v="DO211"/>
    <x v="25"/>
    <s v="2TEKC003AR207DO"/>
    <n v="2"/>
    <x v="4"/>
    <x v="7"/>
    <n v="17"/>
    <m/>
    <s v="TB231"/>
    <s v="207BN"/>
    <s v="8C"/>
    <s v="8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36"/>
    <s v="2TETN006HXT"/>
    <s v="2TETN-011PO"/>
    <s v="Q"/>
    <s v="R2TETN011PO_Q"/>
    <s v="2TETN-011PO启动"/>
    <s v="TETN"/>
    <s v="1812-B1132YKS07-001-099"/>
    <x v="1"/>
    <s v="DO211"/>
    <x v="25"/>
    <s v="2TEKC003AR207DO"/>
    <n v="2"/>
    <x v="4"/>
    <x v="8"/>
    <n v="17"/>
    <m/>
    <s v="TB231"/>
    <s v="207BN"/>
    <s v="9C"/>
    <s v="9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37"/>
    <s v="2TETN006HXT"/>
    <s v="2TETN-011PO"/>
    <s v="T"/>
    <s v="R2TETN011PO_T"/>
    <s v="2TETN-011PO停止"/>
    <s v="TETN"/>
    <s v="1812-B1132YKS07-001-099"/>
    <x v="1"/>
    <s v="DO211"/>
    <x v="25"/>
    <s v="2TEKC003AR207DO"/>
    <n v="2"/>
    <x v="4"/>
    <x v="9"/>
    <n v="17"/>
    <m/>
    <s v="TB231"/>
    <s v="207BN"/>
    <s v="10C"/>
    <s v="10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38"/>
    <s v="2TETN006HXT"/>
    <s v="2TETN-012PO"/>
    <s v="Q"/>
    <s v="R2TETN012PO_Q"/>
    <s v="2TETN-012PO启动"/>
    <s v="TETN"/>
    <s v="1812-B1132YKS07-001-100"/>
    <x v="1"/>
    <s v="DO211"/>
    <x v="25"/>
    <s v="2TEKC003AR207DO"/>
    <n v="2"/>
    <x v="4"/>
    <x v="10"/>
    <n v="17"/>
    <m/>
    <s v="TB231"/>
    <s v="207BN"/>
    <s v="11C"/>
    <s v="11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39"/>
    <s v="2TETN006HXT"/>
    <s v="2TETN-012PO"/>
    <s v="T"/>
    <s v="R2TETN012PO_T"/>
    <s v="2TETN-012PO停止"/>
    <s v="TETN"/>
    <s v="1812-B1132YKS07-001-100"/>
    <x v="1"/>
    <s v="DO211"/>
    <x v="25"/>
    <s v="2TEKC003AR207DO"/>
    <n v="2"/>
    <x v="4"/>
    <x v="11"/>
    <n v="17"/>
    <m/>
    <s v="TB231"/>
    <s v="207BN"/>
    <s v="12C"/>
    <s v="12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40"/>
    <s v="备用"/>
    <s v="2TEKC003AR207DOCH13"/>
    <m/>
    <s v="R2TEKC003AR207DOCH13"/>
    <s v="备用"/>
    <s v="TETN"/>
    <m/>
    <x v="1"/>
    <s v="DO211"/>
    <x v="25"/>
    <s v="2TEKC003AR207DO"/>
    <n v="2"/>
    <x v="4"/>
    <x v="12"/>
    <n v="17"/>
    <m/>
    <s v="TB231"/>
    <s v="207BN"/>
    <s v="13C"/>
    <s v="13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41"/>
    <s v="备用"/>
    <s v="2TEKC003AR207DOCH14"/>
    <m/>
    <s v="R2TEKC003AR207DOCH14"/>
    <s v="备用"/>
    <s v="TETN"/>
    <m/>
    <x v="1"/>
    <s v="DO211"/>
    <x v="25"/>
    <s v="2TEKC003AR207DO"/>
    <n v="2"/>
    <x v="4"/>
    <x v="13"/>
    <n v="17"/>
    <m/>
    <s v="TB231"/>
    <s v="207BN"/>
    <s v="14C"/>
    <s v="14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42"/>
    <s v="备用"/>
    <s v="2TEKC003AR207DOCH15"/>
    <m/>
    <s v="R2TEKC003AR207DOCH15"/>
    <s v="备用"/>
    <s v="TETN"/>
    <m/>
    <x v="1"/>
    <s v="DO211"/>
    <x v="25"/>
    <s v="2TEKC003AR207DO"/>
    <n v="2"/>
    <x v="4"/>
    <x v="14"/>
    <n v="17"/>
    <m/>
    <s v="TB231"/>
    <s v="207BN"/>
    <s v="15C"/>
    <s v="15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43"/>
    <s v="备用"/>
    <s v="2TEKC003AR207DOCH16"/>
    <m/>
    <s v="R2TEKC003AR207DOCH16"/>
    <s v="备用"/>
    <s v="TETN"/>
    <m/>
    <x v="1"/>
    <s v="DO211"/>
    <x v="25"/>
    <s v="2TEKC003AR207DO"/>
    <n v="2"/>
    <x v="4"/>
    <x v="15"/>
    <n v="17"/>
    <m/>
    <s v="TB231"/>
    <s v="207BN"/>
    <s v="16C"/>
    <s v="16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44"/>
    <s v="2TETN003HXT"/>
    <s v="2TETN-001PO"/>
    <s v="QF"/>
    <s v="R2TETN001PO_QF"/>
    <s v="2TETN-001PO启反馈"/>
    <s v="TETN"/>
    <s v="1812-B1132YKS07-001-089"/>
    <x v="1"/>
    <s v="DI211"/>
    <x v="26"/>
    <s v="2TEKC003AR208DI"/>
    <n v="2"/>
    <x v="7"/>
    <x v="0"/>
    <n v="18"/>
    <m/>
    <s v="TB222"/>
    <s v="208BN"/>
    <s v="1A"/>
    <s v="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45"/>
    <s v="2TETN003HXT"/>
    <s v="2TETN-001PO"/>
    <s v="TF"/>
    <s v="R2TETN001PO_TF"/>
    <s v="2TETN-001PO停反馈"/>
    <s v="TETN"/>
    <s v="1812-B1132YKS07-001-089"/>
    <x v="1"/>
    <s v="DI211"/>
    <x v="26"/>
    <s v="2TEKC003AR208DI"/>
    <n v="2"/>
    <x v="7"/>
    <x v="1"/>
    <n v="18"/>
    <m/>
    <s v="TB222"/>
    <s v="208BN"/>
    <s v="2A"/>
    <s v="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46"/>
    <s v="2TETN003HXT"/>
    <s v="2TETN-001PO"/>
    <s v="FS"/>
    <s v="R2TETN001PO_FS"/>
    <s v="2TETN-001PO故障"/>
    <s v="TETN"/>
    <s v="1812-B1132YKS07-001-089"/>
    <x v="1"/>
    <s v="DI211"/>
    <x v="26"/>
    <s v="2TEKC003AR208DI"/>
    <n v="2"/>
    <x v="7"/>
    <x v="2"/>
    <n v="18"/>
    <m/>
    <s v="TB222"/>
    <s v="208BN"/>
    <s v="3A"/>
    <s v="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47"/>
    <s v="2TETN003HXT"/>
    <s v="2TETN-001PO"/>
    <s v="YC"/>
    <s v="R2TETN001PO_YC"/>
    <s v="2TETN-001PO远程控制"/>
    <s v="TETN"/>
    <s v="1812-B1132YKS07-001-089"/>
    <x v="1"/>
    <s v="DI211"/>
    <x v="26"/>
    <s v="2TEKC003AR208DI"/>
    <n v="2"/>
    <x v="7"/>
    <x v="3"/>
    <n v="18"/>
    <m/>
    <s v="TB222"/>
    <s v="208BN"/>
    <s v="4A"/>
    <s v="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48"/>
    <s v="2TETN003HXT"/>
    <s v="2TETN-002PO"/>
    <s v="QF"/>
    <s v="R2TETN002PO_QF"/>
    <s v="2TETN-002PO启反馈"/>
    <s v="TETN"/>
    <s v="1812-B1132YKS07-001-090"/>
    <x v="1"/>
    <s v="DI211"/>
    <x v="26"/>
    <s v="2TEKC003AR208DI"/>
    <n v="2"/>
    <x v="7"/>
    <x v="4"/>
    <n v="18"/>
    <m/>
    <s v="TB222"/>
    <s v="208BN"/>
    <s v="5A"/>
    <s v="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49"/>
    <s v="2TETN003HXT"/>
    <s v="2TETN-002PO"/>
    <s v="TF"/>
    <s v="R2TETN002PO_TF"/>
    <s v="2TETN-002PO停反馈"/>
    <s v="TETN"/>
    <s v="1812-B1132YKS07-001-090"/>
    <x v="1"/>
    <s v="DI211"/>
    <x v="26"/>
    <s v="2TEKC003AR208DI"/>
    <n v="2"/>
    <x v="7"/>
    <x v="5"/>
    <n v="18"/>
    <m/>
    <s v="TB222"/>
    <s v="208BN"/>
    <s v="6A"/>
    <s v="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50"/>
    <s v="2TETN003HXT"/>
    <s v="2TETN-002PO"/>
    <s v="FS"/>
    <s v="R2TETN002PO_FS"/>
    <s v="2TETN-002PO故障"/>
    <s v="TETN"/>
    <s v="1812-B1132YKS07-001-090"/>
    <x v="1"/>
    <s v="DI211"/>
    <x v="26"/>
    <s v="2TEKC003AR208DI"/>
    <n v="2"/>
    <x v="7"/>
    <x v="6"/>
    <n v="18"/>
    <m/>
    <s v="TB222"/>
    <s v="208BN"/>
    <s v="7A"/>
    <s v="7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51"/>
    <s v="2TETN003HXT"/>
    <s v="2TETN-002PO"/>
    <s v="YC"/>
    <s v="R2TETN002PO_YC"/>
    <s v="2TETN-002PO远程控制"/>
    <s v="TETN"/>
    <s v="1812-B1132YKS07-001-090"/>
    <x v="1"/>
    <s v="DI211"/>
    <x v="26"/>
    <s v="2TEKC003AR208DI"/>
    <n v="2"/>
    <x v="7"/>
    <x v="7"/>
    <n v="18"/>
    <m/>
    <s v="TB222"/>
    <s v="208BN"/>
    <s v="8A"/>
    <s v="8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52"/>
    <s v="2TETN003HXT"/>
    <s v="2TETN-003PO"/>
    <s v="QF"/>
    <s v="R2TETN003PO_QF"/>
    <s v="2TETN-003PO启反馈"/>
    <s v="TETN"/>
    <s v="1812-B1132YKS07-001-091"/>
    <x v="1"/>
    <s v="DI211"/>
    <x v="26"/>
    <s v="2TEKC003AR208DI"/>
    <n v="2"/>
    <x v="7"/>
    <x v="8"/>
    <n v="18"/>
    <m/>
    <s v="TB222"/>
    <s v="208BN"/>
    <s v="9A"/>
    <s v="9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53"/>
    <s v="2TETN003HXT"/>
    <s v="2TETN-003PO"/>
    <s v="TF"/>
    <s v="R2TETN003PO_TF"/>
    <s v="2TETN-003PO停反馈"/>
    <s v="TETN"/>
    <s v="1812-B1132YKS07-001-091"/>
    <x v="1"/>
    <s v="DI211"/>
    <x v="26"/>
    <s v="2TEKC003AR208DI"/>
    <n v="2"/>
    <x v="7"/>
    <x v="9"/>
    <n v="18"/>
    <m/>
    <s v="TB222"/>
    <s v="208BN"/>
    <s v="10A"/>
    <s v="10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54"/>
    <s v="2TETN003HXT"/>
    <s v="2TETN-003PO"/>
    <s v="FS"/>
    <s v="R2TETN003PO_FS"/>
    <s v="2TETN-003PO故障"/>
    <s v="TETN"/>
    <s v="1812-B1132YKS07-001-091"/>
    <x v="1"/>
    <s v="DI211"/>
    <x v="26"/>
    <s v="2TEKC003AR208DI"/>
    <n v="2"/>
    <x v="7"/>
    <x v="10"/>
    <n v="18"/>
    <m/>
    <s v="TB222"/>
    <s v="208BN"/>
    <s v="11A"/>
    <s v="1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55"/>
    <s v="2TETN003HXT"/>
    <s v="2TETN-003PO"/>
    <s v="YC"/>
    <s v="R2TETN003PO_YC"/>
    <s v="2TETN-003PO远程控制"/>
    <s v="TETN"/>
    <s v="1812-B1132YKS07-001-091"/>
    <x v="1"/>
    <s v="DI211"/>
    <x v="26"/>
    <s v="2TEKC003AR208DI"/>
    <n v="2"/>
    <x v="7"/>
    <x v="11"/>
    <n v="18"/>
    <m/>
    <s v="TB222"/>
    <s v="208BN"/>
    <s v="12A"/>
    <s v="1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56"/>
    <s v="备用"/>
    <s v="2TEKC003AR208DICH13"/>
    <m/>
    <s v="R2TEKC003AR208DICH13"/>
    <s v="备用"/>
    <s v="TETN"/>
    <m/>
    <x v="1"/>
    <s v="DI211"/>
    <x v="26"/>
    <s v="2TEKC003AR208DI"/>
    <n v="2"/>
    <x v="7"/>
    <x v="12"/>
    <n v="18"/>
    <m/>
    <s v="TB222"/>
    <s v="208BN"/>
    <s v="13A"/>
    <s v="1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57"/>
    <s v="备用"/>
    <s v="2TEKC003AR208DICH14"/>
    <m/>
    <s v="R2TEKC003AR208DICH14"/>
    <s v="备用"/>
    <s v="TETN"/>
    <m/>
    <x v="1"/>
    <s v="DI211"/>
    <x v="26"/>
    <s v="2TEKC003AR208DI"/>
    <n v="2"/>
    <x v="7"/>
    <x v="13"/>
    <n v="18"/>
    <m/>
    <s v="TB222"/>
    <s v="208BN"/>
    <s v="14A"/>
    <s v="1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58"/>
    <s v="备用"/>
    <s v="2TEKC003AR208DICH15"/>
    <m/>
    <s v="R2TEKC003AR208DICH15"/>
    <s v="备用"/>
    <s v="TETN"/>
    <m/>
    <x v="1"/>
    <s v="DI211"/>
    <x v="26"/>
    <s v="2TEKC003AR208DI"/>
    <n v="2"/>
    <x v="7"/>
    <x v="14"/>
    <n v="18"/>
    <m/>
    <s v="TB222"/>
    <s v="208BN"/>
    <s v="15A"/>
    <s v="1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59"/>
    <s v="备用"/>
    <s v="2TEKC003AR208DICH16"/>
    <m/>
    <s v="R2TEKC003AR208DICH16"/>
    <s v="备用"/>
    <s v="TETN"/>
    <m/>
    <x v="1"/>
    <s v="DI211"/>
    <x v="26"/>
    <s v="2TEKC003AR208DI"/>
    <n v="2"/>
    <x v="7"/>
    <x v="15"/>
    <n v="18"/>
    <m/>
    <s v="TB222"/>
    <s v="208BN"/>
    <s v="16A"/>
    <s v="1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60"/>
    <s v="2TETN003HXT"/>
    <s v="2TETN-004PO"/>
    <s v="QF"/>
    <s v="R2TETN004PO_QF"/>
    <s v="2TETN-004PO启反馈"/>
    <s v="TETN"/>
    <s v="1812-B1132YKS07-001-092"/>
    <x v="1"/>
    <s v="DI211"/>
    <x v="27"/>
    <s v="2TEKC003AR209DI"/>
    <n v="2"/>
    <x v="6"/>
    <x v="0"/>
    <n v="19"/>
    <m/>
    <s v="TB222"/>
    <s v="209BN"/>
    <s v="1A"/>
    <s v="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61"/>
    <s v="2TETN003HXT"/>
    <s v="2TETN-004PO"/>
    <s v="TF"/>
    <s v="R2TETN004PO_TF"/>
    <s v="2TETN-004PO停反馈"/>
    <s v="TETN"/>
    <s v="1812-B1132YKS07-001-092"/>
    <x v="1"/>
    <s v="DI211"/>
    <x v="27"/>
    <s v="2TEKC003AR209DI"/>
    <n v="2"/>
    <x v="6"/>
    <x v="1"/>
    <n v="19"/>
    <m/>
    <s v="TB222"/>
    <s v="209BN"/>
    <s v="2A"/>
    <s v="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62"/>
    <s v="2TETN003HXT"/>
    <s v="2TETN-004PO"/>
    <s v="FS"/>
    <s v="R2TETN004PO_FS"/>
    <s v="2TETN-004PO故障"/>
    <s v="TETN"/>
    <s v="1812-B1132YKS07-001-092"/>
    <x v="1"/>
    <s v="DI211"/>
    <x v="27"/>
    <s v="2TEKC003AR209DI"/>
    <n v="2"/>
    <x v="6"/>
    <x v="2"/>
    <n v="19"/>
    <m/>
    <s v="TB222"/>
    <s v="209BN"/>
    <s v="3A"/>
    <s v="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63"/>
    <s v="2TETN003HXT"/>
    <s v="2TETN-004PO"/>
    <s v="YC"/>
    <s v="R2TETN004PO_YC"/>
    <s v="2TETN-004PO远程控制"/>
    <s v="TETN"/>
    <s v="1812-B1132YKS07-001-092"/>
    <x v="1"/>
    <s v="DI211"/>
    <x v="27"/>
    <s v="2TEKC003AR209DI"/>
    <n v="2"/>
    <x v="6"/>
    <x v="3"/>
    <n v="19"/>
    <m/>
    <s v="TB222"/>
    <s v="209BN"/>
    <s v="4A"/>
    <s v="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64"/>
    <s v="2TETN004HXT"/>
    <s v="2TETN-005PO"/>
    <s v="QF"/>
    <s v="R2TETN005PO_QF"/>
    <s v="2TETN-005PO启反馈"/>
    <s v="TETN"/>
    <s v="1812-B1132YKS07-001-093"/>
    <x v="1"/>
    <s v="DI211"/>
    <x v="27"/>
    <s v="2TEKC003AR209DI"/>
    <n v="2"/>
    <x v="6"/>
    <x v="4"/>
    <n v="19"/>
    <m/>
    <s v="TB222"/>
    <s v="209BN"/>
    <s v="5A"/>
    <s v="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65"/>
    <s v="2TETN004HXT"/>
    <s v="2TETN-005PO"/>
    <s v="TF"/>
    <s v="R2TETN005PO_TF"/>
    <s v="2TETN-005PO停反馈"/>
    <s v="TETN"/>
    <s v="1812-B1132YKS07-001-093"/>
    <x v="1"/>
    <s v="DI211"/>
    <x v="27"/>
    <s v="2TEKC003AR209DI"/>
    <n v="2"/>
    <x v="6"/>
    <x v="5"/>
    <n v="19"/>
    <m/>
    <s v="TB222"/>
    <s v="209BN"/>
    <s v="6A"/>
    <s v="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66"/>
    <s v="2TETN004HXT"/>
    <s v="2TETN-005PO"/>
    <s v="FS"/>
    <s v="R2TETN005PO_FS"/>
    <s v="2TETN-005PO故障"/>
    <s v="TETN"/>
    <s v="1812-B1132YKS07-001-093"/>
    <x v="1"/>
    <s v="DI211"/>
    <x v="27"/>
    <s v="2TEKC003AR209DI"/>
    <n v="2"/>
    <x v="6"/>
    <x v="6"/>
    <n v="19"/>
    <m/>
    <s v="TB222"/>
    <s v="209BN"/>
    <s v="7A"/>
    <s v="7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67"/>
    <s v="2TETN004HXT"/>
    <s v="2TETN-005PO"/>
    <s v="YC"/>
    <s v="R2TETN005PO_YC"/>
    <s v="2TETN-005PO远程控制"/>
    <s v="TETN"/>
    <s v="1812-B1132YKS07-001-093"/>
    <x v="1"/>
    <s v="DI211"/>
    <x v="27"/>
    <s v="2TEKC003AR209DI"/>
    <n v="2"/>
    <x v="6"/>
    <x v="7"/>
    <n v="19"/>
    <m/>
    <s v="TB222"/>
    <s v="209BN"/>
    <s v="8A"/>
    <s v="8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68"/>
    <s v="2TETN004HXT"/>
    <s v="2TETN-006PO"/>
    <s v="QF"/>
    <s v="R2TETN006PO_QF"/>
    <s v="2TETN-006PO启反馈"/>
    <s v="TETN"/>
    <s v="1812-B1132YKS07-001-094"/>
    <x v="1"/>
    <s v="DI211"/>
    <x v="27"/>
    <s v="2TEKC003AR209DI"/>
    <n v="2"/>
    <x v="6"/>
    <x v="8"/>
    <n v="19"/>
    <m/>
    <s v="TB222"/>
    <s v="209BN"/>
    <s v="9A"/>
    <s v="9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69"/>
    <s v="2TETN004HXT"/>
    <s v="2TETN-006PO"/>
    <s v="TF"/>
    <s v="R2TETN006PO_TF"/>
    <s v="2TETN-006PO停反馈"/>
    <s v="TETN"/>
    <s v="1812-B1132YKS07-001-094"/>
    <x v="1"/>
    <s v="DI211"/>
    <x v="27"/>
    <s v="2TEKC003AR209DI"/>
    <n v="2"/>
    <x v="6"/>
    <x v="9"/>
    <n v="19"/>
    <m/>
    <s v="TB222"/>
    <s v="209BN"/>
    <s v="10A"/>
    <s v="10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70"/>
    <s v="2TETN004HXT"/>
    <s v="2TETN-006PO"/>
    <s v="FS"/>
    <s v="R2TETN006PO_FS"/>
    <s v="2TETN-006PO故障"/>
    <s v="TETN"/>
    <s v="1812-B1132YKS07-001-094"/>
    <x v="1"/>
    <s v="DI211"/>
    <x v="27"/>
    <s v="2TEKC003AR209DI"/>
    <n v="2"/>
    <x v="6"/>
    <x v="10"/>
    <n v="19"/>
    <m/>
    <s v="TB222"/>
    <s v="209BN"/>
    <s v="11A"/>
    <s v="1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71"/>
    <s v="2TETN004HXT"/>
    <s v="2TETN-006PO"/>
    <s v="YC"/>
    <s v="R2TETN006PO_YC"/>
    <s v="2TETN-006PO远程控制"/>
    <s v="TETN"/>
    <s v="1812-B1132YKS07-001-094"/>
    <x v="1"/>
    <s v="DI211"/>
    <x v="27"/>
    <s v="2TEKC003AR209DI"/>
    <n v="2"/>
    <x v="6"/>
    <x v="11"/>
    <n v="19"/>
    <m/>
    <s v="TB222"/>
    <s v="209BN"/>
    <s v="12A"/>
    <s v="1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72"/>
    <s v="备用"/>
    <s v="2TEKC003AR209DICH13"/>
    <m/>
    <s v="R2TEKC003AR209DICH13"/>
    <s v="备用"/>
    <s v="TETN"/>
    <m/>
    <x v="1"/>
    <s v="DI211"/>
    <x v="27"/>
    <s v="2TEKC003AR209DI"/>
    <n v="2"/>
    <x v="6"/>
    <x v="12"/>
    <n v="19"/>
    <m/>
    <s v="TB222"/>
    <s v="209BN"/>
    <s v="13A"/>
    <s v="1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73"/>
    <s v="备用"/>
    <s v="2TEKC003AR209DICH14"/>
    <m/>
    <s v="R2TEKC003AR209DICH14"/>
    <s v="备用"/>
    <s v="TETN"/>
    <m/>
    <x v="1"/>
    <s v="DI211"/>
    <x v="27"/>
    <s v="2TEKC003AR209DI"/>
    <n v="2"/>
    <x v="6"/>
    <x v="13"/>
    <n v="19"/>
    <m/>
    <s v="TB222"/>
    <s v="209BN"/>
    <s v="14A"/>
    <s v="1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74"/>
    <s v="备用"/>
    <s v="2TEKC003AR209DICH15"/>
    <m/>
    <s v="R2TEKC003AR209DICH15"/>
    <s v="备用"/>
    <s v="TETN"/>
    <m/>
    <x v="1"/>
    <s v="DI211"/>
    <x v="27"/>
    <s v="2TEKC003AR209DI"/>
    <n v="2"/>
    <x v="6"/>
    <x v="14"/>
    <n v="19"/>
    <m/>
    <s v="TB222"/>
    <s v="209BN"/>
    <s v="15A"/>
    <s v="1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75"/>
    <s v="备用"/>
    <s v="2TEKC003AR209DICH16"/>
    <m/>
    <s v="R2TEKC003AR209DICH16"/>
    <s v="备用"/>
    <s v="TETN"/>
    <m/>
    <x v="1"/>
    <s v="DI211"/>
    <x v="27"/>
    <s v="2TEKC003AR209DI"/>
    <n v="2"/>
    <x v="6"/>
    <x v="15"/>
    <n v="19"/>
    <m/>
    <s v="TB222"/>
    <s v="209BN"/>
    <s v="16A"/>
    <s v="1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76"/>
    <s v="2TETN004HXT"/>
    <s v="2TETN-007PO"/>
    <s v="QF"/>
    <s v="R2TETN007PO_QF"/>
    <s v="2TETN-007PO启反馈"/>
    <s v="TETN"/>
    <s v="1812-B1132YKS07-001-095"/>
    <x v="1"/>
    <s v="DI211"/>
    <x v="28"/>
    <s v="2TEKC003AR210DI"/>
    <n v="2"/>
    <x v="8"/>
    <x v="0"/>
    <n v="20"/>
    <m/>
    <s v="TB222"/>
    <s v="210BN"/>
    <s v="1A"/>
    <s v="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77"/>
    <s v="2TETN004HXT"/>
    <s v="2TETN-007PO"/>
    <s v="TF"/>
    <s v="R2TETN007PO_TF"/>
    <s v="2TETN-007PO停反馈"/>
    <s v="TETN"/>
    <s v="1812-B1132YKS07-001-095"/>
    <x v="1"/>
    <s v="DI211"/>
    <x v="28"/>
    <s v="2TEKC003AR210DI"/>
    <n v="2"/>
    <x v="8"/>
    <x v="1"/>
    <n v="20"/>
    <m/>
    <s v="TB222"/>
    <s v="210BN"/>
    <s v="2A"/>
    <s v="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78"/>
    <s v="2TETN004HXT"/>
    <s v="2TETN-007PO"/>
    <s v="FS"/>
    <s v="R2TETN007PO_FS"/>
    <s v="2TETN-007PO故障"/>
    <s v="TETN"/>
    <s v="1812-B1132YKS07-001-095"/>
    <x v="1"/>
    <s v="DI211"/>
    <x v="28"/>
    <s v="2TEKC003AR210DI"/>
    <n v="2"/>
    <x v="8"/>
    <x v="2"/>
    <n v="20"/>
    <m/>
    <s v="TB222"/>
    <s v="210BN"/>
    <s v="3A"/>
    <s v="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79"/>
    <s v="2TETN004HXT"/>
    <s v="2TETN-007PO"/>
    <s v="YC"/>
    <s v="R2TETN007PO_YC"/>
    <s v="2TETN-007PO远程控制"/>
    <s v="TETN"/>
    <s v="1812-B1132YKS07-001-095"/>
    <x v="1"/>
    <s v="DI211"/>
    <x v="28"/>
    <s v="2TEKC003AR210DI"/>
    <n v="2"/>
    <x v="8"/>
    <x v="3"/>
    <n v="20"/>
    <m/>
    <s v="TB222"/>
    <s v="210BN"/>
    <s v="4A"/>
    <s v="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80"/>
    <s v="2TETN004HXT"/>
    <s v="2TETN-008PO"/>
    <s v="QF"/>
    <s v="R2TETN008PO_QF"/>
    <s v="2TETN-008PO启反馈"/>
    <s v="TETN"/>
    <s v="1812-B1132YKS07-001-096"/>
    <x v="1"/>
    <s v="DI211"/>
    <x v="28"/>
    <s v="2TEKC003AR210DI"/>
    <n v="2"/>
    <x v="8"/>
    <x v="4"/>
    <n v="20"/>
    <m/>
    <s v="TB222"/>
    <s v="210BN"/>
    <s v="5A"/>
    <s v="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81"/>
    <s v="2TETN004HXT"/>
    <s v="2TETN-008PO"/>
    <s v="TF"/>
    <s v="R2TETN008PO_TF"/>
    <s v="2TETN-008PO停反馈"/>
    <s v="TETN"/>
    <s v="1812-B1132YKS07-001-096"/>
    <x v="1"/>
    <s v="DI211"/>
    <x v="28"/>
    <s v="2TEKC003AR210DI"/>
    <n v="2"/>
    <x v="8"/>
    <x v="5"/>
    <n v="20"/>
    <m/>
    <s v="TB222"/>
    <s v="210BN"/>
    <s v="6A"/>
    <s v="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82"/>
    <s v="2TETN004HXT"/>
    <s v="2TETN-008PO"/>
    <s v="FS"/>
    <s v="R2TETN008PO_FS"/>
    <s v="2TETN-008PO故障"/>
    <s v="TETN"/>
    <s v="1812-B1132YKS07-001-096"/>
    <x v="1"/>
    <s v="DI211"/>
    <x v="28"/>
    <s v="2TEKC003AR210DI"/>
    <n v="2"/>
    <x v="8"/>
    <x v="6"/>
    <n v="20"/>
    <m/>
    <s v="TB222"/>
    <s v="210BN"/>
    <s v="7A"/>
    <s v="7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83"/>
    <s v="2TETN004HXT"/>
    <s v="2TETN-008PO"/>
    <s v="YC"/>
    <s v="R2TETN008PO_YC"/>
    <s v="2TETN-007PO远程控制"/>
    <s v="TETN"/>
    <s v="1812-B1132YKS07-001-096"/>
    <x v="1"/>
    <s v="DI211"/>
    <x v="28"/>
    <s v="2TEKC003AR210DI"/>
    <n v="2"/>
    <x v="8"/>
    <x v="7"/>
    <n v="20"/>
    <m/>
    <s v="TB222"/>
    <s v="210BN"/>
    <s v="8A"/>
    <s v="8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84"/>
    <s v="2TETN005HXT"/>
    <s v="2TETN-009PO"/>
    <s v="QF"/>
    <s v="R2TETN009PO_QF"/>
    <s v="2TETN-009PO启反馈"/>
    <s v="TETN"/>
    <s v="1812-B1132YKS07-001-097"/>
    <x v="1"/>
    <s v="DI211"/>
    <x v="28"/>
    <s v="2TEKC003AR210DI"/>
    <n v="2"/>
    <x v="8"/>
    <x v="8"/>
    <n v="20"/>
    <m/>
    <s v="TB222"/>
    <s v="210BN"/>
    <s v="9A"/>
    <s v="9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85"/>
    <s v="2TETN005HXT"/>
    <s v="2TETN-009PO"/>
    <s v="TF"/>
    <s v="R2TETN009PO_TF"/>
    <s v="2TETN-009PO停反馈"/>
    <s v="TETN"/>
    <s v="1812-B1132YKS07-001-097"/>
    <x v="1"/>
    <s v="DI211"/>
    <x v="28"/>
    <s v="2TEKC003AR210DI"/>
    <n v="2"/>
    <x v="8"/>
    <x v="9"/>
    <n v="20"/>
    <m/>
    <s v="TB222"/>
    <s v="210BN"/>
    <s v="10A"/>
    <s v="10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86"/>
    <s v="2TETN005HXT"/>
    <s v="2TETN-009PO"/>
    <s v="FS"/>
    <s v="R2TETN009PO_FS"/>
    <s v="2TETN-009PO故障"/>
    <s v="TETN"/>
    <s v="1812-B1132YKS07-001-097"/>
    <x v="1"/>
    <s v="DI211"/>
    <x v="28"/>
    <s v="2TEKC003AR210DI"/>
    <n v="2"/>
    <x v="8"/>
    <x v="10"/>
    <n v="20"/>
    <m/>
    <s v="TB222"/>
    <s v="210BN"/>
    <s v="11A"/>
    <s v="1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87"/>
    <s v="2TETN005HXT"/>
    <s v="2TETN-009PO"/>
    <s v="YC"/>
    <s v="R2TETN009PO_YC"/>
    <s v="2TETN-009PO远程控制"/>
    <s v="TETN"/>
    <s v="1812-B1132YKS07-001-097"/>
    <x v="1"/>
    <s v="DI211"/>
    <x v="28"/>
    <s v="2TEKC003AR210DI"/>
    <n v="2"/>
    <x v="8"/>
    <x v="11"/>
    <n v="20"/>
    <m/>
    <s v="TB222"/>
    <s v="210BN"/>
    <s v="12A"/>
    <s v="1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88"/>
    <s v="备用"/>
    <s v="2TEKC003AR210DICH13"/>
    <m/>
    <s v="R2TEKC003AR210DICH13"/>
    <s v="备用"/>
    <s v="TETN"/>
    <m/>
    <x v="1"/>
    <s v="DI211"/>
    <x v="28"/>
    <s v="2TEKC003AR210DI"/>
    <n v="2"/>
    <x v="8"/>
    <x v="12"/>
    <n v="20"/>
    <m/>
    <s v="TB222"/>
    <s v="210BN"/>
    <s v="13A"/>
    <s v="1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89"/>
    <s v="备用"/>
    <s v="2TEKC003AR210DICH14"/>
    <m/>
    <s v="R2TEKC003AR210DICH14"/>
    <s v="备用"/>
    <s v="TETN"/>
    <m/>
    <x v="1"/>
    <s v="DI211"/>
    <x v="28"/>
    <s v="2TEKC003AR210DI"/>
    <n v="2"/>
    <x v="8"/>
    <x v="13"/>
    <n v="20"/>
    <m/>
    <s v="TB222"/>
    <s v="210BN"/>
    <s v="14A"/>
    <s v="1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90"/>
    <s v="备用"/>
    <s v="2TEKC003AR210DICH15"/>
    <m/>
    <s v="R2TEKC003AR210DICH15"/>
    <s v="备用"/>
    <s v="TETN"/>
    <m/>
    <x v="1"/>
    <s v="DI211"/>
    <x v="28"/>
    <s v="2TEKC003AR210DI"/>
    <n v="2"/>
    <x v="8"/>
    <x v="14"/>
    <n v="20"/>
    <m/>
    <s v="TB222"/>
    <s v="210BN"/>
    <s v="15A"/>
    <s v="1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91"/>
    <s v="备用"/>
    <s v="2TEKC003AR210DICH16"/>
    <m/>
    <s v="R2TEKC003AR210DICH16"/>
    <s v="备用"/>
    <s v="TETN"/>
    <m/>
    <x v="1"/>
    <s v="DI211"/>
    <x v="28"/>
    <s v="2TEKC003AR210DI"/>
    <n v="2"/>
    <x v="8"/>
    <x v="15"/>
    <n v="20"/>
    <m/>
    <s v="TB222"/>
    <s v="210BN"/>
    <s v="16A"/>
    <s v="1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92"/>
    <s v="2TETN005HXT"/>
    <s v="2TETN-010PO"/>
    <s v="QF"/>
    <s v="R2TETN010PO_QF"/>
    <s v="2TETN-010PO启反馈"/>
    <s v="TETN"/>
    <s v="1812-B1132YKS07-001-098"/>
    <x v="1"/>
    <s v="DI211"/>
    <x v="29"/>
    <s v="2TEKC003AR301DI"/>
    <n v="3"/>
    <x v="5"/>
    <x v="0"/>
    <n v="21"/>
    <m/>
    <s v="TB222"/>
    <s v="301BN"/>
    <s v="1A"/>
    <s v="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93"/>
    <s v="2TETN005HXT"/>
    <s v="2TETN-010PO"/>
    <s v="TF"/>
    <s v="R2TETN010PO_TF"/>
    <s v="2TETN-010PO停反馈"/>
    <s v="TETN"/>
    <s v="1812-B1132YKS07-001-098"/>
    <x v="1"/>
    <s v="DI211"/>
    <x v="29"/>
    <s v="2TEKC003AR301DI"/>
    <n v="3"/>
    <x v="5"/>
    <x v="1"/>
    <n v="21"/>
    <m/>
    <s v="TB222"/>
    <s v="301BN"/>
    <s v="2A"/>
    <s v="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94"/>
    <s v="2TETN005HXT"/>
    <s v="2TETN-010PO"/>
    <s v="FS"/>
    <s v="R2TETN010PO_FS"/>
    <s v="2TETN-010PO故障"/>
    <s v="TETN"/>
    <s v="1812-B1132YKS07-001-098"/>
    <x v="1"/>
    <s v="DI211"/>
    <x v="29"/>
    <s v="2TEKC003AR301DI"/>
    <n v="3"/>
    <x v="5"/>
    <x v="2"/>
    <n v="21"/>
    <m/>
    <s v="TB222"/>
    <s v="301BN"/>
    <s v="3A"/>
    <s v="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95"/>
    <s v="2TETN005HXT"/>
    <s v="2TETN-010PO"/>
    <s v="YC"/>
    <s v="R2TETN010PO_YC"/>
    <s v="2TETN-010PO远程控制"/>
    <s v="TETN"/>
    <s v="1812-B1132YKS07-001-098"/>
    <x v="1"/>
    <s v="DI211"/>
    <x v="29"/>
    <s v="2TEKC003AR301DI"/>
    <n v="3"/>
    <x v="5"/>
    <x v="3"/>
    <n v="21"/>
    <m/>
    <s v="TB222"/>
    <s v="301BN"/>
    <s v="4A"/>
    <s v="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96"/>
    <s v="2TETN006HXT"/>
    <s v="2TETN-011PO"/>
    <s v="QF"/>
    <s v="R2TETN011PO_QF"/>
    <s v="2TETN-011PO启反馈"/>
    <s v="TETN"/>
    <s v="1812-B1132YKS07-001-099"/>
    <x v="1"/>
    <s v="DI211"/>
    <x v="29"/>
    <s v="2TEKC003AR301DI"/>
    <n v="3"/>
    <x v="5"/>
    <x v="4"/>
    <n v="21"/>
    <m/>
    <s v="TB222"/>
    <s v="301BN"/>
    <s v="5A"/>
    <s v="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97"/>
    <s v="2TETN006HXT"/>
    <s v="2TETN-011PO"/>
    <s v="TF"/>
    <s v="R2TETN011PO_TF"/>
    <s v="2TETN-011PO停反馈"/>
    <s v="TETN"/>
    <s v="1812-B1132YKS07-001-099"/>
    <x v="1"/>
    <s v="DI211"/>
    <x v="29"/>
    <s v="2TEKC003AR301DI"/>
    <n v="3"/>
    <x v="5"/>
    <x v="5"/>
    <n v="21"/>
    <m/>
    <s v="TB222"/>
    <s v="301BN"/>
    <s v="6A"/>
    <s v="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98"/>
    <s v="2TETN006HXT"/>
    <s v="2TETN-011PO"/>
    <s v="FS"/>
    <s v="R2TETN011PO_FS"/>
    <s v="2TETN-011PO故障"/>
    <s v="TETN"/>
    <s v="1812-B1132YKS07-001-099"/>
    <x v="1"/>
    <s v="DI211"/>
    <x v="29"/>
    <s v="2TEKC003AR301DI"/>
    <n v="3"/>
    <x v="5"/>
    <x v="6"/>
    <n v="21"/>
    <m/>
    <s v="TB222"/>
    <s v="301BN"/>
    <s v="7A"/>
    <s v="7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399"/>
    <s v="2TETN006HXT"/>
    <s v="2TETN-011PO"/>
    <s v="YC"/>
    <s v="R2TETN011PO_YC"/>
    <s v="2TETN-011PO远程控制"/>
    <s v="TETN"/>
    <s v="1812-B1132YKS07-001-099"/>
    <x v="1"/>
    <s v="DI211"/>
    <x v="29"/>
    <s v="2TEKC003AR301DI"/>
    <n v="3"/>
    <x v="5"/>
    <x v="7"/>
    <n v="21"/>
    <m/>
    <s v="TB222"/>
    <s v="301BN"/>
    <s v="8A"/>
    <s v="8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00"/>
    <s v="2TETN006HXT"/>
    <s v="2TETN-012PO"/>
    <s v="QF"/>
    <s v="R2TETN012PO_QF"/>
    <s v="2TETN-012PO启反馈"/>
    <s v="TETN"/>
    <s v="1812-B1132YKS07-001-100"/>
    <x v="1"/>
    <s v="DI211"/>
    <x v="29"/>
    <s v="2TEKC003AR301DI"/>
    <n v="3"/>
    <x v="5"/>
    <x v="8"/>
    <n v="21"/>
    <m/>
    <s v="TB222"/>
    <s v="301BN"/>
    <s v="9A"/>
    <s v="9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01"/>
    <s v="2TETN006HXT"/>
    <s v="2TETN-012PO"/>
    <s v="TF"/>
    <s v="R2TETN012PO_TF"/>
    <s v="2TETN-012PO停反馈"/>
    <s v="TETN"/>
    <s v="1812-B1132YKS07-001-100"/>
    <x v="1"/>
    <s v="DI211"/>
    <x v="29"/>
    <s v="2TEKC003AR301DI"/>
    <n v="3"/>
    <x v="5"/>
    <x v="9"/>
    <n v="21"/>
    <m/>
    <s v="TB222"/>
    <s v="301BN"/>
    <s v="10A"/>
    <s v="10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02"/>
    <s v="2TETN006HXT"/>
    <s v="2TETN-012PO"/>
    <s v="FS"/>
    <s v="R2TETN012PO_FS"/>
    <s v="2TETN-012PO故障"/>
    <s v="TETN"/>
    <s v="1812-B1132YKS07-001-100"/>
    <x v="1"/>
    <s v="DI211"/>
    <x v="29"/>
    <s v="2TEKC003AR301DI"/>
    <n v="3"/>
    <x v="5"/>
    <x v="10"/>
    <n v="21"/>
    <m/>
    <s v="TB222"/>
    <s v="301BN"/>
    <s v="11A"/>
    <s v="1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03"/>
    <s v="2TETN006HXT"/>
    <s v="2TETN-012PO"/>
    <s v="YC"/>
    <s v="R2TETN012PO_YC"/>
    <s v="2TETN-012PO远程控制"/>
    <s v="TETN"/>
    <s v="1812-B1132YKS07-001-100"/>
    <x v="1"/>
    <s v="DI211"/>
    <x v="29"/>
    <s v="2TEKC003AR301DI"/>
    <n v="3"/>
    <x v="5"/>
    <x v="11"/>
    <n v="21"/>
    <m/>
    <s v="TB222"/>
    <s v="301BN"/>
    <s v="12A"/>
    <s v="1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04"/>
    <s v="备用"/>
    <s v="2TEKC003AR301DICH13"/>
    <m/>
    <s v="R2TEKC003AR301DICH13"/>
    <s v="备用"/>
    <s v="TETN"/>
    <m/>
    <x v="1"/>
    <s v="DI211"/>
    <x v="29"/>
    <s v="2TEKC003AR301DI"/>
    <n v="3"/>
    <x v="5"/>
    <x v="12"/>
    <n v="21"/>
    <m/>
    <s v="TB222"/>
    <s v="301BN"/>
    <s v="13A"/>
    <s v="1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05"/>
    <s v="备用"/>
    <s v="2TEKC003AR301DICH14"/>
    <m/>
    <s v="R2TEKC003AR301DICH14"/>
    <s v="备用"/>
    <s v="TETN"/>
    <m/>
    <x v="1"/>
    <s v="DI211"/>
    <x v="29"/>
    <s v="2TEKC003AR301DI"/>
    <n v="3"/>
    <x v="5"/>
    <x v="13"/>
    <n v="21"/>
    <m/>
    <s v="TB222"/>
    <s v="301BN"/>
    <s v="14A"/>
    <s v="1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06"/>
    <s v="备用"/>
    <s v="2TEKC003AR301DICH15"/>
    <m/>
    <s v="R2TEKC003AR301DICH15"/>
    <s v="备用"/>
    <s v="TETN"/>
    <m/>
    <x v="1"/>
    <s v="DI211"/>
    <x v="29"/>
    <s v="2TEKC003AR301DI"/>
    <n v="3"/>
    <x v="5"/>
    <x v="14"/>
    <n v="21"/>
    <m/>
    <s v="TB222"/>
    <s v="301BN"/>
    <s v="15A"/>
    <s v="1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07"/>
    <s v="备用"/>
    <s v="2TEKC003AR301DICH16"/>
    <m/>
    <s v="R2TEKC003AR301DICH16"/>
    <s v="备用"/>
    <s v="TETN"/>
    <m/>
    <x v="1"/>
    <s v="DI211"/>
    <x v="29"/>
    <s v="2TEKC003AR301DI"/>
    <n v="3"/>
    <x v="5"/>
    <x v="15"/>
    <n v="21"/>
    <m/>
    <s v="TB222"/>
    <s v="301BN"/>
    <s v="16A"/>
    <s v="1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08"/>
    <s v="2TETN006HXT"/>
    <s v="2TETN-013PO"/>
    <s v="QF"/>
    <s v="R2TETN013PO_QF"/>
    <s v="2TETN-013PO启反馈"/>
    <s v="TETN"/>
    <s v="1812-B1132YKS07-001-101"/>
    <x v="1"/>
    <s v="DI211"/>
    <x v="30"/>
    <s v="2TEKC003AR302DI"/>
    <n v="3"/>
    <x v="9"/>
    <x v="0"/>
    <n v="22"/>
    <m/>
    <s v="TB222"/>
    <s v="302BN"/>
    <s v="1A"/>
    <s v="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09"/>
    <s v="2TETN006HXT"/>
    <s v="2TETN-013PO"/>
    <s v="TF"/>
    <s v="R2TETN013PO_TF"/>
    <s v="2TETN-013PO停反馈"/>
    <s v="TETN"/>
    <s v="1812-B1132YKS07-001-101"/>
    <x v="1"/>
    <s v="DI211"/>
    <x v="30"/>
    <s v="2TEKC003AR302DI"/>
    <n v="3"/>
    <x v="9"/>
    <x v="1"/>
    <n v="22"/>
    <m/>
    <s v="TB222"/>
    <s v="302BN"/>
    <s v="2A"/>
    <s v="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10"/>
    <s v="2TETN006HXT"/>
    <s v="2TETN-013PO"/>
    <s v="FS"/>
    <s v="R2TETN013PO_FS"/>
    <s v="2TETN-013PO故障"/>
    <s v="TETN"/>
    <s v="1812-B1132YKS07-001-101"/>
    <x v="1"/>
    <s v="DI211"/>
    <x v="30"/>
    <s v="2TEKC003AR302DI"/>
    <n v="3"/>
    <x v="9"/>
    <x v="2"/>
    <n v="22"/>
    <m/>
    <s v="TB222"/>
    <s v="302BN"/>
    <s v="3A"/>
    <s v="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11"/>
    <s v="2TETN006HXT"/>
    <s v="2TETN-013PO"/>
    <s v="YC"/>
    <s v="R2TETN013PO_YC"/>
    <s v="2TETN-013PO远程控制"/>
    <s v="TETN"/>
    <s v="1812-B1132YKS07-001-101"/>
    <x v="1"/>
    <s v="DI211"/>
    <x v="30"/>
    <s v="2TEKC003AR302DI"/>
    <n v="3"/>
    <x v="9"/>
    <x v="3"/>
    <n v="22"/>
    <m/>
    <s v="TB222"/>
    <s v="302BN"/>
    <s v="4A"/>
    <s v="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12"/>
    <s v="2TETN006HXT"/>
    <s v="2TETN-014PO"/>
    <s v="QF"/>
    <s v="R2TETN014PO_QF"/>
    <s v="2TETN-014PO启反馈"/>
    <s v="TETN"/>
    <s v="1812-B1132YKS07-001-102"/>
    <x v="1"/>
    <s v="DI211"/>
    <x v="30"/>
    <s v="2TEKC003AR302DI"/>
    <n v="3"/>
    <x v="9"/>
    <x v="4"/>
    <n v="22"/>
    <m/>
    <s v="TB222"/>
    <s v="302BN"/>
    <s v="5A"/>
    <s v="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13"/>
    <s v="2TETN006HXT"/>
    <s v="2TETN-014PO"/>
    <s v="TF"/>
    <s v="R2TETN014PO_TF"/>
    <s v="2TETN-014PO停反馈"/>
    <s v="TETN"/>
    <s v="1812-B1132YKS07-001-102"/>
    <x v="1"/>
    <s v="DI211"/>
    <x v="30"/>
    <s v="2TEKC003AR302DI"/>
    <n v="3"/>
    <x v="9"/>
    <x v="5"/>
    <n v="22"/>
    <m/>
    <s v="TB222"/>
    <s v="302BN"/>
    <s v="6A"/>
    <s v="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14"/>
    <s v="2TETN006HXT"/>
    <s v="2TETN-014PO"/>
    <s v="FS"/>
    <s v="R2TETN014PO_FS"/>
    <s v="2TETN-014PO故障"/>
    <s v="TETN"/>
    <s v="1812-B1132YKS07-001-102"/>
    <x v="1"/>
    <s v="DI211"/>
    <x v="30"/>
    <s v="2TEKC003AR302DI"/>
    <n v="3"/>
    <x v="9"/>
    <x v="6"/>
    <n v="22"/>
    <m/>
    <s v="TB222"/>
    <s v="302BN"/>
    <s v="7A"/>
    <s v="7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15"/>
    <s v="2TETN006HXT"/>
    <s v="2TETN-014PO"/>
    <s v="YC"/>
    <s v="R2TETN014PO_YC"/>
    <s v="2TETN-014PO远程控制"/>
    <s v="TETN"/>
    <s v="1812-B1132YKS07-001-102"/>
    <x v="1"/>
    <s v="DI211"/>
    <x v="30"/>
    <s v="2TEKC003AR302DI"/>
    <n v="3"/>
    <x v="9"/>
    <x v="7"/>
    <n v="22"/>
    <m/>
    <s v="TB222"/>
    <s v="302BN"/>
    <s v="8A"/>
    <s v="8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16"/>
    <s v="2TETN007HXT"/>
    <s v="2TETN-015PO"/>
    <s v="QF"/>
    <s v="R2TETN015PO_QF"/>
    <s v="2TETN-015PO启反馈"/>
    <s v="TETN"/>
    <s v="1812-B1132YKS07-001-103"/>
    <x v="1"/>
    <s v="DI211"/>
    <x v="30"/>
    <s v="2TEKC003AR302DI"/>
    <n v="3"/>
    <x v="9"/>
    <x v="8"/>
    <n v="22"/>
    <m/>
    <s v="TB222"/>
    <s v="302BN"/>
    <s v="9A"/>
    <s v="9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17"/>
    <s v="2TETN007HXT"/>
    <s v="2TETN-015PO"/>
    <s v="TF"/>
    <s v="R2TETN015PO_TF"/>
    <s v="2TETN-015PO停反馈"/>
    <s v="TETN"/>
    <s v="1812-B1132YKS07-001-103"/>
    <x v="1"/>
    <s v="DI211"/>
    <x v="30"/>
    <s v="2TEKC003AR302DI"/>
    <n v="3"/>
    <x v="9"/>
    <x v="9"/>
    <n v="22"/>
    <m/>
    <s v="TB222"/>
    <s v="302BN"/>
    <s v="10A"/>
    <s v="10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18"/>
    <s v="2TETN007HXT"/>
    <s v="2TETN-015PO"/>
    <s v="FS"/>
    <s v="R2TETN015PO_FS"/>
    <s v="2TETN-015PO故障"/>
    <s v="TETN"/>
    <s v="1812-B1132YKS07-001-103"/>
    <x v="1"/>
    <s v="DI211"/>
    <x v="30"/>
    <s v="2TEKC003AR302DI"/>
    <n v="3"/>
    <x v="9"/>
    <x v="10"/>
    <n v="22"/>
    <m/>
    <s v="TB222"/>
    <s v="302BN"/>
    <s v="11A"/>
    <s v="1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19"/>
    <s v="2TETN007HXT"/>
    <s v="2TETN-015PO"/>
    <s v="YC"/>
    <s v="R2TETN015PO_YC"/>
    <s v="2TETN-015PO远程控制"/>
    <s v="TETN"/>
    <s v="1812-B1132YKS07-001-103"/>
    <x v="1"/>
    <s v="DI211"/>
    <x v="30"/>
    <s v="2TEKC003AR302DI"/>
    <n v="3"/>
    <x v="9"/>
    <x v="11"/>
    <n v="22"/>
    <m/>
    <s v="TB222"/>
    <s v="302BN"/>
    <s v="12A"/>
    <s v="1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20"/>
    <s v="备用"/>
    <s v="2TEKC003AR302DICH13"/>
    <m/>
    <s v="R2TEKC003AR302DICH13"/>
    <s v="备用"/>
    <s v="TETN"/>
    <m/>
    <x v="1"/>
    <s v="DI211"/>
    <x v="30"/>
    <s v="2TEKC003AR302DI"/>
    <n v="3"/>
    <x v="9"/>
    <x v="12"/>
    <n v="22"/>
    <m/>
    <s v="TB222"/>
    <s v="302BN"/>
    <s v="13A"/>
    <s v="1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21"/>
    <s v="备用"/>
    <s v="2TEKC003AR302DICH14"/>
    <m/>
    <s v="R2TEKC003AR302DICH14"/>
    <s v="备用"/>
    <s v="TETN"/>
    <m/>
    <x v="1"/>
    <s v="DI211"/>
    <x v="30"/>
    <s v="2TEKC003AR302DI"/>
    <n v="3"/>
    <x v="9"/>
    <x v="13"/>
    <n v="22"/>
    <m/>
    <s v="TB222"/>
    <s v="302BN"/>
    <s v="14A"/>
    <s v="1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22"/>
    <s v="备用"/>
    <s v="2TEKC003AR302DICH15"/>
    <m/>
    <s v="R2TEKC003AR302DICH15"/>
    <s v="备用"/>
    <s v="TETN"/>
    <m/>
    <x v="1"/>
    <s v="DI211"/>
    <x v="30"/>
    <s v="2TEKC003AR302DI"/>
    <n v="3"/>
    <x v="9"/>
    <x v="14"/>
    <n v="22"/>
    <m/>
    <s v="TB222"/>
    <s v="302BN"/>
    <s v="15A"/>
    <s v="1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23"/>
    <s v="备用"/>
    <s v="2TEKC003AR302DICH16"/>
    <m/>
    <s v="R2TEKC003AR302DICH16"/>
    <s v="备用"/>
    <s v="TETN"/>
    <m/>
    <x v="1"/>
    <s v="DI211"/>
    <x v="30"/>
    <s v="2TEKC003AR302DI"/>
    <n v="3"/>
    <x v="9"/>
    <x v="15"/>
    <n v="22"/>
    <m/>
    <s v="TB222"/>
    <s v="302BN"/>
    <s v="16A"/>
    <s v="1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24"/>
    <s v="2TETN007HXT"/>
    <s v="2TETN-016PO"/>
    <s v="QF"/>
    <s v="R2TETN016PO_QF"/>
    <s v="2TETN-016PO启反馈"/>
    <s v="TETN"/>
    <s v="1812-B1132YKS07-001-104"/>
    <x v="1"/>
    <s v="DI211"/>
    <x v="10"/>
    <s v="2TEKC003AR303DI"/>
    <n v="3"/>
    <x v="0"/>
    <x v="0"/>
    <n v="23"/>
    <m/>
    <s v="TB222"/>
    <s v="303BN"/>
    <s v="1A"/>
    <s v="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25"/>
    <s v="2TETN007HXT"/>
    <s v="2TETN-016PO"/>
    <s v="TF"/>
    <s v="R2TETN016PO_TF"/>
    <s v="2TETN-016PO停反馈"/>
    <s v="TETN"/>
    <s v="1812-B1132YKS07-001-104"/>
    <x v="1"/>
    <s v="DI211"/>
    <x v="10"/>
    <s v="2TEKC003AR303DI"/>
    <n v="3"/>
    <x v="0"/>
    <x v="1"/>
    <n v="23"/>
    <m/>
    <s v="TB222"/>
    <s v="303BN"/>
    <s v="2A"/>
    <s v="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26"/>
    <s v="2TETN007HXT"/>
    <s v="2TETN-016PO"/>
    <s v="FS"/>
    <s v="R2TETN016PO_FS"/>
    <s v="2TETN-016PO故障"/>
    <s v="TETN"/>
    <s v="1812-B1132YKS07-001-104"/>
    <x v="1"/>
    <s v="DI211"/>
    <x v="10"/>
    <s v="2TEKC003AR303DI"/>
    <n v="3"/>
    <x v="0"/>
    <x v="2"/>
    <n v="23"/>
    <m/>
    <s v="TB222"/>
    <s v="303BN"/>
    <s v="3A"/>
    <s v="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27"/>
    <s v="2TETN007HXT"/>
    <s v="2TETN-016PO"/>
    <s v="YC"/>
    <s v="R2TETN016PO_YC"/>
    <s v="2TETN-016PO远程控制"/>
    <s v="TETN"/>
    <s v="1812-B1132YKS07-001-104"/>
    <x v="1"/>
    <s v="DI211"/>
    <x v="10"/>
    <s v="2TEKC003AR303DI"/>
    <n v="3"/>
    <x v="0"/>
    <x v="3"/>
    <n v="23"/>
    <m/>
    <s v="TB222"/>
    <s v="303BN"/>
    <s v="4A"/>
    <s v="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28"/>
    <s v="2TETN007HXT"/>
    <s v="2TETN-017PO"/>
    <s v="QF"/>
    <s v="R2TETN017PO_QF"/>
    <s v="2TETN-017PO启反馈"/>
    <s v="TETN"/>
    <s v="1812-B1132YKS07-001-105"/>
    <x v="1"/>
    <s v="DI211"/>
    <x v="10"/>
    <s v="2TEKC003AR303DI"/>
    <n v="3"/>
    <x v="0"/>
    <x v="4"/>
    <n v="23"/>
    <m/>
    <s v="TB222"/>
    <s v="303BN"/>
    <s v="5A"/>
    <s v="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29"/>
    <s v="2TETN007HXT"/>
    <s v="2TETN-017PO"/>
    <s v="TF"/>
    <s v="R2TETN017PO_TF"/>
    <s v="2TETN-017PO停反馈"/>
    <s v="TETN"/>
    <s v="1812-B1132YKS07-001-105"/>
    <x v="1"/>
    <s v="DI211"/>
    <x v="10"/>
    <s v="2TEKC003AR303DI"/>
    <n v="3"/>
    <x v="0"/>
    <x v="5"/>
    <n v="23"/>
    <m/>
    <s v="TB222"/>
    <s v="303BN"/>
    <s v="6A"/>
    <s v="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30"/>
    <s v="2TETN007HXT"/>
    <s v="2TETN-017PO"/>
    <s v="FS"/>
    <s v="R2TETN017PO_FS"/>
    <s v="2TETN-017PO故障"/>
    <s v="TETN"/>
    <s v="1812-B1132YKS07-001-105"/>
    <x v="1"/>
    <s v="DI211"/>
    <x v="10"/>
    <s v="2TEKC003AR303DI"/>
    <n v="3"/>
    <x v="0"/>
    <x v="6"/>
    <n v="23"/>
    <m/>
    <s v="TB222"/>
    <s v="303BN"/>
    <s v="7A"/>
    <s v="7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31"/>
    <s v="2TETN007HXT"/>
    <s v="2TETN-017PO"/>
    <s v="YC"/>
    <s v="R2TETN017PO_YC"/>
    <s v="2TETN-017PO远程控制"/>
    <s v="TETN"/>
    <s v="1812-B1132YKS07-001-105"/>
    <x v="1"/>
    <s v="DI211"/>
    <x v="10"/>
    <s v="2TEKC003AR303DI"/>
    <n v="3"/>
    <x v="0"/>
    <x v="7"/>
    <n v="23"/>
    <m/>
    <s v="TB222"/>
    <s v="303BN"/>
    <s v="8A"/>
    <s v="8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32"/>
    <s v="2TETN007HXT"/>
    <s v="2TETN-018PO"/>
    <s v="QF"/>
    <s v="R2TETN018PO_QF"/>
    <s v="2TETN-018PO启反馈"/>
    <s v="TETN"/>
    <s v="1812-B1132YKS07-001-106"/>
    <x v="1"/>
    <s v="DI211"/>
    <x v="10"/>
    <s v="2TEKC003AR303DI"/>
    <n v="3"/>
    <x v="0"/>
    <x v="8"/>
    <n v="23"/>
    <m/>
    <s v="TB222"/>
    <s v="303BN"/>
    <s v="9A"/>
    <s v="9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33"/>
    <s v="2TETN007HXT"/>
    <s v="2TETN-018PO"/>
    <s v="TF"/>
    <s v="R2TETN018PO_TF"/>
    <s v="2TETN-018PO停反馈"/>
    <s v="TETN"/>
    <s v="1812-B1132YKS07-001-106"/>
    <x v="1"/>
    <s v="DI211"/>
    <x v="10"/>
    <s v="2TEKC003AR303DI"/>
    <n v="3"/>
    <x v="0"/>
    <x v="9"/>
    <n v="23"/>
    <m/>
    <s v="TB222"/>
    <s v="303BN"/>
    <s v="10A"/>
    <s v="10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34"/>
    <s v="2TETN007HXT"/>
    <s v="2TETN-018PO"/>
    <s v="FS"/>
    <s v="R2TETN018PO_FS"/>
    <s v="2TETN-018PO故障"/>
    <s v="TETN"/>
    <s v="1812-B1132YKS07-001-106"/>
    <x v="1"/>
    <s v="DI211"/>
    <x v="10"/>
    <s v="2TEKC003AR303DI"/>
    <n v="3"/>
    <x v="0"/>
    <x v="10"/>
    <n v="23"/>
    <m/>
    <s v="TB222"/>
    <s v="303BN"/>
    <s v="11A"/>
    <s v="1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35"/>
    <s v="2TETN007HXT"/>
    <s v="2TETN-018PO"/>
    <s v="YC"/>
    <s v="R2TETN018PO_YC"/>
    <s v="2TETN-018PO远程控制"/>
    <s v="TETN"/>
    <s v="1812-B1132YKS07-001-106"/>
    <x v="1"/>
    <s v="DI211"/>
    <x v="10"/>
    <s v="2TEKC003AR303DI"/>
    <n v="3"/>
    <x v="0"/>
    <x v="11"/>
    <n v="23"/>
    <m/>
    <s v="TB222"/>
    <s v="303BN"/>
    <s v="12A"/>
    <s v="1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36"/>
    <s v="备用"/>
    <s v="2TEKC003AR303DICH13"/>
    <m/>
    <s v="R2TEKC003AR303DICH13"/>
    <s v="备用"/>
    <s v="TETN"/>
    <m/>
    <x v="1"/>
    <s v="DI211"/>
    <x v="10"/>
    <s v="2TEKC003AR303DI"/>
    <n v="3"/>
    <x v="0"/>
    <x v="12"/>
    <n v="23"/>
    <m/>
    <s v="TB222"/>
    <s v="303BN"/>
    <s v="13A"/>
    <s v="1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37"/>
    <s v="备用"/>
    <s v="2TEKC003AR303DICH14"/>
    <m/>
    <s v="R2TEKC003AR303DICH14"/>
    <s v="备用"/>
    <s v="TETN"/>
    <m/>
    <x v="1"/>
    <s v="DI211"/>
    <x v="10"/>
    <s v="2TEKC003AR303DI"/>
    <n v="3"/>
    <x v="0"/>
    <x v="13"/>
    <n v="23"/>
    <m/>
    <s v="TB222"/>
    <s v="303BN"/>
    <s v="14A"/>
    <s v="1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38"/>
    <s v="备用"/>
    <s v="2TEKC003AR303DICH15"/>
    <m/>
    <s v="R2TEKC003AR303DICH15"/>
    <s v="备用"/>
    <s v="TETN"/>
    <m/>
    <x v="1"/>
    <s v="DI211"/>
    <x v="10"/>
    <s v="2TEKC003AR303DI"/>
    <n v="3"/>
    <x v="0"/>
    <x v="14"/>
    <n v="23"/>
    <m/>
    <s v="TB222"/>
    <s v="303BN"/>
    <s v="15A"/>
    <s v="1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39"/>
    <s v="备用"/>
    <s v="2TEKC003AR303DICH16"/>
    <m/>
    <s v="R2TEKC003AR303DICH16"/>
    <s v="备用"/>
    <s v="TETN"/>
    <m/>
    <x v="1"/>
    <s v="DI211"/>
    <x v="10"/>
    <s v="2TEKC003AR303DI"/>
    <n v="3"/>
    <x v="0"/>
    <x v="15"/>
    <n v="23"/>
    <m/>
    <s v="TB222"/>
    <s v="303BN"/>
    <s v="16A"/>
    <s v="1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40"/>
    <s v="2TETN008HXT"/>
    <s v="2TETN-019PO"/>
    <s v="QF"/>
    <s v="R2TETN019PO_QF"/>
    <s v="2TETN-019PO启反馈"/>
    <s v="TETN"/>
    <s v="1812-B1132YKS07-001-107"/>
    <x v="1"/>
    <s v="DI211"/>
    <x v="31"/>
    <s v="2TEKC003AR304DI"/>
    <n v="3"/>
    <x v="1"/>
    <x v="0"/>
    <n v="24"/>
    <m/>
    <s v="TB222"/>
    <s v="304BN"/>
    <s v="1A"/>
    <s v="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41"/>
    <s v="2TETN008HXT"/>
    <s v="2TETN-019PO"/>
    <s v="TF"/>
    <s v="R2TETN019PO_TF"/>
    <s v="2TETN-019PO停反馈"/>
    <s v="TETN"/>
    <s v="1812-B1132YKS07-001-107"/>
    <x v="1"/>
    <s v="DI211"/>
    <x v="31"/>
    <s v="2TEKC003AR304DI"/>
    <n v="3"/>
    <x v="1"/>
    <x v="1"/>
    <n v="24"/>
    <m/>
    <s v="TB222"/>
    <s v="304BN"/>
    <s v="2A"/>
    <s v="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42"/>
    <s v="2TETN008HXT"/>
    <s v="2TETN-019PO"/>
    <s v="FS"/>
    <s v="R2TETN019PO_FS"/>
    <s v="2TETN-019PO故障"/>
    <s v="TETN"/>
    <s v="1812-B1132YKS07-001-107"/>
    <x v="1"/>
    <s v="DI211"/>
    <x v="31"/>
    <s v="2TEKC003AR304DI"/>
    <n v="3"/>
    <x v="1"/>
    <x v="2"/>
    <n v="24"/>
    <m/>
    <s v="TB222"/>
    <s v="304BN"/>
    <s v="3A"/>
    <s v="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43"/>
    <s v="2TETN008HXT"/>
    <s v="2TETN-019PO"/>
    <s v="YC"/>
    <s v="R2TETN019PO_YC"/>
    <s v="2TETN-019PO远程控制"/>
    <s v="TETN"/>
    <s v="1812-B1132YKS07-001-107"/>
    <x v="1"/>
    <s v="DI211"/>
    <x v="31"/>
    <s v="2TEKC003AR304DI"/>
    <n v="3"/>
    <x v="1"/>
    <x v="3"/>
    <n v="24"/>
    <m/>
    <s v="TB222"/>
    <s v="304BN"/>
    <s v="4A"/>
    <s v="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44"/>
    <s v="2TETN008HXT"/>
    <s v="2TETN-020PO"/>
    <s v="QF"/>
    <s v="R2TETN020PO_QF"/>
    <s v="2TETN-020PO启反馈"/>
    <s v="TETN"/>
    <s v="1812-B1132YKS07-001-108"/>
    <x v="1"/>
    <s v="DI211"/>
    <x v="31"/>
    <s v="2TEKC003AR304DI"/>
    <n v="3"/>
    <x v="1"/>
    <x v="4"/>
    <n v="24"/>
    <m/>
    <s v="TB222"/>
    <s v="304BN"/>
    <s v="5A"/>
    <s v="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45"/>
    <s v="2TETN008HXT"/>
    <s v="2TETN-020PO"/>
    <s v="TF"/>
    <s v="R2TETN020PO_TF"/>
    <s v="2TETN-020PO停反馈"/>
    <s v="TETN"/>
    <s v="1812-B1132YKS07-001-108"/>
    <x v="1"/>
    <s v="DI211"/>
    <x v="31"/>
    <s v="2TEKC003AR304DI"/>
    <n v="3"/>
    <x v="1"/>
    <x v="5"/>
    <n v="24"/>
    <m/>
    <s v="TB222"/>
    <s v="304BN"/>
    <s v="6A"/>
    <s v="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46"/>
    <s v="2TETN008HXT"/>
    <s v="2TETN-020PO"/>
    <s v="FS"/>
    <s v="R2TETN020PO_FS"/>
    <s v="2TETN-020PO故障"/>
    <s v="TETN"/>
    <s v="1812-B1132YKS07-001-108"/>
    <x v="1"/>
    <s v="DI211"/>
    <x v="31"/>
    <s v="2TEKC003AR304DI"/>
    <n v="3"/>
    <x v="1"/>
    <x v="6"/>
    <n v="24"/>
    <m/>
    <s v="TB222"/>
    <s v="304BN"/>
    <s v="7A"/>
    <s v="7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47"/>
    <s v="2TETN008HXT"/>
    <s v="2TETN-020PO"/>
    <s v="YC"/>
    <s v="R2TETN020PO_YC"/>
    <s v="2TETN-020PO远程控制"/>
    <s v="TETN"/>
    <s v="1812-B1132YKS07-001-108"/>
    <x v="1"/>
    <s v="DI211"/>
    <x v="31"/>
    <s v="2TEKC003AR304DI"/>
    <n v="3"/>
    <x v="1"/>
    <x v="7"/>
    <n v="24"/>
    <m/>
    <s v="TB222"/>
    <s v="304BN"/>
    <s v="8A"/>
    <s v="8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48"/>
    <s v="2TETN002HXT"/>
    <s v="2TETN-021PO"/>
    <s v="QF"/>
    <s v="R2TETN021PO_QF"/>
    <s v="2TETN-021PO启反馈"/>
    <s v="TETN"/>
    <s v="1812-B1132YKS07-001-109"/>
    <x v="1"/>
    <s v="DI211"/>
    <x v="31"/>
    <s v="2TEKC003AR304DI"/>
    <n v="3"/>
    <x v="1"/>
    <x v="8"/>
    <n v="24"/>
    <m/>
    <s v="TB222"/>
    <s v="304BN"/>
    <s v="9A"/>
    <s v="9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49"/>
    <s v="2TETN002HXT"/>
    <s v="2TETN-021PO"/>
    <s v="TF"/>
    <s v="R2TETN021PO_TF"/>
    <s v="2TETN-021PO停反馈"/>
    <s v="TETN"/>
    <s v="1812-B1132YKS07-001-109"/>
    <x v="1"/>
    <s v="DI211"/>
    <x v="31"/>
    <s v="2TEKC003AR304DI"/>
    <n v="3"/>
    <x v="1"/>
    <x v="9"/>
    <n v="24"/>
    <m/>
    <s v="TB222"/>
    <s v="304BN"/>
    <s v="10A"/>
    <s v="10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50"/>
    <s v="2TETN002HXT"/>
    <s v="2TETN-021PO"/>
    <s v="FS"/>
    <s v="R2TETN021PO_FS"/>
    <s v="2TETN-021PO故障"/>
    <s v="TETN"/>
    <s v="1812-B1132YKS07-001-109"/>
    <x v="1"/>
    <s v="DI211"/>
    <x v="31"/>
    <s v="2TEKC003AR304DI"/>
    <n v="3"/>
    <x v="1"/>
    <x v="10"/>
    <n v="24"/>
    <m/>
    <s v="TB222"/>
    <s v="304BN"/>
    <s v="11A"/>
    <s v="1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51"/>
    <s v="2TETN002HXT"/>
    <s v="2TETN-021PO"/>
    <s v="YC"/>
    <s v="R2TETN021PO_YC"/>
    <s v="2TETN-021PO远程控制"/>
    <s v="TETN"/>
    <s v="1812-B1132YKS07-001-109"/>
    <x v="1"/>
    <s v="DI211"/>
    <x v="31"/>
    <s v="2TEKC003AR304DI"/>
    <n v="3"/>
    <x v="1"/>
    <x v="11"/>
    <n v="24"/>
    <m/>
    <s v="TB222"/>
    <s v="304BN"/>
    <s v="12A"/>
    <s v="1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52"/>
    <s v="备用"/>
    <s v="2TEKC003AR304DICH13"/>
    <m/>
    <s v="R2TEKC003AR304DICH13"/>
    <s v="备用"/>
    <s v="TETN"/>
    <m/>
    <x v="1"/>
    <s v="DI211"/>
    <x v="31"/>
    <s v="2TEKC003AR304DI"/>
    <n v="3"/>
    <x v="1"/>
    <x v="12"/>
    <n v="24"/>
    <m/>
    <s v="TB222"/>
    <s v="304BN"/>
    <s v="13A"/>
    <s v="1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53"/>
    <s v="备用"/>
    <s v="2TEKC003AR304DICH14"/>
    <m/>
    <s v="R2TEKC003AR304DICH14"/>
    <s v="备用"/>
    <s v="TETN"/>
    <m/>
    <x v="1"/>
    <s v="DI211"/>
    <x v="31"/>
    <s v="2TEKC003AR304DI"/>
    <n v="3"/>
    <x v="1"/>
    <x v="13"/>
    <n v="24"/>
    <m/>
    <s v="TB222"/>
    <s v="304BN"/>
    <s v="14A"/>
    <s v="1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54"/>
    <s v="备用"/>
    <s v="2TEKC003AR304DICH15"/>
    <m/>
    <s v="R2TEKC003AR304DICH15"/>
    <s v="备用"/>
    <s v="TETN"/>
    <m/>
    <x v="1"/>
    <s v="DI211"/>
    <x v="31"/>
    <s v="2TEKC003AR304DI"/>
    <n v="3"/>
    <x v="1"/>
    <x v="14"/>
    <n v="24"/>
    <m/>
    <s v="TB222"/>
    <s v="304BN"/>
    <s v="15A"/>
    <s v="1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55"/>
    <s v="备用"/>
    <s v="2TEKC003AR304DICH16"/>
    <m/>
    <s v="R2TEKC003AR304DICH16"/>
    <s v="备用"/>
    <s v="TETN"/>
    <m/>
    <x v="1"/>
    <s v="DI211"/>
    <x v="31"/>
    <s v="2TEKC003AR304DI"/>
    <n v="3"/>
    <x v="1"/>
    <x v="15"/>
    <n v="24"/>
    <m/>
    <s v="TB222"/>
    <s v="304BN"/>
    <s v="16A"/>
    <s v="1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56"/>
    <s v="2TETN002HXT"/>
    <s v="2TETN-022PO"/>
    <s v="QF"/>
    <s v="R2TETN022PO_QF"/>
    <s v="2TETN-022PO启反馈"/>
    <s v="TETN"/>
    <s v="1812-B1132YKS07-001-110"/>
    <x v="1"/>
    <s v="DI211"/>
    <x v="32"/>
    <s v="2TEKC003AR305DI"/>
    <n v="3"/>
    <x v="2"/>
    <x v="0"/>
    <n v="25"/>
    <m/>
    <s v="TB222"/>
    <s v="305BN"/>
    <s v="1A"/>
    <s v="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57"/>
    <s v="2TETN002HXT"/>
    <s v="2TETN-022PO"/>
    <s v="TF"/>
    <s v="R2TETN022PO_TF"/>
    <s v="2TETN-022PO停反馈"/>
    <s v="TETN"/>
    <s v="1812-B1132YKS07-001-110"/>
    <x v="1"/>
    <s v="DI211"/>
    <x v="32"/>
    <s v="2TEKC003AR305DI"/>
    <n v="3"/>
    <x v="2"/>
    <x v="1"/>
    <n v="25"/>
    <m/>
    <s v="TB222"/>
    <s v="305BN"/>
    <s v="2A"/>
    <s v="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58"/>
    <s v="2TETN002HXT"/>
    <s v="2TETN-022PO"/>
    <s v="FS"/>
    <s v="R2TETN022PO_FS"/>
    <s v="2TETN-022PO故障"/>
    <s v="TETN"/>
    <s v="1812-B1132YKS07-001-110"/>
    <x v="1"/>
    <s v="DI211"/>
    <x v="32"/>
    <s v="2TEKC003AR305DI"/>
    <n v="3"/>
    <x v="2"/>
    <x v="2"/>
    <n v="25"/>
    <m/>
    <s v="TB222"/>
    <s v="305BN"/>
    <s v="3A"/>
    <s v="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59"/>
    <s v="2TETN002HXT"/>
    <s v="2TETN-022PO"/>
    <s v="YC"/>
    <s v="R2TETN022PO_YC"/>
    <s v="2TETN-022PO远程控制"/>
    <s v="TETN"/>
    <s v="1812-B1132YKS07-001-110"/>
    <x v="1"/>
    <s v="DI211"/>
    <x v="32"/>
    <s v="2TEKC003AR305DI"/>
    <n v="3"/>
    <x v="2"/>
    <x v="3"/>
    <n v="25"/>
    <m/>
    <s v="TB222"/>
    <s v="305BN"/>
    <s v="4A"/>
    <s v="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60"/>
    <s v="2TETN001HXT"/>
    <s v="2TETN-023PO"/>
    <s v="QF"/>
    <s v="R2TETN023PO_QF"/>
    <s v="2TETN-023PO启反馈"/>
    <s v="TETN"/>
    <s v="1812-B1132YKS07-001-111"/>
    <x v="1"/>
    <s v="DI211"/>
    <x v="32"/>
    <s v="2TEKC003AR305DI"/>
    <n v="3"/>
    <x v="2"/>
    <x v="4"/>
    <n v="25"/>
    <m/>
    <s v="TB222"/>
    <s v="305BN"/>
    <s v="5A"/>
    <s v="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61"/>
    <s v="2TETN001HXT"/>
    <s v="2TETN-023PO"/>
    <s v="TF"/>
    <s v="R2TETN023PO_TF"/>
    <s v="2TETN-023PO停反馈"/>
    <s v="TETN"/>
    <s v="1812-B1132YKS07-001-111"/>
    <x v="1"/>
    <s v="DI211"/>
    <x v="32"/>
    <s v="2TEKC003AR305DI"/>
    <n v="3"/>
    <x v="2"/>
    <x v="5"/>
    <n v="25"/>
    <m/>
    <s v="TB222"/>
    <s v="305BN"/>
    <s v="6A"/>
    <s v="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62"/>
    <s v="2TETN001HXT"/>
    <s v="2TETN-023PO"/>
    <s v="FS"/>
    <s v="R2TETN023PO_FS"/>
    <s v="2TETN-023PO故障"/>
    <s v="TETN"/>
    <s v="1812-B1132YKS07-001-111"/>
    <x v="1"/>
    <s v="DI211"/>
    <x v="32"/>
    <s v="2TEKC003AR305DI"/>
    <n v="3"/>
    <x v="2"/>
    <x v="6"/>
    <n v="25"/>
    <m/>
    <s v="TB222"/>
    <s v="305BN"/>
    <s v="7A"/>
    <s v="7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63"/>
    <s v="2TETN001HXT"/>
    <s v="2TETN-023PO"/>
    <s v="YC"/>
    <s v="R2TETN023PO_YC"/>
    <s v="2TETN-023PO远程控制"/>
    <s v="TETN"/>
    <s v="1812-B1132YKS07-001-111"/>
    <x v="1"/>
    <s v="DI211"/>
    <x v="32"/>
    <s v="2TEKC003AR305DI"/>
    <n v="3"/>
    <x v="2"/>
    <x v="7"/>
    <n v="25"/>
    <m/>
    <s v="TB222"/>
    <s v="305BN"/>
    <s v="8A"/>
    <s v="8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64"/>
    <s v="2TETN001HXT"/>
    <s v="2TETN-024PO"/>
    <s v="QF"/>
    <s v="R2TETN024PO_QF"/>
    <s v="2TETN-024PO启反馈"/>
    <s v="TETN"/>
    <s v="1812-B1132YKS07-001-112"/>
    <x v="1"/>
    <s v="DI211"/>
    <x v="32"/>
    <s v="2TEKC003AR305DI"/>
    <n v="3"/>
    <x v="2"/>
    <x v="8"/>
    <n v="25"/>
    <m/>
    <s v="TB222"/>
    <s v="305BN"/>
    <s v="9A"/>
    <s v="9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65"/>
    <s v="2TETN001HXT"/>
    <s v="2TETN-024PO"/>
    <s v="TF"/>
    <s v="R2TETN024PO_TF"/>
    <s v="2TETN-024PO停反馈"/>
    <s v="TETN"/>
    <s v="1812-B1132YKS07-001-112"/>
    <x v="1"/>
    <s v="DI211"/>
    <x v="32"/>
    <s v="2TEKC003AR305DI"/>
    <n v="3"/>
    <x v="2"/>
    <x v="9"/>
    <n v="25"/>
    <m/>
    <s v="TB222"/>
    <s v="305BN"/>
    <s v="10A"/>
    <s v="10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66"/>
    <s v="2TETN001HXT"/>
    <s v="2TETN-024PO"/>
    <s v="FS"/>
    <s v="R2TETN024PO_FS"/>
    <s v="2TETN-024PO故障"/>
    <s v="TETN"/>
    <s v="1812-B1132YKS07-001-112"/>
    <x v="1"/>
    <s v="DI211"/>
    <x v="32"/>
    <s v="2TEKC003AR305DI"/>
    <n v="3"/>
    <x v="2"/>
    <x v="10"/>
    <n v="25"/>
    <m/>
    <s v="TB222"/>
    <s v="305BN"/>
    <s v="11A"/>
    <s v="1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67"/>
    <s v="2TETN001HXT"/>
    <s v="2TETN-024PO"/>
    <s v="YC"/>
    <s v="R2TETN024PO_YC"/>
    <s v="2TETN-024PO远程控制"/>
    <s v="TETN"/>
    <s v="1812-B1132YKS07-001-112"/>
    <x v="1"/>
    <s v="DI211"/>
    <x v="32"/>
    <s v="2TEKC003AR305DI"/>
    <n v="3"/>
    <x v="2"/>
    <x v="11"/>
    <n v="25"/>
    <m/>
    <s v="TB222"/>
    <s v="305BN"/>
    <s v="12A"/>
    <s v="1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68"/>
    <s v="备用"/>
    <s v="2TEKC003AR305DICH13"/>
    <m/>
    <s v="R2TEKC003AR305DICH13"/>
    <s v="备用"/>
    <s v="TETN"/>
    <m/>
    <x v="1"/>
    <s v="DI211"/>
    <x v="32"/>
    <s v="2TEKC003AR305DI"/>
    <n v="3"/>
    <x v="2"/>
    <x v="12"/>
    <n v="25"/>
    <m/>
    <s v="TB222"/>
    <s v="305BN"/>
    <s v="13A"/>
    <s v="1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69"/>
    <s v="备用"/>
    <s v="2TEKC003AR305DICH14"/>
    <m/>
    <s v="R2TEKC003AR305DICH14"/>
    <s v="备用"/>
    <s v="TETN"/>
    <m/>
    <x v="1"/>
    <s v="DI211"/>
    <x v="32"/>
    <s v="2TEKC003AR305DI"/>
    <n v="3"/>
    <x v="2"/>
    <x v="13"/>
    <n v="25"/>
    <m/>
    <s v="TB222"/>
    <s v="305BN"/>
    <s v="14A"/>
    <s v="1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70"/>
    <s v="备用"/>
    <s v="2TEKC003AR305DICH15"/>
    <m/>
    <s v="R2TEKC003AR305DICH15"/>
    <s v="备用"/>
    <s v="TETN"/>
    <m/>
    <x v="1"/>
    <s v="DI211"/>
    <x v="32"/>
    <s v="2TEKC003AR305DI"/>
    <n v="3"/>
    <x v="2"/>
    <x v="14"/>
    <n v="25"/>
    <m/>
    <s v="TB222"/>
    <s v="305BN"/>
    <s v="15A"/>
    <s v="1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71"/>
    <s v="备用"/>
    <s v="2TEKC003AR305DICH16"/>
    <m/>
    <s v="R2TEKC003AR305DICH16"/>
    <s v="备用"/>
    <s v="TETN"/>
    <m/>
    <x v="1"/>
    <s v="DI211"/>
    <x v="32"/>
    <s v="2TEKC003AR305DI"/>
    <n v="3"/>
    <x v="2"/>
    <x v="15"/>
    <n v="25"/>
    <m/>
    <s v="TB222"/>
    <s v="305BN"/>
    <s v="16A"/>
    <s v="1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72"/>
    <s v="2TETN002HXT"/>
    <s v="2TETN-025PO"/>
    <s v="QF"/>
    <s v="R2TETN025PO_QF"/>
    <s v="2TETN-025PO启反馈"/>
    <s v="TETN"/>
    <s v="1812-B1132YKS07-001-113"/>
    <x v="1"/>
    <s v="DI211"/>
    <x v="33"/>
    <s v="2TEKC003AR306DI"/>
    <n v="3"/>
    <x v="3"/>
    <x v="0"/>
    <n v="26"/>
    <m/>
    <s v="TB222"/>
    <s v="306BN"/>
    <s v="1A"/>
    <s v="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73"/>
    <s v="2TETN002HXT"/>
    <s v="2TETN-025PO"/>
    <s v="TF"/>
    <s v="R2TETN025PO_TF"/>
    <s v="2TETN-025PO停反馈"/>
    <s v="TETN"/>
    <s v="1812-B1132YKS07-001-113"/>
    <x v="1"/>
    <s v="DI211"/>
    <x v="33"/>
    <s v="2TEKC003AR306DI"/>
    <n v="3"/>
    <x v="3"/>
    <x v="1"/>
    <n v="26"/>
    <m/>
    <s v="TB222"/>
    <s v="306BN"/>
    <s v="2A"/>
    <s v="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74"/>
    <s v="2TETN002HXT"/>
    <s v="2TETN-025PO"/>
    <s v="FS"/>
    <s v="R2TETN025PO_FS"/>
    <s v="2TETN-025PO故障"/>
    <s v="TETN"/>
    <s v="1812-B1132YKS07-001-113"/>
    <x v="1"/>
    <s v="DI211"/>
    <x v="33"/>
    <s v="2TEKC003AR306DI"/>
    <n v="3"/>
    <x v="3"/>
    <x v="2"/>
    <n v="26"/>
    <m/>
    <s v="TB222"/>
    <s v="306BN"/>
    <s v="3A"/>
    <s v="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75"/>
    <s v="2TETN002HXT"/>
    <s v="2TETN-025PO"/>
    <s v="YC"/>
    <s v="R2TETN025PO_YC"/>
    <s v="2TETN-025PO远程控制"/>
    <s v="TETN"/>
    <s v="1812-B1132YKS07-001-113"/>
    <x v="1"/>
    <s v="DI211"/>
    <x v="33"/>
    <s v="2TEKC003AR306DI"/>
    <n v="3"/>
    <x v="3"/>
    <x v="3"/>
    <n v="26"/>
    <m/>
    <s v="TB222"/>
    <s v="306BN"/>
    <s v="4A"/>
    <s v="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76"/>
    <s v="2TETN002HXT"/>
    <s v="2TETN-026PO"/>
    <s v="QF"/>
    <s v="R2TETN026PO_QF"/>
    <s v="2TETN-026PO启反馈"/>
    <s v="TETN"/>
    <s v="1812-B1132YKS07-001-114"/>
    <x v="1"/>
    <s v="DI211"/>
    <x v="33"/>
    <s v="2TEKC003AR306DI"/>
    <n v="3"/>
    <x v="3"/>
    <x v="4"/>
    <n v="26"/>
    <m/>
    <s v="TB222"/>
    <s v="306BN"/>
    <s v="5A"/>
    <s v="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77"/>
    <s v="2TETN002HXT"/>
    <s v="2TETN-026PO"/>
    <s v="TF"/>
    <s v="R2TETN026PO_TF"/>
    <s v="2TETN-026PO停反馈"/>
    <s v="TETN"/>
    <s v="1812-B1132YKS07-001-114"/>
    <x v="1"/>
    <s v="DI211"/>
    <x v="33"/>
    <s v="2TEKC003AR306DI"/>
    <n v="3"/>
    <x v="3"/>
    <x v="5"/>
    <n v="26"/>
    <m/>
    <s v="TB222"/>
    <s v="306BN"/>
    <s v="6A"/>
    <s v="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78"/>
    <s v="2TETN002HXT"/>
    <s v="2TETN-026PO"/>
    <s v="FS"/>
    <s v="R2TETN026PO_FS"/>
    <s v="2TETN-026PO故障"/>
    <s v="TETN"/>
    <s v="1812-B1132YKS07-001-114"/>
    <x v="1"/>
    <s v="DI211"/>
    <x v="33"/>
    <s v="2TEKC003AR306DI"/>
    <n v="3"/>
    <x v="3"/>
    <x v="6"/>
    <n v="26"/>
    <m/>
    <s v="TB222"/>
    <s v="306BN"/>
    <s v="7A"/>
    <s v="7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79"/>
    <s v="2TETN002HXT"/>
    <s v="2TETN-026PO"/>
    <s v="YC"/>
    <s v="R2TETN026PO_YC"/>
    <s v="2TETN-026PO远程控制"/>
    <s v="TETN"/>
    <s v="1812-B1132YKS07-001-114"/>
    <x v="1"/>
    <s v="DI211"/>
    <x v="33"/>
    <s v="2TEKC003AR306DI"/>
    <n v="3"/>
    <x v="3"/>
    <x v="7"/>
    <n v="26"/>
    <m/>
    <s v="TB222"/>
    <s v="306BN"/>
    <s v="8A"/>
    <s v="8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80"/>
    <m/>
    <s v="2TETN-027PO"/>
    <s v="QF"/>
    <s v="R2TETN027PO_QF"/>
    <s v="2TETN-027PO启反馈"/>
    <s v="TETN"/>
    <s v="1812-B1132YKS07-001-115"/>
    <x v="1"/>
    <s v="DI211"/>
    <x v="33"/>
    <s v="2TEKC003AR306DI"/>
    <n v="3"/>
    <x v="3"/>
    <x v="8"/>
    <n v="26"/>
    <m/>
    <s v="TB222"/>
    <s v="306BN"/>
    <s v="9A"/>
    <s v="9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81"/>
    <m/>
    <s v="2TETN-027PO"/>
    <s v="TF"/>
    <s v="R2TETN027PO_TF"/>
    <s v="2TETN-027PO停反馈"/>
    <s v="TETN"/>
    <s v="1812-B1132YKS07-001-115"/>
    <x v="1"/>
    <s v="DI211"/>
    <x v="33"/>
    <s v="2TEKC003AR306DI"/>
    <n v="3"/>
    <x v="3"/>
    <x v="9"/>
    <n v="26"/>
    <m/>
    <s v="TB222"/>
    <s v="306BN"/>
    <s v="10A"/>
    <s v="10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82"/>
    <m/>
    <s v="2TETN-027PO"/>
    <s v="FS"/>
    <s v="R2TETN027PO_FS"/>
    <s v="2TETN-027PO故障"/>
    <s v="TETN"/>
    <s v="1812-B1132YKS07-001-115"/>
    <x v="1"/>
    <s v="DI211"/>
    <x v="33"/>
    <s v="2TEKC003AR306DI"/>
    <n v="3"/>
    <x v="3"/>
    <x v="10"/>
    <n v="26"/>
    <m/>
    <s v="TB222"/>
    <s v="306BN"/>
    <s v="11A"/>
    <s v="1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83"/>
    <m/>
    <s v="2TETN-027PO"/>
    <s v="YC"/>
    <s v="R2TETN027PO_YC"/>
    <s v="2TETN-027PO远程控制"/>
    <s v="TETN"/>
    <s v="1812-B1132YKS07-001-115"/>
    <x v="1"/>
    <s v="DI211"/>
    <x v="33"/>
    <s v="2TEKC003AR306DI"/>
    <n v="3"/>
    <x v="3"/>
    <x v="11"/>
    <n v="26"/>
    <m/>
    <s v="TB222"/>
    <s v="306BN"/>
    <s v="12A"/>
    <s v="1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84"/>
    <s v="备用"/>
    <s v="2TEKC003AR306DICH13"/>
    <m/>
    <s v="R2TEKC003AR306DICH13"/>
    <s v="备用"/>
    <s v="TETN"/>
    <m/>
    <x v="1"/>
    <s v="DI211"/>
    <x v="33"/>
    <s v="2TEKC003AR306DI"/>
    <n v="3"/>
    <x v="3"/>
    <x v="12"/>
    <n v="26"/>
    <m/>
    <s v="TB222"/>
    <s v="306BN"/>
    <s v="13A"/>
    <s v="1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85"/>
    <s v="备用"/>
    <s v="2TEKC003AR306DICH14"/>
    <m/>
    <s v="R2TEKC003AR306DICH14"/>
    <s v="备用"/>
    <s v="TETN"/>
    <m/>
    <x v="1"/>
    <s v="DI211"/>
    <x v="33"/>
    <s v="2TEKC003AR306DI"/>
    <n v="3"/>
    <x v="3"/>
    <x v="13"/>
    <n v="26"/>
    <m/>
    <s v="TB222"/>
    <s v="306BN"/>
    <s v="14A"/>
    <s v="1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86"/>
    <s v="备用"/>
    <s v="2TEKC003AR306DICH15"/>
    <m/>
    <s v="R2TEKC003AR306DICH15"/>
    <s v="备用"/>
    <s v="TETN"/>
    <m/>
    <x v="1"/>
    <s v="DI211"/>
    <x v="33"/>
    <s v="2TEKC003AR306DI"/>
    <n v="3"/>
    <x v="3"/>
    <x v="14"/>
    <n v="26"/>
    <m/>
    <s v="TB222"/>
    <s v="306BN"/>
    <s v="15A"/>
    <s v="1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87"/>
    <s v="备用"/>
    <s v="2TEKC003AR306DICH16"/>
    <m/>
    <s v="R2TEKC003AR306DICH16"/>
    <s v="备用"/>
    <s v="TETN"/>
    <m/>
    <x v="1"/>
    <s v="DI211"/>
    <x v="33"/>
    <s v="2TEKC003AR306DI"/>
    <n v="3"/>
    <x v="3"/>
    <x v="15"/>
    <n v="26"/>
    <m/>
    <s v="TB222"/>
    <s v="306BN"/>
    <s v="16A"/>
    <s v="1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88"/>
    <m/>
    <s v="2TETN-028PO"/>
    <s v="QF"/>
    <s v="R2TETN028PO_QF"/>
    <s v="2TETN-028PO启反馈"/>
    <s v="TETN"/>
    <s v="1812-B1132YKS07-001-116"/>
    <x v="1"/>
    <s v="DI211"/>
    <x v="34"/>
    <s v="2TEKC003AR307DI"/>
    <n v="3"/>
    <x v="4"/>
    <x v="0"/>
    <n v="27"/>
    <m/>
    <s v="TB222"/>
    <s v="307BN"/>
    <s v="1A"/>
    <s v="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89"/>
    <m/>
    <s v="2TETN-028PO"/>
    <s v="TF"/>
    <s v="R2TETN028PO_TF"/>
    <s v="2TETN-028PO停反馈"/>
    <s v="TETN"/>
    <s v="1812-B1132YKS07-001-116"/>
    <x v="1"/>
    <s v="DI211"/>
    <x v="34"/>
    <s v="2TEKC003AR307DI"/>
    <n v="3"/>
    <x v="4"/>
    <x v="1"/>
    <n v="27"/>
    <m/>
    <s v="TB222"/>
    <s v="307BN"/>
    <s v="2A"/>
    <s v="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90"/>
    <m/>
    <s v="2TETN-028PO"/>
    <s v="FS"/>
    <s v="R2TETN028PO_FS"/>
    <s v="2TETN-028PO故障"/>
    <s v="TETN"/>
    <s v="1812-B1132YKS07-001-116"/>
    <x v="1"/>
    <s v="DI211"/>
    <x v="34"/>
    <s v="2TEKC003AR307DI"/>
    <n v="3"/>
    <x v="4"/>
    <x v="2"/>
    <n v="27"/>
    <m/>
    <s v="TB222"/>
    <s v="307BN"/>
    <s v="3A"/>
    <s v="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91"/>
    <m/>
    <s v="2TETN-028PO"/>
    <s v="YC"/>
    <s v="R2TETN028PO_YC"/>
    <s v="2TETN-028PO远程控制"/>
    <s v="TETN"/>
    <s v="1812-B1132YKS07-001-116"/>
    <x v="1"/>
    <s v="DI211"/>
    <x v="34"/>
    <s v="2TEKC003AR307DI"/>
    <n v="3"/>
    <x v="4"/>
    <x v="3"/>
    <n v="27"/>
    <m/>
    <s v="TB222"/>
    <s v="307BN"/>
    <s v="4A"/>
    <s v="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92"/>
    <m/>
    <s v="2TETN-029PO"/>
    <s v="QF"/>
    <s v="R2TETN029PO_QF"/>
    <s v="2TETN-029PO启反馈"/>
    <s v="TETN"/>
    <s v="1812-B1132YKS07-001-117"/>
    <x v="1"/>
    <s v="DI211"/>
    <x v="34"/>
    <s v="2TEKC003AR307DI"/>
    <n v="3"/>
    <x v="4"/>
    <x v="4"/>
    <n v="27"/>
    <m/>
    <s v="TB222"/>
    <s v="307BN"/>
    <s v="5A"/>
    <s v="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93"/>
    <m/>
    <s v="2TETN-029PO"/>
    <s v="TF"/>
    <s v="R2TETN029PO_TF"/>
    <s v="2TETN-029PO停反馈"/>
    <s v="TETN"/>
    <s v="1812-B1132YKS07-001-117"/>
    <x v="1"/>
    <s v="DI211"/>
    <x v="34"/>
    <s v="2TEKC003AR307DI"/>
    <n v="3"/>
    <x v="4"/>
    <x v="5"/>
    <n v="27"/>
    <m/>
    <s v="TB222"/>
    <s v="307BN"/>
    <s v="6A"/>
    <s v="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94"/>
    <m/>
    <s v="2TETN-029PO"/>
    <s v="FS"/>
    <s v="R2TETN029PO_FS"/>
    <s v="2TETN-029PO故障"/>
    <s v="TETN"/>
    <s v="1812-B1132YKS07-001-117"/>
    <x v="1"/>
    <s v="DI211"/>
    <x v="34"/>
    <s v="2TEKC003AR307DI"/>
    <n v="3"/>
    <x v="4"/>
    <x v="6"/>
    <n v="27"/>
    <m/>
    <s v="TB222"/>
    <s v="307BN"/>
    <s v="7A"/>
    <s v="7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95"/>
    <m/>
    <s v="2TETN-029PO"/>
    <s v="YC"/>
    <s v="R2TETN029PO_YC"/>
    <s v="2TETN-029PO远程控制"/>
    <s v="TETN"/>
    <s v="1812-B1132YKS07-001-117"/>
    <x v="1"/>
    <s v="DI211"/>
    <x v="34"/>
    <s v="2TEKC003AR307DI"/>
    <n v="3"/>
    <x v="4"/>
    <x v="7"/>
    <n v="27"/>
    <m/>
    <s v="TB222"/>
    <s v="307BN"/>
    <s v="8A"/>
    <s v="8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96"/>
    <s v="备用"/>
    <s v="2TEKC003AR307DICH09"/>
    <m/>
    <s v="R2TEKC003AR307DICH09"/>
    <s v="备用"/>
    <s v="TETN"/>
    <m/>
    <x v="1"/>
    <s v="DI211"/>
    <x v="34"/>
    <s v="2TEKC003AR307DI"/>
    <n v="3"/>
    <x v="4"/>
    <x v="8"/>
    <n v="27"/>
    <m/>
    <s v="TB222"/>
    <s v="307BN"/>
    <s v="9A"/>
    <s v="9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97"/>
    <s v="备用"/>
    <s v="2TEKC003AR307DICH10"/>
    <m/>
    <s v="R2TEKC003AR307DICH10"/>
    <s v="备用"/>
    <s v="TETN"/>
    <m/>
    <x v="1"/>
    <s v="DI211"/>
    <x v="34"/>
    <s v="2TEKC003AR307DI"/>
    <n v="3"/>
    <x v="4"/>
    <x v="9"/>
    <n v="27"/>
    <m/>
    <s v="TB222"/>
    <s v="307BN"/>
    <s v="10A"/>
    <s v="10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98"/>
    <m/>
    <s v="2TEKC003AR"/>
    <s v="PWFA"/>
    <s v="R2TEKC003AR_PWFA"/>
    <s v="控制柜2TEKC003AR机柜电源A故障报警"/>
    <s v="TETN"/>
    <m/>
    <x v="1"/>
    <s v="DI211"/>
    <x v="34"/>
    <s v="2TEKC003AR307DI"/>
    <n v="3"/>
    <x v="4"/>
    <x v="10"/>
    <n v="27"/>
    <m/>
    <s v="TB222"/>
    <s v="307BN"/>
    <s v="11A"/>
    <s v="1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499"/>
    <m/>
    <s v="2TEKC003AR"/>
    <s v="PWFB"/>
    <s v="R2TEKC003AR_PWFB"/>
    <s v="控制柜2TEKC003AR机柜电源B故障报警"/>
    <s v="TETN"/>
    <m/>
    <x v="1"/>
    <s v="DI211"/>
    <x v="34"/>
    <s v="2TEKC003AR307DI"/>
    <n v="3"/>
    <x v="4"/>
    <x v="11"/>
    <n v="27"/>
    <m/>
    <s v="TB222"/>
    <s v="307BN"/>
    <s v="12A"/>
    <s v="1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00"/>
    <m/>
    <s v="2TEKC003AR"/>
    <s v="DROP"/>
    <s v="R2TEKC003AR_DROP"/>
    <s v="控制柜2TEKC003AR机柜门开报警"/>
    <s v="TETN"/>
    <m/>
    <x v="1"/>
    <s v="DI211"/>
    <x v="34"/>
    <s v="2TEKC003AR307DI"/>
    <n v="3"/>
    <x v="4"/>
    <x v="12"/>
    <n v="27"/>
    <m/>
    <s v="TB222"/>
    <s v="307BN"/>
    <s v="13A"/>
    <s v="1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01"/>
    <m/>
    <s v="2TEKC003AR"/>
    <s v="TEPH"/>
    <s v="R2TEKC003AR_TEPH"/>
    <s v="控制柜2TEKC003AR机柜温度高报警"/>
    <s v="TETN"/>
    <m/>
    <x v="1"/>
    <s v="DI211"/>
    <x v="34"/>
    <s v="2TEKC003AR307DI"/>
    <n v="3"/>
    <x v="4"/>
    <x v="13"/>
    <n v="27"/>
    <m/>
    <s v="TB222"/>
    <s v="307BN"/>
    <s v="14A"/>
    <s v="1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02"/>
    <m/>
    <s v="2TEKC003AR"/>
    <s v="FAN"/>
    <s v="R2TEKC003AR_FAN"/>
    <s v="控制柜2TEKC003AR机柜风扇故障"/>
    <s v="TETN"/>
    <m/>
    <x v="1"/>
    <s v="DI211"/>
    <x v="34"/>
    <s v="2TEKC003AR307DI"/>
    <n v="3"/>
    <x v="4"/>
    <x v="14"/>
    <n v="27"/>
    <m/>
    <s v="TB222"/>
    <s v="307BN"/>
    <s v="15A"/>
    <s v="1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03"/>
    <m/>
    <s v="2TEKC003AR"/>
    <s v="SWF"/>
    <s v="R2TEKC003AR_SWF"/>
    <s v="控制柜2TEKC003AR机柜网络故障"/>
    <s v="TETN"/>
    <m/>
    <x v="1"/>
    <s v="DI211"/>
    <x v="34"/>
    <s v="2TEKC003AR307DI"/>
    <n v="3"/>
    <x v="4"/>
    <x v="15"/>
    <n v="27"/>
    <m/>
    <s v="TB222"/>
    <s v="307BN"/>
    <s v="16A"/>
    <s v="1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04"/>
    <s v="2TETN006HXT"/>
    <s v="2TETN-013PO"/>
    <s v="Q"/>
    <s v="R2TETN013PO_Q"/>
    <s v="2TETN-013PO启动"/>
    <s v="TETN"/>
    <s v="1812-B1132YKS07-001-101"/>
    <x v="1"/>
    <s v="DO211"/>
    <x v="35"/>
    <s v="2TEKC003AR308DO"/>
    <n v="3"/>
    <x v="7"/>
    <x v="0"/>
    <n v="28"/>
    <m/>
    <s v="TB231"/>
    <s v="308BN"/>
    <s v="1C"/>
    <s v="1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05"/>
    <s v="2TETN006HXT"/>
    <s v="2TETN-013PO"/>
    <s v="T"/>
    <s v="R2TETN013PO_T"/>
    <s v="2TETN-013PO停止"/>
    <s v="TETN"/>
    <s v="1812-B1132YKS07-001-101"/>
    <x v="1"/>
    <s v="DO211"/>
    <x v="35"/>
    <s v="2TEKC003AR308DO"/>
    <n v="3"/>
    <x v="7"/>
    <x v="1"/>
    <n v="28"/>
    <m/>
    <s v="TB231"/>
    <s v="308BN"/>
    <s v="2C"/>
    <s v="2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06"/>
    <s v="2TETN006HXT"/>
    <s v="2TETN-014PO"/>
    <s v="Q"/>
    <s v="R2TETN014PO_Q"/>
    <s v="2TETN-014PO启动"/>
    <s v="TETN"/>
    <s v="1812-B1132YKS07-001-102"/>
    <x v="1"/>
    <s v="DO211"/>
    <x v="35"/>
    <s v="2TEKC003AR308DO"/>
    <n v="3"/>
    <x v="7"/>
    <x v="2"/>
    <n v="28"/>
    <m/>
    <s v="TB231"/>
    <s v="308BN"/>
    <s v="3C"/>
    <s v="3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07"/>
    <s v="2TETN006HXT"/>
    <s v="2TETN-014PO"/>
    <s v="T"/>
    <s v="R2TETN014PO_T"/>
    <s v="2TETN-014PO停止"/>
    <s v="TETN"/>
    <s v="1812-B1132YKS07-001-102"/>
    <x v="1"/>
    <s v="DO211"/>
    <x v="35"/>
    <s v="2TEKC003AR308DO"/>
    <n v="3"/>
    <x v="7"/>
    <x v="3"/>
    <n v="28"/>
    <m/>
    <s v="TB231"/>
    <s v="308BN"/>
    <s v="4C"/>
    <s v="4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08"/>
    <s v="2TETN007HXT"/>
    <s v="2TETN-015PO"/>
    <s v="Q"/>
    <s v="R2TETN015PO_Q"/>
    <s v="2TETN-015PO启动"/>
    <s v="TETN"/>
    <s v="1812-B1132YKS07-001-103"/>
    <x v="1"/>
    <s v="DO211"/>
    <x v="35"/>
    <s v="2TEKC003AR308DO"/>
    <n v="3"/>
    <x v="7"/>
    <x v="4"/>
    <n v="28"/>
    <m/>
    <s v="TB231"/>
    <s v="308BN"/>
    <s v="5C"/>
    <s v="5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09"/>
    <s v="2TETN007HXT"/>
    <s v="2TETN-015PO"/>
    <s v="T"/>
    <s v="R2TETN015PO_T"/>
    <s v="2TETN-015PO停止"/>
    <s v="TETN"/>
    <s v="1812-B1132YKS07-001-103"/>
    <x v="1"/>
    <s v="DO211"/>
    <x v="35"/>
    <s v="2TEKC003AR308DO"/>
    <n v="3"/>
    <x v="7"/>
    <x v="5"/>
    <n v="28"/>
    <m/>
    <s v="TB231"/>
    <s v="308BN"/>
    <s v="6C"/>
    <s v="6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10"/>
    <s v="2TETN007HXT"/>
    <s v="2TETN-016PO"/>
    <s v="Q"/>
    <s v="R2TETN016PO_Q"/>
    <s v="2TETN-016PO启动"/>
    <s v="TETN"/>
    <s v="1812-B1132YKS07-001-104"/>
    <x v="1"/>
    <s v="DO211"/>
    <x v="35"/>
    <s v="2TEKC003AR308DO"/>
    <n v="3"/>
    <x v="7"/>
    <x v="6"/>
    <n v="28"/>
    <m/>
    <s v="TB231"/>
    <s v="308BN"/>
    <s v="7C"/>
    <s v="7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11"/>
    <s v="2TETN007HXT"/>
    <s v="2TETN-016PO"/>
    <s v="T"/>
    <s v="R2TETN016PO_T"/>
    <s v="2TETN-016PO停止"/>
    <s v="TETN"/>
    <s v="1812-B1132YKS07-001-104"/>
    <x v="1"/>
    <s v="DO211"/>
    <x v="35"/>
    <s v="2TEKC003AR308DO"/>
    <n v="3"/>
    <x v="7"/>
    <x v="7"/>
    <n v="28"/>
    <m/>
    <s v="TB231"/>
    <s v="308BN"/>
    <s v="8C"/>
    <s v="8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12"/>
    <s v="2TETN007HXT"/>
    <s v="2TETN-017PO"/>
    <s v="Q"/>
    <s v="R2TETN017PO_Q"/>
    <s v="2TETN-017PO启动"/>
    <s v="TETN"/>
    <s v="1812-B1132YKS07-001-105"/>
    <x v="1"/>
    <s v="DO211"/>
    <x v="35"/>
    <s v="2TEKC003AR308DO"/>
    <n v="3"/>
    <x v="7"/>
    <x v="8"/>
    <n v="28"/>
    <m/>
    <s v="TB231"/>
    <s v="308BN"/>
    <s v="9C"/>
    <s v="9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13"/>
    <s v="2TETN007HXT"/>
    <s v="2TETN-017PO"/>
    <s v="T"/>
    <s v="R2TETN017PO_T"/>
    <s v="2TETN-017PO停止"/>
    <s v="TETN"/>
    <s v="1812-B1132YKS07-001-105"/>
    <x v="1"/>
    <s v="DO211"/>
    <x v="35"/>
    <s v="2TEKC003AR308DO"/>
    <n v="3"/>
    <x v="7"/>
    <x v="9"/>
    <n v="28"/>
    <m/>
    <s v="TB231"/>
    <s v="308BN"/>
    <s v="10C"/>
    <s v="10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14"/>
    <s v="2TETN007HXT"/>
    <s v="2TETN-018PO"/>
    <s v="Q"/>
    <s v="R2TETN018PO_Q"/>
    <s v="2TETN-018PO启动"/>
    <s v="TETN"/>
    <s v="1812-B1132YKS07-001-106"/>
    <x v="1"/>
    <s v="DO211"/>
    <x v="35"/>
    <s v="2TEKC003AR308DO"/>
    <n v="3"/>
    <x v="7"/>
    <x v="10"/>
    <n v="28"/>
    <m/>
    <s v="TB231"/>
    <s v="308BN"/>
    <s v="11C"/>
    <s v="11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15"/>
    <s v="2TETN007HXT"/>
    <s v="2TETN-018PO"/>
    <s v="T"/>
    <s v="R2TETN018PO_T"/>
    <s v="2TETN-018PO停止"/>
    <s v="TETN"/>
    <s v="1812-B1132YKS07-001-106"/>
    <x v="1"/>
    <s v="DO211"/>
    <x v="35"/>
    <s v="2TEKC003AR308DO"/>
    <n v="3"/>
    <x v="7"/>
    <x v="11"/>
    <n v="28"/>
    <m/>
    <s v="TB231"/>
    <s v="308BN"/>
    <s v="12C"/>
    <s v="12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16"/>
    <s v="备用"/>
    <s v="2TEKC003AR308DOCH13"/>
    <m/>
    <s v="R2TEKC003AR308DOCH13"/>
    <s v="备用"/>
    <s v="TETN"/>
    <m/>
    <x v="1"/>
    <s v="DO211"/>
    <x v="35"/>
    <s v="2TEKC003AR308DO"/>
    <n v="3"/>
    <x v="7"/>
    <x v="12"/>
    <n v="28"/>
    <m/>
    <s v="TB231"/>
    <s v="308BN"/>
    <s v="13C"/>
    <s v="13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17"/>
    <s v="备用"/>
    <s v="2TEKC003AR308DOCH14"/>
    <m/>
    <s v="R2TEKC003AR308DOCH14"/>
    <s v="备用"/>
    <s v="TETN"/>
    <m/>
    <x v="1"/>
    <s v="DO211"/>
    <x v="35"/>
    <s v="2TEKC003AR308DO"/>
    <n v="3"/>
    <x v="7"/>
    <x v="13"/>
    <n v="28"/>
    <m/>
    <s v="TB231"/>
    <s v="308BN"/>
    <s v="14C"/>
    <s v="14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18"/>
    <s v="备用"/>
    <s v="2TEKC003AR308DOCH15"/>
    <m/>
    <s v="R2TEKC003AR308DOCH15"/>
    <s v="备用"/>
    <s v="TETN"/>
    <m/>
    <x v="1"/>
    <s v="DO211"/>
    <x v="35"/>
    <s v="2TEKC003AR308DO"/>
    <n v="3"/>
    <x v="7"/>
    <x v="14"/>
    <n v="28"/>
    <m/>
    <s v="TB231"/>
    <s v="308BN"/>
    <s v="15C"/>
    <s v="15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19"/>
    <s v="备用"/>
    <s v="2TEKC003AR308DOCH16"/>
    <m/>
    <s v="R2TEKC003AR308DOCH16"/>
    <s v="备用"/>
    <s v="TETN"/>
    <m/>
    <x v="1"/>
    <s v="DO211"/>
    <x v="35"/>
    <s v="2TEKC003AR308DO"/>
    <n v="3"/>
    <x v="7"/>
    <x v="15"/>
    <n v="28"/>
    <m/>
    <s v="TB231"/>
    <s v="308BN"/>
    <s v="16C"/>
    <s v="16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20"/>
    <s v="2TETN008HXT"/>
    <s v="2TETN-019PO"/>
    <s v="Q"/>
    <s v="R2TETN019PO_Q"/>
    <s v="2TETN-019PO启动"/>
    <s v="TETN"/>
    <s v="1812-B1132YKS07-001-107"/>
    <x v="1"/>
    <s v="DO211"/>
    <x v="36"/>
    <s v="2TEKC003AR309DO"/>
    <n v="3"/>
    <x v="6"/>
    <x v="0"/>
    <n v="29"/>
    <m/>
    <s v="TB231"/>
    <s v="309BN"/>
    <s v="1C"/>
    <s v="1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21"/>
    <s v="2TETN008HXT"/>
    <s v="2TETN-019PO"/>
    <s v="T"/>
    <s v="R2TETN019PO_T"/>
    <s v="2TETN-019PO停止"/>
    <s v="TETN"/>
    <s v="1812-B1132YKS07-001-107"/>
    <x v="1"/>
    <s v="DO211"/>
    <x v="36"/>
    <s v="2TEKC003AR309DO"/>
    <n v="3"/>
    <x v="6"/>
    <x v="1"/>
    <n v="29"/>
    <m/>
    <s v="TB231"/>
    <s v="309BN"/>
    <s v="2C"/>
    <s v="2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22"/>
    <s v="2TETN008HXT"/>
    <s v="2TETN-020PO"/>
    <s v="Q"/>
    <s v="R2TETN020PO_Q"/>
    <s v="2TETN-020PO启动"/>
    <s v="TETN"/>
    <s v="1812-B1132YKS07-001-108"/>
    <x v="1"/>
    <s v="DO211"/>
    <x v="36"/>
    <s v="2TEKC003AR309DO"/>
    <n v="3"/>
    <x v="6"/>
    <x v="2"/>
    <n v="29"/>
    <m/>
    <s v="TB231"/>
    <s v="309BN"/>
    <s v="3C"/>
    <s v="3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23"/>
    <s v="2TETN008HXT"/>
    <s v="2TETN-020PO"/>
    <s v="T"/>
    <s v="R2TETN020PO_T"/>
    <s v="2TETN-020PO停止"/>
    <s v="TETN"/>
    <s v="1812-B1132YKS07-001-108"/>
    <x v="1"/>
    <s v="DO211"/>
    <x v="36"/>
    <s v="2TEKC003AR309DO"/>
    <n v="3"/>
    <x v="6"/>
    <x v="3"/>
    <n v="29"/>
    <m/>
    <s v="TB231"/>
    <s v="309BN"/>
    <s v="4C"/>
    <s v="4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24"/>
    <s v="2TETN002HXT"/>
    <s v="2TETN-021PO"/>
    <s v="Q"/>
    <s v="R2TETN021PO_Q"/>
    <s v="2TETN-021PO启动"/>
    <s v="TETN"/>
    <s v="1812-B1132YKS07-001-109"/>
    <x v="1"/>
    <s v="DO211"/>
    <x v="36"/>
    <s v="2TEKC003AR309DO"/>
    <n v="3"/>
    <x v="6"/>
    <x v="4"/>
    <n v="29"/>
    <m/>
    <s v="TB231"/>
    <s v="309BN"/>
    <s v="5C"/>
    <s v="5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25"/>
    <s v="2TETN002HXT"/>
    <s v="2TETN-021PO"/>
    <s v="T"/>
    <s v="R2TETN021PO_T"/>
    <s v="2TETN-021PO停止"/>
    <s v="TETN"/>
    <s v="1812-B1132YKS07-001-109"/>
    <x v="1"/>
    <s v="DO211"/>
    <x v="36"/>
    <s v="2TEKC003AR309DO"/>
    <n v="3"/>
    <x v="6"/>
    <x v="5"/>
    <n v="29"/>
    <m/>
    <s v="TB231"/>
    <s v="309BN"/>
    <s v="6C"/>
    <s v="6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26"/>
    <s v="2TETN002HXT"/>
    <s v="2TETN-022PO"/>
    <s v="Q"/>
    <s v="R2TETN022PO_Q"/>
    <s v="2TETN-022PO启动"/>
    <s v="TETN"/>
    <s v="1812-B1132YKS07-001-110"/>
    <x v="1"/>
    <s v="DO211"/>
    <x v="36"/>
    <s v="2TEKC003AR309DO"/>
    <n v="3"/>
    <x v="6"/>
    <x v="6"/>
    <n v="29"/>
    <m/>
    <s v="TB231"/>
    <s v="309BN"/>
    <s v="7C"/>
    <s v="7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27"/>
    <s v="2TETN002HXT"/>
    <s v="2TETN-022PO"/>
    <s v="T"/>
    <s v="R2TETN022PO_T"/>
    <s v="2TETN-022PO停止"/>
    <s v="TETN"/>
    <s v="1812-B1132YKS07-001-110"/>
    <x v="1"/>
    <s v="DO211"/>
    <x v="36"/>
    <s v="2TEKC003AR309DO"/>
    <n v="3"/>
    <x v="6"/>
    <x v="7"/>
    <n v="29"/>
    <m/>
    <s v="TB231"/>
    <s v="309BN"/>
    <s v="8C"/>
    <s v="8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28"/>
    <s v="2TETN001HXT"/>
    <s v="2TETN-023PO"/>
    <s v="Q"/>
    <s v="R2TETN023PO_Q"/>
    <s v="2TETN-023PO启动"/>
    <s v="TETN"/>
    <s v="1812-B1132YKS07-001-111"/>
    <x v="1"/>
    <s v="DO211"/>
    <x v="36"/>
    <s v="2TEKC003AR309DO"/>
    <n v="3"/>
    <x v="6"/>
    <x v="8"/>
    <n v="29"/>
    <m/>
    <s v="TB231"/>
    <s v="309BN"/>
    <s v="9C"/>
    <s v="9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29"/>
    <s v="2TETN001HXT"/>
    <s v="2TETN-023PO"/>
    <s v="T"/>
    <s v="R2TETN023PO_T"/>
    <s v="2TETN-023PO停止"/>
    <s v="TETN"/>
    <s v="1812-B1132YKS07-001-111"/>
    <x v="1"/>
    <s v="DO211"/>
    <x v="36"/>
    <s v="2TEKC003AR309DO"/>
    <n v="3"/>
    <x v="6"/>
    <x v="9"/>
    <n v="29"/>
    <m/>
    <s v="TB231"/>
    <s v="309BN"/>
    <s v="10C"/>
    <s v="10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30"/>
    <s v="2TETN001HXT"/>
    <s v="2TETN-024PO"/>
    <s v="Q"/>
    <s v="R2TETN024PO_Q"/>
    <s v="2TETN-024PO启动"/>
    <s v="TETN"/>
    <s v="1812-B1132YKS07-001-112"/>
    <x v="1"/>
    <s v="DO211"/>
    <x v="36"/>
    <s v="2TEKC003AR309DO"/>
    <n v="3"/>
    <x v="6"/>
    <x v="10"/>
    <n v="29"/>
    <m/>
    <s v="TB231"/>
    <s v="309BN"/>
    <s v="11C"/>
    <s v="11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31"/>
    <s v="2TETN001HXT"/>
    <s v="2TETN-024PO"/>
    <s v="T"/>
    <s v="R2TETN024PO_T"/>
    <s v="2TETN-024PO停止"/>
    <s v="TETN"/>
    <s v="1812-B1132YKS07-001-112"/>
    <x v="1"/>
    <s v="DO211"/>
    <x v="36"/>
    <s v="2TEKC003AR309DO"/>
    <n v="3"/>
    <x v="6"/>
    <x v="11"/>
    <n v="29"/>
    <m/>
    <s v="TB231"/>
    <s v="309BN"/>
    <s v="12C"/>
    <s v="12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32"/>
    <s v="备用"/>
    <s v="2TEKC003AR309DOCH13"/>
    <m/>
    <s v="R2TEKC003AR309DOCH13"/>
    <s v="备用"/>
    <s v="TETN"/>
    <m/>
    <x v="1"/>
    <s v="DO211"/>
    <x v="36"/>
    <s v="2TEKC003AR309DO"/>
    <n v="3"/>
    <x v="6"/>
    <x v="12"/>
    <n v="29"/>
    <m/>
    <s v="TB231"/>
    <s v="309BN"/>
    <s v="13C"/>
    <s v="13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33"/>
    <s v="备用"/>
    <s v="2TEKC003AR309DOCH14"/>
    <m/>
    <s v="R2TEKC003AR309DOCH14"/>
    <s v="备用"/>
    <s v="TETN"/>
    <m/>
    <x v="1"/>
    <s v="DO211"/>
    <x v="36"/>
    <s v="2TEKC003AR309DO"/>
    <n v="3"/>
    <x v="6"/>
    <x v="13"/>
    <n v="29"/>
    <m/>
    <s v="TB231"/>
    <s v="309BN"/>
    <s v="14C"/>
    <s v="14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34"/>
    <s v="备用"/>
    <s v="2TEKC003AR309DOCH15"/>
    <m/>
    <s v="R2TEKC003AR309DOCH15"/>
    <s v="备用"/>
    <s v="TETN"/>
    <m/>
    <x v="1"/>
    <s v="DO211"/>
    <x v="36"/>
    <s v="2TEKC003AR309DO"/>
    <n v="3"/>
    <x v="6"/>
    <x v="14"/>
    <n v="29"/>
    <m/>
    <s v="TB231"/>
    <s v="309BN"/>
    <s v="15C"/>
    <s v="15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35"/>
    <s v="备用"/>
    <s v="2TEKC003AR309DOCH16"/>
    <m/>
    <s v="R2TEKC003AR309DOCH16"/>
    <s v="备用"/>
    <s v="TETN"/>
    <m/>
    <x v="1"/>
    <s v="DO211"/>
    <x v="36"/>
    <s v="2TEKC003AR309DO"/>
    <n v="3"/>
    <x v="6"/>
    <x v="15"/>
    <n v="29"/>
    <m/>
    <s v="TB231"/>
    <s v="309BN"/>
    <s v="16C"/>
    <s v="16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36"/>
    <s v="2TETN002HXT"/>
    <s v="2TETN-025PO"/>
    <s v="Q"/>
    <s v="R2TETN025PO_Q"/>
    <s v="2TETN-025PO启动"/>
    <s v="TETN"/>
    <s v="1812-B1132YKS07-001-113"/>
    <x v="1"/>
    <s v="DO211"/>
    <x v="37"/>
    <s v="2TEKC003AR310DO"/>
    <n v="3"/>
    <x v="8"/>
    <x v="0"/>
    <n v="30"/>
    <m/>
    <s v="TB231"/>
    <s v="310BN"/>
    <s v="1C"/>
    <s v="1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37"/>
    <s v="2TETN002HXT"/>
    <s v="2TETN-025PO"/>
    <s v="T"/>
    <s v="R2TETN025PO_T"/>
    <s v="2TETN-025PO停止"/>
    <s v="TETN"/>
    <s v="1812-B1132YKS07-001-113"/>
    <x v="1"/>
    <s v="DO211"/>
    <x v="37"/>
    <s v="2TEKC003AR310DO"/>
    <n v="3"/>
    <x v="8"/>
    <x v="1"/>
    <n v="30"/>
    <m/>
    <s v="TB231"/>
    <s v="310BN"/>
    <s v="2C"/>
    <s v="2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38"/>
    <s v="2TETN002HXT"/>
    <s v="2TETN-026PO"/>
    <s v="Q"/>
    <s v="R2TETN026PO_Q"/>
    <s v="2TETN-026PO启动"/>
    <s v="TETN"/>
    <s v="1812-B1132YKS07-001-114"/>
    <x v="1"/>
    <s v="DO211"/>
    <x v="37"/>
    <s v="2TEKC003AR310DO"/>
    <n v="3"/>
    <x v="8"/>
    <x v="2"/>
    <n v="30"/>
    <m/>
    <s v="TB231"/>
    <s v="310BN"/>
    <s v="3C"/>
    <s v="3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39"/>
    <s v="2TETN002HXT"/>
    <s v="2TETN-026PO"/>
    <s v="T"/>
    <s v="R2TETN026PO_T"/>
    <s v="2TETN-026PO停止"/>
    <s v="TETN"/>
    <s v="1812-B1132YKS07-001-114"/>
    <x v="1"/>
    <s v="DO211"/>
    <x v="37"/>
    <s v="2TEKC003AR310DO"/>
    <n v="3"/>
    <x v="8"/>
    <x v="3"/>
    <n v="30"/>
    <m/>
    <s v="TB231"/>
    <s v="310BN"/>
    <s v="4C"/>
    <s v="4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40"/>
    <m/>
    <s v="2TETN-027PO"/>
    <s v="Q"/>
    <s v="R2TETN027PO_Q"/>
    <s v="2TETN-027PO启动"/>
    <s v="TETN"/>
    <s v="1812-B1132YKS07-001-115"/>
    <x v="1"/>
    <s v="DO211"/>
    <x v="37"/>
    <s v="2TEKC003AR310DO"/>
    <n v="3"/>
    <x v="8"/>
    <x v="4"/>
    <n v="30"/>
    <m/>
    <s v="TB231"/>
    <s v="310BN"/>
    <s v="5C"/>
    <s v="5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41"/>
    <m/>
    <s v="2TETN-027PO"/>
    <s v="T"/>
    <s v="R2TETN027PO_T"/>
    <s v="2TETN-027PO停止"/>
    <s v="TETN"/>
    <s v="1812-B1132YKS07-001-115"/>
    <x v="1"/>
    <s v="DO211"/>
    <x v="37"/>
    <s v="2TEKC003AR310DO"/>
    <n v="3"/>
    <x v="8"/>
    <x v="5"/>
    <n v="30"/>
    <m/>
    <s v="TB231"/>
    <s v="310BN"/>
    <s v="6C"/>
    <s v="6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42"/>
    <m/>
    <s v="2TETN-028PO"/>
    <s v="Q"/>
    <s v="R2TETN028PO_Q"/>
    <s v="2TETN-028PO启动"/>
    <s v="TETN"/>
    <s v="1812-B1132YKS07-001-116"/>
    <x v="1"/>
    <s v="DO211"/>
    <x v="37"/>
    <s v="2TEKC003AR310DO"/>
    <n v="3"/>
    <x v="8"/>
    <x v="6"/>
    <n v="30"/>
    <m/>
    <s v="TB231"/>
    <s v="310BN"/>
    <s v="7C"/>
    <s v="7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43"/>
    <m/>
    <s v="2TETN-028PO"/>
    <s v="T"/>
    <s v="R2TETN028PO_T"/>
    <s v="2TETN-028PO停止"/>
    <s v="TETN"/>
    <s v="1812-B1132YKS07-001-116"/>
    <x v="1"/>
    <s v="DO211"/>
    <x v="37"/>
    <s v="2TEKC003AR310DO"/>
    <n v="3"/>
    <x v="8"/>
    <x v="7"/>
    <n v="30"/>
    <m/>
    <s v="TB231"/>
    <s v="310BN"/>
    <s v="8C"/>
    <s v="8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44"/>
    <m/>
    <s v="2TETN-029PO"/>
    <s v="Q"/>
    <s v="R2TETN029PO_Q"/>
    <s v="2TETN-029PO启动"/>
    <s v="TETN"/>
    <s v="1812-B1132YKS07-001-117"/>
    <x v="1"/>
    <s v="DO211"/>
    <x v="37"/>
    <s v="2TEKC003AR310DO"/>
    <n v="3"/>
    <x v="8"/>
    <x v="8"/>
    <n v="30"/>
    <m/>
    <s v="TB231"/>
    <s v="310BN"/>
    <s v="9C"/>
    <s v="9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45"/>
    <m/>
    <s v="2TETN-029PO"/>
    <s v="T"/>
    <s v="R2TETN029PO_T"/>
    <s v="2TETN-029PO停止"/>
    <s v="TETN"/>
    <s v="1812-B1132YKS07-001-117"/>
    <x v="1"/>
    <s v="DO211"/>
    <x v="37"/>
    <s v="2TEKC003AR310DO"/>
    <n v="3"/>
    <x v="8"/>
    <x v="9"/>
    <n v="30"/>
    <m/>
    <s v="TB231"/>
    <s v="310BN"/>
    <s v="10C"/>
    <s v="10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46"/>
    <s v="备用"/>
    <s v="2TEKC003AR310DOCH11"/>
    <m/>
    <s v="R2TEKC003AR310DOCH11"/>
    <s v="备用"/>
    <s v="TETN"/>
    <m/>
    <x v="1"/>
    <s v="DO211"/>
    <x v="37"/>
    <s v="2TEKC003AR310DO"/>
    <n v="3"/>
    <x v="8"/>
    <x v="10"/>
    <n v="30"/>
    <m/>
    <s v="TB231"/>
    <s v="310BN"/>
    <s v="11C"/>
    <s v="11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47"/>
    <s v="备用"/>
    <s v="2TEKC003AR310DOCH12"/>
    <m/>
    <s v="R2TEKC003AR310DOCH12"/>
    <s v="备用"/>
    <s v="TETN"/>
    <m/>
    <x v="1"/>
    <s v="DO211"/>
    <x v="37"/>
    <s v="2TEKC003AR310DO"/>
    <n v="3"/>
    <x v="8"/>
    <x v="11"/>
    <n v="30"/>
    <m/>
    <s v="TB231"/>
    <s v="310BN"/>
    <s v="12C"/>
    <s v="12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48"/>
    <s v="备用"/>
    <s v="2TEKC003AR310DOCH13"/>
    <m/>
    <s v="R2TEKC003AR310DOCH13"/>
    <s v="备用"/>
    <s v="TETN"/>
    <m/>
    <x v="1"/>
    <s v="DO211"/>
    <x v="37"/>
    <s v="2TEKC003AR310DO"/>
    <n v="3"/>
    <x v="8"/>
    <x v="12"/>
    <n v="30"/>
    <m/>
    <s v="TB231"/>
    <s v="310BN"/>
    <s v="13C"/>
    <s v="13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49"/>
    <s v="备用"/>
    <s v="2TEKC003AR310DOCH14"/>
    <m/>
    <s v="R2TEKC003AR310DOCH14"/>
    <s v="备用"/>
    <s v="TETN"/>
    <m/>
    <x v="1"/>
    <s v="DO211"/>
    <x v="37"/>
    <s v="2TEKC003AR310DO"/>
    <n v="3"/>
    <x v="8"/>
    <x v="13"/>
    <n v="30"/>
    <m/>
    <s v="TB231"/>
    <s v="310BN"/>
    <s v="14C"/>
    <s v="14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50"/>
    <s v="备用"/>
    <s v="2TEKC003AR310DOCH15"/>
    <m/>
    <s v="R2TEKC003AR310DOCH15"/>
    <s v="备用"/>
    <s v="TETN"/>
    <m/>
    <x v="1"/>
    <s v="DO211"/>
    <x v="37"/>
    <s v="2TEKC003AR310DO"/>
    <n v="3"/>
    <x v="8"/>
    <x v="14"/>
    <n v="30"/>
    <m/>
    <s v="TB231"/>
    <s v="310BN"/>
    <s v="15C"/>
    <s v="15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51"/>
    <s v="备用"/>
    <s v="2TEKC003AR310DOCH16"/>
    <m/>
    <s v="R2TEKC003AR310DOCH16"/>
    <s v="备用"/>
    <s v="TETN"/>
    <m/>
    <x v="1"/>
    <s v="DO211"/>
    <x v="37"/>
    <s v="2TEKC003AR310DO"/>
    <n v="3"/>
    <x v="8"/>
    <x v="15"/>
    <n v="30"/>
    <m/>
    <s v="TB231"/>
    <s v="310BN"/>
    <s v="16C"/>
    <s v="16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3"/>
    <n v="1"/>
    <m/>
    <s v=""/>
    <m/>
  </r>
  <r>
    <n v="552"/>
    <s v="2TETN007HXT"/>
    <s v="2TT-TETN009EX"/>
    <m/>
    <s v="R2TTTETN009EX"/>
    <s v="换热器(009EX)循环冷却水出口管线温度"/>
    <s v="TETN"/>
    <s v="1812-B1132YKS08-001_020"/>
    <x v="2"/>
    <s v="AI216"/>
    <x v="0"/>
    <s v="2TEKC004AR103AI"/>
    <n v="1"/>
    <x v="0"/>
    <x v="0"/>
    <n v="3"/>
    <m/>
    <s v="TB241"/>
    <s v="103BN"/>
    <s v="1B"/>
    <s v="1A"/>
    <s v="--"/>
    <s v="--"/>
    <s v="NR"/>
    <s v="NA"/>
    <s v="AI"/>
    <s v="4~20mA"/>
    <s v="DCS"/>
    <s v="AI1"/>
    <s v="两线制"/>
    <s v="°C"/>
    <n v="0"/>
    <n v="50"/>
    <m/>
    <m/>
    <m/>
    <m/>
    <m/>
    <m/>
    <m/>
    <s v="A"/>
    <m/>
    <m/>
    <m/>
    <m/>
    <m/>
    <m/>
    <m/>
    <m/>
    <m/>
    <m/>
    <m/>
    <m/>
    <m/>
    <m/>
    <m/>
    <m/>
    <m/>
    <n v="33"/>
    <s v="R"/>
    <s v="R2TETN079KA"/>
    <s v="换热器(009EX)循环冷却水出口管线温度高于33℃高报警"/>
    <m/>
    <m/>
    <m/>
    <m/>
    <m/>
    <m/>
    <m/>
    <m/>
    <m/>
    <m/>
    <m/>
    <m/>
    <m/>
    <m/>
    <m/>
    <m/>
    <n v="4"/>
    <n v="1"/>
    <m/>
    <n v="2"/>
    <m/>
  </r>
  <r>
    <n v="553"/>
    <s v="2TETN008HXT"/>
    <s v="2TT-TETN010EX"/>
    <m/>
    <s v="R2TTTETN010EX"/>
    <s v="换热器(010EX)循环冷却水出口管线温度"/>
    <s v="TETN"/>
    <s v="1812-B1132YKS08-001_020"/>
    <x v="2"/>
    <s v="AI216"/>
    <x v="0"/>
    <s v="2TEKC004AR103AI"/>
    <n v="1"/>
    <x v="0"/>
    <x v="1"/>
    <n v="3"/>
    <m/>
    <s v="TB241"/>
    <s v="103BN"/>
    <s v="2B"/>
    <s v="2A"/>
    <s v="--"/>
    <s v="--"/>
    <s v="NR"/>
    <s v="NA"/>
    <s v="AI"/>
    <s v="4~20mA"/>
    <s v="DCS"/>
    <s v="AI1"/>
    <s v="两线制"/>
    <s v="°C"/>
    <n v="0"/>
    <n v="50"/>
    <m/>
    <m/>
    <m/>
    <m/>
    <m/>
    <m/>
    <m/>
    <s v="A"/>
    <m/>
    <m/>
    <m/>
    <m/>
    <m/>
    <m/>
    <m/>
    <m/>
    <m/>
    <m/>
    <m/>
    <m/>
    <m/>
    <m/>
    <m/>
    <m/>
    <m/>
    <n v="33"/>
    <s v="R"/>
    <s v="R2TETN080KA"/>
    <s v="换热器(010EX)循环冷却水出口管线温度高于33℃高报警"/>
    <m/>
    <m/>
    <m/>
    <m/>
    <m/>
    <m/>
    <m/>
    <m/>
    <m/>
    <m/>
    <m/>
    <m/>
    <m/>
    <m/>
    <m/>
    <m/>
    <n v="4"/>
    <n v="1"/>
    <m/>
    <n v="2"/>
    <m/>
  </r>
  <r>
    <n v="554"/>
    <s v="2TETN003HXT"/>
    <s v="2PT-TETN001PO"/>
    <m/>
    <s v="R2PTTETN001PO"/>
    <s v="尿素循环泵(001PO)出口管线压力"/>
    <s v="TETN"/>
    <s v="1812-B1132YKS08-001_020"/>
    <x v="2"/>
    <s v="AI216"/>
    <x v="0"/>
    <s v="2TEKC004AR103AI"/>
    <n v="1"/>
    <x v="0"/>
    <x v="2"/>
    <n v="3"/>
    <m/>
    <s v="TB241"/>
    <s v="103BN"/>
    <s v="3B"/>
    <s v="3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55"/>
    <s v="2TETN003HXT"/>
    <s v="2PT-TETN002PO"/>
    <m/>
    <s v="R2PTTETN002PO"/>
    <s v="尿素循环泵(002PO)出口管线压力"/>
    <s v="TETN"/>
    <s v="1812-B1132YKS08-001_020"/>
    <x v="2"/>
    <s v="AI216"/>
    <x v="0"/>
    <s v="2TEKC004AR103AI"/>
    <n v="1"/>
    <x v="0"/>
    <x v="3"/>
    <n v="3"/>
    <m/>
    <s v="TB241"/>
    <s v="103BN"/>
    <s v="4B"/>
    <s v="4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56"/>
    <s v="2TETN003HXT"/>
    <s v="2PT-TETN003PO"/>
    <m/>
    <s v="R2PTTETN003PO"/>
    <s v="尿素循环泵(003PO)出口管线压力"/>
    <s v="TETN"/>
    <s v="1812-B1132YKS08-001_020"/>
    <x v="2"/>
    <s v="AI216"/>
    <x v="0"/>
    <s v="2TEKC004AR103AI"/>
    <n v="1"/>
    <x v="0"/>
    <x v="4"/>
    <n v="3"/>
    <m/>
    <s v="TB241"/>
    <s v="103BN"/>
    <s v="5B"/>
    <s v="5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57"/>
    <s v="2TETN003HXT"/>
    <s v="2PT-TETN004PO"/>
    <m/>
    <s v="R2PTTETN004PO"/>
    <s v="尿素循环泵(004PO)出口管线压力"/>
    <s v="TETN"/>
    <s v="1812-B1132YKS08-001_020"/>
    <x v="2"/>
    <s v="AI216"/>
    <x v="0"/>
    <s v="2TEKC004AR103AI"/>
    <n v="1"/>
    <x v="0"/>
    <x v="5"/>
    <n v="3"/>
    <m/>
    <s v="TB241"/>
    <s v="103BN"/>
    <s v="6B"/>
    <s v="6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58"/>
    <s v="备用"/>
    <s v="2TEKC004AR103AICH07"/>
    <m/>
    <s v="R2TEKC004AR103AICH07"/>
    <s v="备用"/>
    <s v="TETN"/>
    <m/>
    <x v="2"/>
    <s v="AI216"/>
    <x v="0"/>
    <s v="2TEKC004AR103AI"/>
    <n v="1"/>
    <x v="0"/>
    <x v="6"/>
    <n v="3"/>
    <m/>
    <s v="TB241"/>
    <s v="103BN"/>
    <s v="7B"/>
    <s v="7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559"/>
    <s v="备用"/>
    <s v="2TEKC004AR103AICH08"/>
    <m/>
    <s v="R2TEKC004AR103AICH08"/>
    <s v="备用"/>
    <s v="TETN"/>
    <m/>
    <x v="2"/>
    <s v="AI216"/>
    <x v="0"/>
    <s v="2TEKC004AR103AI"/>
    <n v="1"/>
    <x v="0"/>
    <x v="7"/>
    <n v="3"/>
    <m/>
    <s v="TB241"/>
    <s v="103BN"/>
    <s v="8B"/>
    <s v="8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560"/>
    <s v="2TETN004HXT"/>
    <s v="2PT-TETN006PO"/>
    <m/>
    <s v="R2PTTETN006PO"/>
    <s v="尿素循环泵(006PO)出口管线压力"/>
    <s v="TETN"/>
    <s v="1812-B1132YKS08-001_020"/>
    <x v="2"/>
    <s v="AI216"/>
    <x v="12"/>
    <s v="2TEKC004AR104AI"/>
    <n v="1"/>
    <x v="1"/>
    <x v="0"/>
    <n v="4"/>
    <m/>
    <s v="TB241"/>
    <s v="104BN"/>
    <s v="1B"/>
    <s v="1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61"/>
    <s v="2TETN004HXT"/>
    <s v="2PT-TETN007PO"/>
    <m/>
    <s v="R2PTTETN007PO"/>
    <s v="尿素循环泵(007PO)出口管线压力"/>
    <s v="TETN"/>
    <s v="1812-B1132YKS08-001_021"/>
    <x v="2"/>
    <s v="AI216"/>
    <x v="12"/>
    <s v="2TEKC004AR104AI"/>
    <n v="1"/>
    <x v="1"/>
    <x v="1"/>
    <n v="4"/>
    <m/>
    <s v="TB241"/>
    <s v="104BN"/>
    <s v="2B"/>
    <s v="2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62"/>
    <s v="2TETN004HXT"/>
    <s v="2PT-TETN008PO"/>
    <m/>
    <s v="R2PTTETN008PO"/>
    <s v="尿素循环泵(008PO)出口管线压力"/>
    <s v="TETN"/>
    <s v="1812-B1132YKS08-001_021"/>
    <x v="2"/>
    <s v="AI216"/>
    <x v="12"/>
    <s v="2TEKC004AR104AI"/>
    <n v="1"/>
    <x v="1"/>
    <x v="2"/>
    <n v="4"/>
    <m/>
    <s v="TB241"/>
    <s v="104BN"/>
    <s v="3B"/>
    <s v="3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63"/>
    <s v="2TETN005HXT"/>
    <s v="2PT-TETN009PO"/>
    <m/>
    <s v="R2PTTETN009PO"/>
    <s v="尿素循环泵(009PO)出口管线压力"/>
    <s v="TETN"/>
    <s v="1812-B1132YKS08-001_021"/>
    <x v="2"/>
    <s v="AI216"/>
    <x v="12"/>
    <s v="2TEKC004AR104AI"/>
    <n v="1"/>
    <x v="1"/>
    <x v="3"/>
    <n v="4"/>
    <m/>
    <s v="TB241"/>
    <s v="104BN"/>
    <s v="4B"/>
    <s v="4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64"/>
    <s v="2TETN005HXT"/>
    <s v="2PT-TETN010PO"/>
    <m/>
    <s v="R2PTTETN010PO"/>
    <s v="尿素循环泵(010PO)出口管线压力"/>
    <s v="TETN"/>
    <s v="1812-B1132YKS08-001_021"/>
    <x v="2"/>
    <s v="AI216"/>
    <x v="12"/>
    <s v="2TEKC004AR104AI"/>
    <n v="1"/>
    <x v="1"/>
    <x v="4"/>
    <n v="4"/>
    <m/>
    <s v="TB241"/>
    <s v="104BN"/>
    <s v="5B"/>
    <s v="5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65"/>
    <s v="2TETN006HXT"/>
    <s v="2PT-TETN011PO"/>
    <m/>
    <s v="R2PTTETN011PO"/>
    <s v="尿素循环泵(011PO)出口管线压力"/>
    <s v="TETN"/>
    <s v="1812-B1132YKS08-001_021"/>
    <x v="2"/>
    <s v="AI216"/>
    <x v="12"/>
    <s v="2TEKC004AR104AI"/>
    <n v="1"/>
    <x v="1"/>
    <x v="5"/>
    <n v="4"/>
    <m/>
    <s v="TB241"/>
    <s v="104BN"/>
    <s v="6B"/>
    <s v="6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66"/>
    <s v="2TETN004HXT"/>
    <s v="2PT-TETN005PO"/>
    <m/>
    <s v="R2PTTETN005PO"/>
    <s v="尿素循环泵(005PO)出口管线压力"/>
    <s v="TETN"/>
    <s v="1812-B1132YKS08-001_020"/>
    <x v="2"/>
    <s v="AI216"/>
    <x v="12"/>
    <s v="2TEKC004AR104AI"/>
    <n v="1"/>
    <x v="1"/>
    <x v="6"/>
    <n v="4"/>
    <m/>
    <s v="TB241"/>
    <s v="104BN"/>
    <s v="7B"/>
    <s v="7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67"/>
    <s v="备用"/>
    <s v="2TEKC004AR104AICH08"/>
    <m/>
    <s v="R2TEKC004AR104AICH08"/>
    <s v="备用"/>
    <s v="TETN"/>
    <m/>
    <x v="2"/>
    <s v="AI216"/>
    <x v="12"/>
    <s v="2TEKC004AR104AI"/>
    <n v="1"/>
    <x v="1"/>
    <x v="7"/>
    <n v="4"/>
    <m/>
    <s v="TB241"/>
    <s v="104BN"/>
    <s v="8B"/>
    <s v="8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568"/>
    <s v="2TETN006HXT"/>
    <s v="2PT-TETN012PO"/>
    <m/>
    <s v="R2PTTETN012PO"/>
    <s v="尿素循环泵(012PO)出口管线压力"/>
    <s v="TETN"/>
    <s v="1812-B1132YKS08-001_021"/>
    <x v="2"/>
    <s v="AI216"/>
    <x v="13"/>
    <s v="2TEKC004AR105AI"/>
    <n v="1"/>
    <x v="2"/>
    <x v="0"/>
    <n v="5"/>
    <m/>
    <s v="TB241"/>
    <s v="105BN"/>
    <s v="1B"/>
    <s v="1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69"/>
    <s v="2TETN006HXT"/>
    <s v="2PT-TETN013PO"/>
    <m/>
    <s v="R2PTTETN013PO"/>
    <s v="尿素循环泵(013PO)出口管线压力"/>
    <s v="TETN"/>
    <s v="1812-B1132YKS08-001_021"/>
    <x v="2"/>
    <s v="AI216"/>
    <x v="13"/>
    <s v="2TEKC004AR105AI"/>
    <n v="1"/>
    <x v="2"/>
    <x v="1"/>
    <n v="5"/>
    <m/>
    <s v="TB241"/>
    <s v="105BN"/>
    <s v="2B"/>
    <s v="2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70"/>
    <s v="2TETN006HXT"/>
    <s v="2PT-TETN014PO"/>
    <m/>
    <s v="R2PTTETN014PO"/>
    <s v="尿素循环泵(014PO)出口管线压力"/>
    <s v="TETN"/>
    <s v="1812-B1132YKS08-001_021"/>
    <x v="2"/>
    <s v="AI216"/>
    <x v="13"/>
    <s v="2TEKC004AR105AI"/>
    <n v="1"/>
    <x v="2"/>
    <x v="2"/>
    <n v="5"/>
    <m/>
    <s v="TB241"/>
    <s v="105BN"/>
    <s v="3B"/>
    <s v="3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71"/>
    <s v="2TETN007HXT"/>
    <s v="2PT-TETN015PO"/>
    <m/>
    <s v="R2PTTETN015PO"/>
    <s v="尿素循环泵(015PO)出口管线压力"/>
    <s v="TETN"/>
    <s v="1812-B1132YKS08-001_022"/>
    <x v="2"/>
    <s v="AI216"/>
    <x v="13"/>
    <s v="2TEKC004AR105AI"/>
    <n v="1"/>
    <x v="2"/>
    <x v="3"/>
    <n v="5"/>
    <m/>
    <s v="TB241"/>
    <s v="105BN"/>
    <s v="4B"/>
    <s v="4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72"/>
    <s v="2TETN007HXT"/>
    <s v="2PT-TETN016PO"/>
    <m/>
    <s v="R2PTTETN016PO"/>
    <s v="尿素循环泵(016PO)出口管线压力"/>
    <s v="TETN"/>
    <s v="1812-B1132YKS08-001_022"/>
    <x v="2"/>
    <s v="AI216"/>
    <x v="13"/>
    <s v="2TEKC004AR105AI"/>
    <n v="1"/>
    <x v="2"/>
    <x v="4"/>
    <n v="5"/>
    <m/>
    <s v="TB241"/>
    <s v="105BN"/>
    <s v="5B"/>
    <s v="5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73"/>
    <s v="2TETN007HXT"/>
    <s v="2PT-TETN017PO"/>
    <m/>
    <s v="R2PTTETN017PO"/>
    <s v="尿素循环泵(017PO)出口管线压力"/>
    <s v="TETN"/>
    <s v="1812-B1132YKS08-001_022"/>
    <x v="2"/>
    <s v="AI216"/>
    <x v="13"/>
    <s v="2TEKC004AR105AI"/>
    <n v="1"/>
    <x v="2"/>
    <x v="5"/>
    <n v="5"/>
    <m/>
    <s v="TB241"/>
    <s v="105BN"/>
    <s v="6B"/>
    <s v="6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74"/>
    <s v="备用"/>
    <s v="2TEKC004AR105AICH07"/>
    <m/>
    <s v="R2TEKC004AR105AICH07"/>
    <s v="备用"/>
    <s v="TETN"/>
    <m/>
    <x v="2"/>
    <s v="AI216"/>
    <x v="13"/>
    <s v="2TEKC004AR105AI"/>
    <n v="1"/>
    <x v="2"/>
    <x v="6"/>
    <n v="5"/>
    <m/>
    <s v="TB241"/>
    <s v="105BN"/>
    <s v="7B"/>
    <s v="7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575"/>
    <s v="备用"/>
    <s v="2TEKC004AR105AICH08"/>
    <m/>
    <s v="R2TEKC004AR105AICH08"/>
    <s v="备用"/>
    <s v="TETN"/>
    <m/>
    <x v="2"/>
    <s v="AI216"/>
    <x v="13"/>
    <s v="2TEKC004AR105AI"/>
    <n v="1"/>
    <x v="2"/>
    <x v="7"/>
    <n v="5"/>
    <m/>
    <s v="TB241"/>
    <s v="105BN"/>
    <s v="8B"/>
    <s v="8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576"/>
    <s v="2TETN007HXT"/>
    <s v="2PT-TETN018PO"/>
    <m/>
    <s v="R2PTTETN018PO"/>
    <s v="尿素循环泵(018PO)出口管线压力"/>
    <s v="TETN"/>
    <s v="1812-B1132YKS08-001_022"/>
    <x v="2"/>
    <s v="AI216"/>
    <x v="14"/>
    <s v="2TEKC004AR106AI"/>
    <n v="1"/>
    <x v="3"/>
    <x v="0"/>
    <n v="6"/>
    <m/>
    <s v="TB241"/>
    <s v="106BN"/>
    <s v="1B"/>
    <s v="1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77"/>
    <s v="2TETN008HXT"/>
    <s v="2PT-TETN019PO"/>
    <m/>
    <s v="R2PTTETN019PO"/>
    <s v="尿素循环泵(019PO)出口管线压力"/>
    <s v="TETN"/>
    <s v="1812-B1132YKS08-001_022"/>
    <x v="2"/>
    <s v="AI216"/>
    <x v="14"/>
    <s v="2TEKC004AR106AI"/>
    <n v="1"/>
    <x v="3"/>
    <x v="1"/>
    <n v="6"/>
    <m/>
    <s v="TB241"/>
    <s v="106BN"/>
    <s v="2B"/>
    <s v="2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78"/>
    <s v="2TETN008HXT"/>
    <s v="2PT-TETN020PO"/>
    <m/>
    <s v="R2PTTETN020PO"/>
    <s v="尿素循环泵(020PO)出口管线压力"/>
    <s v="TETN"/>
    <s v="1812-B1132YKS08-001_022"/>
    <x v="2"/>
    <s v="AI216"/>
    <x v="14"/>
    <s v="2TEKC004AR106AI"/>
    <n v="1"/>
    <x v="3"/>
    <x v="2"/>
    <n v="6"/>
    <m/>
    <s v="TB241"/>
    <s v="106BN"/>
    <s v="3B"/>
    <s v="3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79"/>
    <s v="2TETN002HXT"/>
    <s v="2PT-TETN021PO"/>
    <m/>
    <s v="R2PTTETN021PO"/>
    <s v="废液中转泵(021PO)出口管线压力"/>
    <s v="TETN"/>
    <s v="1812-B1132YKS08-001_022"/>
    <x v="2"/>
    <s v="AI216"/>
    <x v="14"/>
    <s v="2TEKC004AR106AI"/>
    <n v="1"/>
    <x v="3"/>
    <x v="3"/>
    <n v="6"/>
    <m/>
    <s v="TB241"/>
    <s v="106BN"/>
    <s v="4B"/>
    <s v="4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80"/>
    <s v="2TETN002HXT"/>
    <s v="2PT-TETN022PO"/>
    <m/>
    <s v="R2PTTETN022PO"/>
    <s v="废液中转泵(022PO)出口管线压力"/>
    <s v="TETN"/>
    <s v="1812-B1132YKS08-001_022"/>
    <x v="2"/>
    <s v="AI216"/>
    <x v="14"/>
    <s v="2TEKC004AR106AI"/>
    <n v="1"/>
    <x v="3"/>
    <x v="4"/>
    <n v="6"/>
    <m/>
    <s v="TB241"/>
    <s v="106BN"/>
    <s v="5B"/>
    <s v="5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81"/>
    <s v="2TETN001HXT"/>
    <s v="2PT-TETN023PO"/>
    <m/>
    <s v="R2PTTETN023PO"/>
    <s v="废液输送泵(023PO)出口管线压力"/>
    <s v="TETN"/>
    <s v="1812-B1132YKS08-001_023"/>
    <x v="2"/>
    <s v="AI216"/>
    <x v="14"/>
    <s v="2TEKC004AR106AI"/>
    <n v="1"/>
    <x v="3"/>
    <x v="5"/>
    <n v="6"/>
    <m/>
    <s v="TB241"/>
    <s v="106BN"/>
    <s v="6B"/>
    <s v="6A"/>
    <s v="--"/>
    <s v="--"/>
    <s v="NR"/>
    <s v="NA"/>
    <s v="AI"/>
    <s v="4~20mA"/>
    <s v="DCS"/>
    <s v="AI1"/>
    <s v="两线制"/>
    <s v="MPa"/>
    <n v="0"/>
    <n v="1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82"/>
    <s v="备用"/>
    <s v="2TEKC004AR106AICH07"/>
    <m/>
    <s v="R2TEKC004AR106AICH07"/>
    <s v="备用"/>
    <s v="TETN"/>
    <m/>
    <x v="2"/>
    <s v="AI216"/>
    <x v="14"/>
    <s v="2TEKC004AR106AI"/>
    <n v="1"/>
    <x v="3"/>
    <x v="6"/>
    <n v="6"/>
    <m/>
    <s v="TB241"/>
    <s v="106BN"/>
    <s v="7B"/>
    <s v="7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583"/>
    <s v="备用"/>
    <s v="2TEKC004AR106AICH08"/>
    <m/>
    <s v="R2TEKC004AR106AICH08"/>
    <s v="备用"/>
    <s v="TETN"/>
    <m/>
    <x v="2"/>
    <s v="AI216"/>
    <x v="14"/>
    <s v="2TEKC004AR106AI"/>
    <n v="1"/>
    <x v="3"/>
    <x v="7"/>
    <n v="6"/>
    <m/>
    <s v="TB241"/>
    <s v="106BN"/>
    <s v="8B"/>
    <s v="8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584"/>
    <s v="2TETN001HXT"/>
    <s v="2PT-TETN024PO"/>
    <m/>
    <s v="R2PTTETN024PO"/>
    <s v="废液输送泵(024PO)出口管线压力"/>
    <s v="TETN"/>
    <s v="1812-B1132YKS08-001_023"/>
    <x v="2"/>
    <s v="AI216"/>
    <x v="15"/>
    <s v="2TEKC004AR107AI"/>
    <n v="1"/>
    <x v="4"/>
    <x v="0"/>
    <n v="7"/>
    <m/>
    <s v="TB241"/>
    <s v="107BN"/>
    <s v="1B"/>
    <s v="1A"/>
    <s v="--"/>
    <s v="--"/>
    <s v="NR"/>
    <s v="NA"/>
    <s v="AI"/>
    <s v="4~20mA"/>
    <s v="DCS"/>
    <s v="AI1"/>
    <s v="两线制"/>
    <s v="MPa"/>
    <n v="0"/>
    <n v="1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85"/>
    <s v="2TETN002HXT"/>
    <s v="2PT-TETN025PO"/>
    <m/>
    <s v="R2PTTETN025PO"/>
    <s v="尿素输送泵(025PO)出口管线压力"/>
    <s v="TETN"/>
    <s v="1812-B1132YKS08-001_023"/>
    <x v="2"/>
    <s v="AI216"/>
    <x v="15"/>
    <s v="2TEKC004AR107AI"/>
    <n v="1"/>
    <x v="4"/>
    <x v="1"/>
    <n v="7"/>
    <m/>
    <s v="TB241"/>
    <s v="107BN"/>
    <s v="2B"/>
    <s v="2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86"/>
    <s v="2TETN002HXT"/>
    <s v="2PT-TETN026PO"/>
    <m/>
    <s v="R2PTTETN026PO"/>
    <s v="尿素输送泵(026PO)出口管线压力"/>
    <s v="TETN"/>
    <s v="1812-B1132YKS08-001_023"/>
    <x v="2"/>
    <s v="AI216"/>
    <x v="15"/>
    <s v="2TEKC004AR107AI"/>
    <n v="1"/>
    <x v="4"/>
    <x v="2"/>
    <n v="7"/>
    <m/>
    <s v="TB241"/>
    <s v="107BN"/>
    <s v="3B"/>
    <s v="3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87"/>
    <s v="2TETN006HXT"/>
    <s v="2PT-TETN027PO"/>
    <m/>
    <s v="R2PTTETN027PO"/>
    <s v="地坑泵(027PO)出口管线压力"/>
    <s v="TETN"/>
    <s v="1812-B1132YKS08-001_023"/>
    <x v="2"/>
    <s v="AI216"/>
    <x v="15"/>
    <s v="2TEKC004AR107AI"/>
    <n v="1"/>
    <x v="4"/>
    <x v="3"/>
    <n v="7"/>
    <m/>
    <s v="TB241"/>
    <s v="107BN"/>
    <s v="4B"/>
    <s v="4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88"/>
    <s v="2TETN001HXT"/>
    <s v="2PT-TETN028PO"/>
    <m/>
    <s v="R2PTTETN028PO"/>
    <s v="地坑泵(028PO)出口管线压力"/>
    <s v="TETN"/>
    <s v="1812-B1132YKS08-001_023"/>
    <x v="2"/>
    <s v="AI216"/>
    <x v="15"/>
    <s v="2TEKC004AR107AI"/>
    <n v="1"/>
    <x v="4"/>
    <x v="4"/>
    <n v="7"/>
    <m/>
    <s v="TB241"/>
    <s v="107BN"/>
    <s v="5B"/>
    <s v="5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89"/>
    <s v="2TETN002HXT"/>
    <s v="2PT-TETN029PO"/>
    <m/>
    <s v="R2PTTETN029PO"/>
    <s v="地坑泵(029PO)出口管线压力"/>
    <s v="TETN"/>
    <s v="1812-B1132YKS08-001_023"/>
    <x v="2"/>
    <s v="AI216"/>
    <x v="15"/>
    <s v="2TEKC004AR107AI"/>
    <n v="1"/>
    <x v="4"/>
    <x v="5"/>
    <n v="7"/>
    <m/>
    <s v="TB241"/>
    <s v="107BN"/>
    <s v="6B"/>
    <s v="6A"/>
    <s v="--"/>
    <s v="--"/>
    <s v="NR"/>
    <s v="NA"/>
    <s v="AI"/>
    <s v="4~20mA"/>
    <s v="DCS"/>
    <s v="AI1"/>
    <s v="两线制"/>
    <s v="MPa"/>
    <n v="0"/>
    <n v="0.6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90"/>
    <s v="备用"/>
    <s v="2TEKC004AR107AICH07"/>
    <m/>
    <s v="R2TEKC004AR107AICH07"/>
    <s v="备用"/>
    <s v="TETN"/>
    <m/>
    <x v="2"/>
    <s v="AI216"/>
    <x v="15"/>
    <s v="2TEKC004AR107AI"/>
    <n v="1"/>
    <x v="4"/>
    <x v="6"/>
    <n v="7"/>
    <m/>
    <s v="TB241"/>
    <s v="107BN"/>
    <s v="7B"/>
    <s v="7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591"/>
    <s v="备用"/>
    <s v="2TEKC004AR107AICH08"/>
    <m/>
    <s v="R2TEKC004AR107AICH08"/>
    <s v="备用"/>
    <s v="TETN"/>
    <m/>
    <x v="2"/>
    <s v="AI216"/>
    <x v="15"/>
    <s v="2TEKC004AR107AI"/>
    <n v="1"/>
    <x v="4"/>
    <x v="7"/>
    <n v="7"/>
    <m/>
    <s v="TB241"/>
    <s v="107BN"/>
    <s v="8B"/>
    <s v="8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592"/>
    <s v="2TETN002HXT"/>
    <s v="2PT-TETN001OG"/>
    <m/>
    <s v="R2PTTETN001OG"/>
    <s v="氮氧化物尾气进口管线压力"/>
    <s v="TETN"/>
    <s v="1812-B1132YKS08-001_023"/>
    <x v="2"/>
    <s v="AI216"/>
    <x v="16"/>
    <s v="2TEKC004AR108AI"/>
    <n v="1"/>
    <x v="7"/>
    <x v="0"/>
    <n v="8"/>
    <m/>
    <s v="TB241"/>
    <s v="108BN"/>
    <s v="1B"/>
    <s v="1A"/>
    <s v="--"/>
    <s v="--"/>
    <s v="NR"/>
    <s v="NA"/>
    <s v="AI"/>
    <s v="4~20mA"/>
    <s v="DCS"/>
    <s v="AI1"/>
    <s v="两线制"/>
    <s v="kPa"/>
    <n v="0"/>
    <n v="5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93"/>
    <s v="2TETN008HXT"/>
    <s v="2PT-TETN002OG"/>
    <m/>
    <s v="R2PTTETN002OG"/>
    <s v="风机(007/008ZV)出口总管压力"/>
    <s v="TETN"/>
    <s v="1812-B1132YKS08-001_024"/>
    <x v="2"/>
    <s v="AI216"/>
    <x v="16"/>
    <s v="2TEKC004AR108AI"/>
    <n v="1"/>
    <x v="7"/>
    <x v="1"/>
    <n v="8"/>
    <m/>
    <s v="TB241"/>
    <s v="108BN"/>
    <s v="2B"/>
    <s v="2A"/>
    <s v="--"/>
    <s v="--"/>
    <s v="NR"/>
    <s v="NA"/>
    <s v="AI"/>
    <s v="4~20mA"/>
    <s v="DCS"/>
    <s v="AI1"/>
    <s v="两线制"/>
    <s v="kPa"/>
    <n v="0"/>
    <n v="5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94"/>
    <s v="2TETN003HXT"/>
    <s v="2PT-TETN001EX"/>
    <m/>
    <s v="R2PTTETN001EX"/>
    <s v="换热器(001EX)循环冷却水进口管线压力"/>
    <s v="TETN"/>
    <s v="1812-B1132YKS08-001_024"/>
    <x v="2"/>
    <s v="AI216"/>
    <x v="16"/>
    <s v="2TEKC004AR108AI"/>
    <n v="1"/>
    <x v="7"/>
    <x v="2"/>
    <n v="8"/>
    <m/>
    <s v="TB241"/>
    <s v="108BN"/>
    <s v="3B"/>
    <s v="3A"/>
    <s v="--"/>
    <s v="--"/>
    <s v="NR"/>
    <s v="NA"/>
    <s v="AI"/>
    <s v="4~20mA"/>
    <s v="DCS"/>
    <s v="AI1"/>
    <s v="两线制"/>
    <s v="MPa"/>
    <n v="0"/>
    <n v="1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95"/>
    <s v="2TETN003HXT"/>
    <s v="2PT-TETN002EX"/>
    <m/>
    <s v="R2PTTETN002EX"/>
    <s v="换热器(002EX)循环冷却水进口管线压力"/>
    <s v="TETN"/>
    <s v="1812-B1132YKS08-001_024"/>
    <x v="2"/>
    <s v="AI216"/>
    <x v="16"/>
    <s v="2TEKC004AR108AI"/>
    <n v="1"/>
    <x v="7"/>
    <x v="3"/>
    <n v="8"/>
    <m/>
    <s v="TB241"/>
    <s v="108BN"/>
    <s v="4B"/>
    <s v="4A"/>
    <s v="--"/>
    <s v="--"/>
    <s v="NR"/>
    <s v="NA"/>
    <s v="AI"/>
    <s v="4~20mA"/>
    <s v="DCS"/>
    <s v="AI1"/>
    <s v="两线制"/>
    <s v="MPa"/>
    <n v="0"/>
    <n v="1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96"/>
    <s v="2TETN004HXT"/>
    <s v="2PT-TETN003EX"/>
    <m/>
    <s v="R2PTTETN003EX"/>
    <s v="换热器(003EX)循环冷却水进口管线压力"/>
    <s v="TETN"/>
    <s v="1812-B1132YKS08-001_024"/>
    <x v="2"/>
    <s v="AI216"/>
    <x v="16"/>
    <s v="2TEKC004AR108AI"/>
    <n v="1"/>
    <x v="7"/>
    <x v="4"/>
    <n v="8"/>
    <m/>
    <s v="TB241"/>
    <s v="108BN"/>
    <s v="5B"/>
    <s v="5A"/>
    <s v="--"/>
    <s v="--"/>
    <s v="NR"/>
    <s v="NA"/>
    <s v="AI"/>
    <s v="4~20mA"/>
    <s v="DCS"/>
    <s v="AI1"/>
    <s v="两线制"/>
    <s v="MPa"/>
    <n v="0"/>
    <n v="1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97"/>
    <s v="2TETN004HXT"/>
    <s v="2PT-TETN004EX"/>
    <m/>
    <s v="R2PTTETN004EX"/>
    <s v="换热器(004EX)循环冷却水进口管线压力"/>
    <s v="TETN"/>
    <s v="1812-B1132YKS08-001_024"/>
    <x v="2"/>
    <s v="AI216"/>
    <x v="16"/>
    <s v="2TEKC004AR108AI"/>
    <n v="1"/>
    <x v="7"/>
    <x v="5"/>
    <n v="8"/>
    <m/>
    <s v="TB241"/>
    <s v="108BN"/>
    <s v="6B"/>
    <s v="6A"/>
    <s v="--"/>
    <s v="--"/>
    <s v="NR"/>
    <s v="NA"/>
    <s v="AI"/>
    <s v="4~20mA"/>
    <s v="DCS"/>
    <s v="AI1"/>
    <s v="两线制"/>
    <s v="MPa"/>
    <n v="0"/>
    <n v="1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598"/>
    <s v="备用"/>
    <s v="2TEKC004AR108AICH07"/>
    <m/>
    <s v="R2TEKC004AR108AICH07"/>
    <s v="备用"/>
    <s v="TETN"/>
    <m/>
    <x v="2"/>
    <s v="AI216"/>
    <x v="16"/>
    <s v="2TEKC004AR108AI"/>
    <n v="1"/>
    <x v="7"/>
    <x v="6"/>
    <n v="8"/>
    <m/>
    <s v="TB241"/>
    <s v="108BN"/>
    <s v="7B"/>
    <s v="7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599"/>
    <s v="备用"/>
    <s v="2TEKC004AR108AICH08"/>
    <m/>
    <s v="R2TEKC004AR108AICH08"/>
    <s v="备用"/>
    <s v="TETN"/>
    <m/>
    <x v="2"/>
    <s v="AI216"/>
    <x v="16"/>
    <s v="2TEKC004AR108AI"/>
    <n v="1"/>
    <x v="7"/>
    <x v="7"/>
    <n v="8"/>
    <m/>
    <s v="TB241"/>
    <s v="108BN"/>
    <s v="8B"/>
    <s v="8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00"/>
    <s v="2TETN005HXT"/>
    <s v="2PT-TETN005EX"/>
    <m/>
    <s v="R2PTTETN005EX"/>
    <s v="换热器(005EX)循环冷却水进口管线压力"/>
    <s v="TETN"/>
    <s v="1812-B1132YKS08-001_024"/>
    <x v="2"/>
    <s v="AI216"/>
    <x v="17"/>
    <s v="2TEKC004AR109AI"/>
    <n v="1"/>
    <x v="6"/>
    <x v="0"/>
    <n v="9"/>
    <m/>
    <s v="TB241"/>
    <s v="109BN"/>
    <s v="1B"/>
    <s v="1A"/>
    <s v="--"/>
    <s v="--"/>
    <s v="NR"/>
    <s v="NA"/>
    <s v="AI"/>
    <s v="4~20mA"/>
    <s v="DCS"/>
    <s v="AI1"/>
    <s v="两线制"/>
    <s v="MPa"/>
    <n v="0"/>
    <n v="1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601"/>
    <s v="2TETN006HXT"/>
    <s v="2PT-TETN006EX"/>
    <m/>
    <s v="R2PTTETN006EX"/>
    <s v="换热器(006EX)循环冷却水进口管线压力"/>
    <s v="TETN"/>
    <s v="1812-B1132YKS08-001_024"/>
    <x v="2"/>
    <s v="AI216"/>
    <x v="17"/>
    <s v="2TEKC004AR109AI"/>
    <n v="1"/>
    <x v="6"/>
    <x v="1"/>
    <n v="9"/>
    <m/>
    <s v="TB241"/>
    <s v="109BN"/>
    <s v="2B"/>
    <s v="2A"/>
    <s v="--"/>
    <s v="--"/>
    <s v="NR"/>
    <s v="NA"/>
    <s v="AI"/>
    <s v="4~20mA"/>
    <s v="DCS"/>
    <s v="AI1"/>
    <s v="两线制"/>
    <s v="MPa"/>
    <n v="0"/>
    <n v="1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602"/>
    <s v="2TETN006HXT"/>
    <s v="2PT-TETN007EX"/>
    <m/>
    <s v="R2PTTETN007EX"/>
    <s v="换热器(007EX)循环冷却水进口管线压力"/>
    <s v="TETN"/>
    <s v="1812-B1132YKS08-001_024"/>
    <x v="2"/>
    <s v="AI216"/>
    <x v="17"/>
    <s v="2TEKC004AR109AI"/>
    <n v="1"/>
    <x v="6"/>
    <x v="2"/>
    <n v="9"/>
    <m/>
    <s v="TB241"/>
    <s v="109BN"/>
    <s v="3B"/>
    <s v="3A"/>
    <s v="--"/>
    <s v="--"/>
    <s v="NR"/>
    <s v="NA"/>
    <s v="AI"/>
    <s v="4~20mA"/>
    <s v="DCS"/>
    <s v="AI1"/>
    <s v="两线制"/>
    <s v="MPa"/>
    <n v="0"/>
    <n v="1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603"/>
    <s v="2TETN007HXT"/>
    <s v="2PT-TETN008EX"/>
    <m/>
    <s v="R2PTTETN008EX"/>
    <s v="换热器(008EX)循环冷却水进口管线压力"/>
    <s v="TETN"/>
    <s v="1812-B1132YKS08-001_025"/>
    <x v="2"/>
    <s v="AI216"/>
    <x v="17"/>
    <s v="2TEKC004AR109AI"/>
    <n v="1"/>
    <x v="6"/>
    <x v="3"/>
    <n v="9"/>
    <m/>
    <s v="TB241"/>
    <s v="109BN"/>
    <s v="4B"/>
    <s v="4A"/>
    <s v="--"/>
    <s v="--"/>
    <s v="NR"/>
    <s v="NA"/>
    <s v="AI"/>
    <s v="4~20mA"/>
    <s v="DCS"/>
    <s v="AI1"/>
    <s v="两线制"/>
    <s v="MPa"/>
    <n v="0"/>
    <n v="1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604"/>
    <s v="2TETN007HXT"/>
    <s v="2PT-TETN009EX"/>
    <m/>
    <s v="R2PTTETN009EX"/>
    <s v="换热器(009EX)循环冷却水进口管线压力"/>
    <s v="TETN"/>
    <s v="1812-B1132YKS08-001_025"/>
    <x v="2"/>
    <s v="AI216"/>
    <x v="17"/>
    <s v="2TEKC004AR109AI"/>
    <n v="1"/>
    <x v="6"/>
    <x v="4"/>
    <n v="9"/>
    <m/>
    <s v="TB241"/>
    <s v="109BN"/>
    <s v="5B"/>
    <s v="5A"/>
    <s v="--"/>
    <s v="--"/>
    <s v="NR"/>
    <s v="NA"/>
    <s v="AI"/>
    <s v="4~20mA"/>
    <s v="DCS"/>
    <s v="AI1"/>
    <s v="两线制"/>
    <s v="MPa"/>
    <n v="0"/>
    <n v="1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605"/>
    <s v="2TETN008HXT"/>
    <s v="2PT-TETN010EX"/>
    <m/>
    <s v="R2PTTETN010EX"/>
    <s v="换热器(010EX)循环冷却水进口管线压力"/>
    <s v="TETN"/>
    <s v="1812-B1132YKS08-001_025"/>
    <x v="2"/>
    <s v="AI216"/>
    <x v="17"/>
    <s v="2TEKC004AR109AI"/>
    <n v="1"/>
    <x v="6"/>
    <x v="5"/>
    <n v="9"/>
    <m/>
    <s v="TB241"/>
    <s v="109BN"/>
    <s v="6B"/>
    <s v="6A"/>
    <s v="--"/>
    <s v="--"/>
    <s v="NR"/>
    <s v="NA"/>
    <s v="AI"/>
    <s v="4~20mA"/>
    <s v="DCS"/>
    <s v="AI1"/>
    <s v="两线制"/>
    <s v="MPa"/>
    <n v="0"/>
    <n v="1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3"/>
    <m/>
  </r>
  <r>
    <n v="606"/>
    <s v="备用"/>
    <s v="2TEKC004AR109AICH07"/>
    <m/>
    <s v="R2TEKC004AR109AICH07"/>
    <s v="备用"/>
    <s v="TETN"/>
    <m/>
    <x v="2"/>
    <s v="AI216"/>
    <x v="17"/>
    <s v="2TEKC004AR109AI"/>
    <n v="1"/>
    <x v="6"/>
    <x v="6"/>
    <n v="9"/>
    <m/>
    <s v="TB241"/>
    <s v="109BN"/>
    <s v="7B"/>
    <s v="7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07"/>
    <s v="备用"/>
    <s v="2TEKC004AR109AICH08"/>
    <m/>
    <s v="R2TEKC004AR109AICH08"/>
    <s v="备用"/>
    <s v="TETN"/>
    <m/>
    <x v="2"/>
    <s v="AI216"/>
    <x v="17"/>
    <s v="2TEKC004AR109AI"/>
    <n v="1"/>
    <x v="6"/>
    <x v="7"/>
    <n v="9"/>
    <m/>
    <s v="TB241"/>
    <s v="109BN"/>
    <s v="8B"/>
    <s v="8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08"/>
    <s v="2TETN005HXT"/>
    <s v="2PT-TETN003OG"/>
    <m/>
    <s v="R2PTTETN003OG"/>
    <s v="风机(001/002ZV)进口总管压力"/>
    <s v="TETN"/>
    <s v="1812-B1132YKS08-001_025"/>
    <x v="2"/>
    <s v="AI216"/>
    <x v="38"/>
    <s v="2TEKC004AR110AI"/>
    <n v="1"/>
    <x v="8"/>
    <x v="0"/>
    <n v="10"/>
    <m/>
    <s v="TB241"/>
    <s v="110BN"/>
    <s v="1B"/>
    <s v="1A"/>
    <s v="--"/>
    <s v="--"/>
    <s v="NR"/>
    <s v="NA"/>
    <s v="AI"/>
    <s v="4~20mA"/>
    <s v="DCS"/>
    <s v="AI1"/>
    <s v="两线制"/>
    <s v="kPa"/>
    <n v="0"/>
    <n v="15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2"/>
    <m/>
  </r>
  <r>
    <n v="609"/>
    <s v="2TETN008HXT"/>
    <s v="2PT-TETN004OG"/>
    <m/>
    <s v="R2PTTETN004OG"/>
    <s v="风机(003/004ZV)进口总管压力"/>
    <s v="TETN"/>
    <s v="1812-B1132YKS08-001_025"/>
    <x v="2"/>
    <s v="AI216"/>
    <x v="38"/>
    <s v="2TEKC004AR110AI"/>
    <n v="1"/>
    <x v="8"/>
    <x v="1"/>
    <n v="10"/>
    <m/>
    <s v="TB241"/>
    <s v="110BN"/>
    <s v="2B"/>
    <s v="2A"/>
    <s v="--"/>
    <s v="--"/>
    <s v="NR"/>
    <s v="NA"/>
    <s v="AI"/>
    <s v="4~20mA"/>
    <s v="DCS"/>
    <s v="AI1"/>
    <s v="两线制"/>
    <s v="kPa"/>
    <n v="0"/>
    <n v="15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2"/>
    <m/>
  </r>
  <r>
    <n v="610"/>
    <s v="2TETN002HXT"/>
    <s v="2PT-TETN001BA"/>
    <m/>
    <s v="R2PTTETN001BA"/>
    <s v="尿素溶解槽(001BA)压力"/>
    <s v="TETN"/>
    <s v="1812-B1132YKS08-001_025"/>
    <x v="2"/>
    <s v="AI216"/>
    <x v="38"/>
    <s v="2TEKC004AR110AI"/>
    <n v="1"/>
    <x v="8"/>
    <x v="2"/>
    <n v="10"/>
    <m/>
    <s v="TB241"/>
    <s v="110BN"/>
    <s v="3B"/>
    <s v="3A"/>
    <s v="--"/>
    <s v="--"/>
    <s v="NR"/>
    <s v="NA"/>
    <s v="AI"/>
    <s v="4~20mA"/>
    <s v="DCS"/>
    <s v="AI1"/>
    <s v="两线制"/>
    <s v="Pa"/>
    <n v="-1500"/>
    <n v="500"/>
    <m/>
    <m/>
    <m/>
    <m/>
    <m/>
    <m/>
    <m/>
    <s v="A"/>
    <m/>
    <m/>
    <m/>
    <m/>
    <m/>
    <m/>
    <m/>
    <m/>
    <m/>
    <m/>
    <m/>
    <m/>
    <m/>
    <m/>
    <m/>
    <m/>
    <m/>
    <n v="-100"/>
    <s v="R"/>
    <s v="R2TETN081KA"/>
    <s v="尿素溶解槽(001BA)压力高于-100Pa高报警"/>
    <n v="-1000"/>
    <s v="R"/>
    <s v="R2TETN082KA"/>
    <s v="尿素溶解槽(001BA)压力低于-1000Pa低报警"/>
    <m/>
    <m/>
    <m/>
    <m/>
    <m/>
    <m/>
    <m/>
    <m/>
    <m/>
    <m/>
    <m/>
    <m/>
    <n v="4"/>
    <n v="1"/>
    <m/>
    <n v="1"/>
    <m/>
  </r>
  <r>
    <n v="611"/>
    <s v="2TETN002HXT"/>
    <s v="2PT-TETN002BA"/>
    <m/>
    <s v="R2PTTETN002BA"/>
    <s v="废液中转槽(002BA)压力"/>
    <s v="TETN"/>
    <s v="1812-B1132YKS08-001_026"/>
    <x v="2"/>
    <s v="AI216"/>
    <x v="38"/>
    <s v="2TEKC004AR110AI"/>
    <n v="1"/>
    <x v="8"/>
    <x v="3"/>
    <n v="10"/>
    <m/>
    <s v="TB241"/>
    <s v="110BN"/>
    <s v="4B"/>
    <s v="4A"/>
    <s v="--"/>
    <s v="--"/>
    <s v="NR"/>
    <s v="NA"/>
    <s v="AI"/>
    <s v="4~20mA"/>
    <s v="DCS"/>
    <s v="AI1"/>
    <s v="两线制"/>
    <s v="Pa"/>
    <n v="-1500"/>
    <n v="500"/>
    <m/>
    <m/>
    <m/>
    <m/>
    <m/>
    <m/>
    <m/>
    <s v="A"/>
    <m/>
    <m/>
    <m/>
    <m/>
    <m/>
    <m/>
    <m/>
    <m/>
    <m/>
    <m/>
    <m/>
    <m/>
    <m/>
    <m/>
    <m/>
    <m/>
    <m/>
    <n v="-100"/>
    <s v="R"/>
    <s v="R2TETN083KA"/>
    <s v="尿素溶解槽(002BA)压力高于-100Pa高报警"/>
    <n v="-1000"/>
    <s v="R"/>
    <s v="R2TETN084KA"/>
    <s v="尿素溶解槽(002BA)压力低于-1000Pa低报警"/>
    <m/>
    <m/>
    <m/>
    <m/>
    <m/>
    <m/>
    <m/>
    <m/>
    <m/>
    <m/>
    <m/>
    <m/>
    <n v="4"/>
    <n v="1"/>
    <m/>
    <n v="1"/>
    <m/>
  </r>
  <r>
    <n v="612"/>
    <s v="2TETN001HXT"/>
    <s v="2PT-TETN003BA"/>
    <m/>
    <s v="R2PTTETN003BA"/>
    <s v="废液储槽(003BA)压力"/>
    <s v="TETN"/>
    <s v="1812-B1132YKS08-001_026"/>
    <x v="2"/>
    <s v="AI216"/>
    <x v="38"/>
    <s v="2TEKC004AR110AI"/>
    <n v="1"/>
    <x v="8"/>
    <x v="4"/>
    <n v="10"/>
    <m/>
    <s v="TB241"/>
    <s v="110BN"/>
    <s v="5B"/>
    <s v="5A"/>
    <s v="--"/>
    <s v="--"/>
    <s v="NR"/>
    <s v="NA"/>
    <s v="AI"/>
    <s v="4~20mA"/>
    <s v="DCS"/>
    <s v="AI1"/>
    <s v="两线制"/>
    <s v="Pa"/>
    <n v="-1500"/>
    <n v="500"/>
    <m/>
    <m/>
    <m/>
    <m/>
    <m/>
    <m/>
    <m/>
    <s v="A"/>
    <m/>
    <m/>
    <m/>
    <m/>
    <m/>
    <m/>
    <m/>
    <m/>
    <m/>
    <m/>
    <m/>
    <m/>
    <m/>
    <m/>
    <m/>
    <m/>
    <m/>
    <n v="-100"/>
    <s v="R"/>
    <s v="R2TETN085KA"/>
    <s v="尿素溶解槽(003BA)压力高于-100Pa高报警"/>
    <n v="-1000"/>
    <s v="R"/>
    <s v="R2TETN086KA"/>
    <s v="尿素溶解槽(003BA)压力低于-1000Pa低报警"/>
    <m/>
    <m/>
    <m/>
    <m/>
    <m/>
    <m/>
    <m/>
    <m/>
    <m/>
    <m/>
    <m/>
    <m/>
    <n v="4"/>
    <n v="1"/>
    <m/>
    <n v="1"/>
    <m/>
  </r>
  <r>
    <n v="613"/>
    <s v="2TETN001HXT"/>
    <s v="2PT-TETN004BA"/>
    <m/>
    <s v="R2PTTETN004BA"/>
    <s v="废液储槽(004BA)压力"/>
    <s v="TETN"/>
    <s v="1812-B1132YKS08-001_026"/>
    <x v="2"/>
    <s v="AI216"/>
    <x v="38"/>
    <s v="2TEKC004AR110AI"/>
    <n v="1"/>
    <x v="8"/>
    <x v="5"/>
    <n v="10"/>
    <m/>
    <s v="TB241"/>
    <s v="110BN"/>
    <s v="6B"/>
    <s v="6A"/>
    <s v="--"/>
    <s v="--"/>
    <s v="NR"/>
    <s v="NA"/>
    <s v="AI"/>
    <s v="4~20mA"/>
    <s v="DCS"/>
    <s v="AI1"/>
    <s v="两线制"/>
    <s v="Pa"/>
    <n v="-1500"/>
    <n v="500"/>
    <m/>
    <m/>
    <m/>
    <m/>
    <m/>
    <m/>
    <m/>
    <s v="A"/>
    <m/>
    <m/>
    <m/>
    <m/>
    <m/>
    <m/>
    <m/>
    <m/>
    <m/>
    <m/>
    <m/>
    <m/>
    <m/>
    <m/>
    <m/>
    <m/>
    <m/>
    <n v="-100"/>
    <s v="R"/>
    <s v="R2TETN087KA"/>
    <s v="尿素溶解槽(004BA)压力高于-100Pa高报警"/>
    <n v="-1000"/>
    <s v="R"/>
    <s v="R2TETN088KA"/>
    <s v="尿素溶解槽(004BA)压力低于-1000Pa低报警"/>
    <m/>
    <m/>
    <m/>
    <m/>
    <m/>
    <m/>
    <m/>
    <m/>
    <m/>
    <m/>
    <m/>
    <m/>
    <n v="4"/>
    <n v="1"/>
    <m/>
    <n v="1"/>
    <m/>
  </r>
  <r>
    <n v="614"/>
    <s v="备用"/>
    <s v="2TEKC004AR110AICH07"/>
    <m/>
    <s v="R2TEKC004AR110AICH07"/>
    <s v="备用"/>
    <s v="TETN"/>
    <m/>
    <x v="2"/>
    <s v="AI216"/>
    <x v="38"/>
    <s v="2TEKC004AR110AI"/>
    <n v="1"/>
    <x v="8"/>
    <x v="6"/>
    <n v="10"/>
    <m/>
    <s v="TB241"/>
    <s v="110BN"/>
    <s v="7B"/>
    <s v="7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15"/>
    <s v="备用"/>
    <s v="2TEKC004AR110AICH08"/>
    <m/>
    <s v="R2TEKC004AR110AICH08"/>
    <s v="备用"/>
    <s v="TETN"/>
    <m/>
    <x v="2"/>
    <s v="AI216"/>
    <x v="38"/>
    <s v="2TEKC004AR110AI"/>
    <n v="1"/>
    <x v="8"/>
    <x v="7"/>
    <n v="10"/>
    <m/>
    <s v="TB241"/>
    <s v="110BN"/>
    <s v="8B"/>
    <s v="8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16"/>
    <s v="2TETN005HXT"/>
    <s v="2FT-TETN001_02ZV"/>
    <m/>
    <s v="R2FTTETN001_02ZV"/>
    <s v="风机(001/002ZV)出口总管流量"/>
    <s v="TETN"/>
    <s v="1812-B1132YKS08-001_027"/>
    <x v="2"/>
    <s v="AI216"/>
    <x v="19"/>
    <s v="2TEKC004AR201AI"/>
    <n v="2"/>
    <x v="5"/>
    <x v="0"/>
    <n v="11"/>
    <m/>
    <s v="TB241"/>
    <s v="201BN"/>
    <s v="1A"/>
    <s v="1C"/>
    <s v="--"/>
    <s v="--"/>
    <s v="NR"/>
    <s v="NA"/>
    <s v="AI"/>
    <s v="4~20mA"/>
    <s v="USER(提供24VDC)"/>
    <s v="AI2"/>
    <s v="四线制"/>
    <s v="Nm3/h"/>
    <n v="0"/>
    <n v="8000"/>
    <m/>
    <m/>
    <m/>
    <m/>
    <m/>
    <m/>
    <m/>
    <s v="A"/>
    <m/>
    <m/>
    <s v="15W"/>
    <m/>
    <m/>
    <m/>
    <m/>
    <m/>
    <m/>
    <m/>
    <m/>
    <m/>
    <m/>
    <m/>
    <m/>
    <m/>
    <m/>
    <n v="4500"/>
    <s v="R"/>
    <s v="R2TETN089KA"/>
    <s v="风机(001/002ZV)出口总管流量高于4500m3/h高报警"/>
    <m/>
    <m/>
    <m/>
    <m/>
    <m/>
    <m/>
    <m/>
    <m/>
    <m/>
    <m/>
    <m/>
    <m/>
    <m/>
    <m/>
    <m/>
    <m/>
    <n v="4"/>
    <n v="1"/>
    <m/>
    <n v="1"/>
    <m/>
  </r>
  <r>
    <n v="617"/>
    <s v="2TETN008HXT"/>
    <s v="2FT-TETN003_004ZV"/>
    <m/>
    <s v="R2FTTETN003_004ZV"/>
    <s v="风机(003/004ZV)出口总管流量"/>
    <s v="TETN"/>
    <s v="1812-B1132YKS08-001_027"/>
    <x v="2"/>
    <s v="AI216"/>
    <x v="19"/>
    <s v="2TEKC004AR201AI"/>
    <n v="2"/>
    <x v="5"/>
    <x v="1"/>
    <n v="11"/>
    <m/>
    <s v="TB241"/>
    <s v="201BN"/>
    <s v="2A"/>
    <s v="2C"/>
    <s v="--"/>
    <s v="--"/>
    <s v="NR"/>
    <s v="NA"/>
    <s v="AI"/>
    <s v="4~20mA"/>
    <s v="USER(提供24VDC)"/>
    <s v="AI2"/>
    <s v="四线制"/>
    <s v="Nm3/h"/>
    <n v="0"/>
    <n v="8000"/>
    <m/>
    <m/>
    <m/>
    <m/>
    <m/>
    <m/>
    <m/>
    <s v="A"/>
    <m/>
    <m/>
    <s v="15W"/>
    <m/>
    <m/>
    <m/>
    <m/>
    <m/>
    <m/>
    <m/>
    <m/>
    <m/>
    <m/>
    <m/>
    <m/>
    <m/>
    <m/>
    <n v="4500"/>
    <s v="R"/>
    <s v="R2TETN090KA"/>
    <s v="风机(003/004ZV)出口总管流量高于4500m3/h高报警"/>
    <m/>
    <m/>
    <m/>
    <m/>
    <m/>
    <m/>
    <m/>
    <m/>
    <m/>
    <m/>
    <m/>
    <m/>
    <m/>
    <m/>
    <m/>
    <m/>
    <n v="4"/>
    <n v="1"/>
    <m/>
    <n v="1"/>
    <m/>
  </r>
  <r>
    <n v="618"/>
    <s v="2TETN008HXT"/>
    <s v="2FT-TETN007_008ZV"/>
    <m/>
    <s v="R2FTTETN007_008ZV"/>
    <s v="风机(007/008ZV)出口总管流量"/>
    <s v="TETN"/>
    <s v="1812-B1132YKS08-001_027"/>
    <x v="2"/>
    <s v="AI216"/>
    <x v="19"/>
    <s v="2TEKC004AR201AI"/>
    <n v="2"/>
    <x v="5"/>
    <x v="2"/>
    <n v="11"/>
    <m/>
    <s v="TB241"/>
    <s v="201BN"/>
    <s v="3A"/>
    <s v="3C"/>
    <s v="--"/>
    <s v="--"/>
    <s v="NR"/>
    <s v="NA"/>
    <s v="AI"/>
    <s v="4~20mA"/>
    <s v="USER(提供24VDC)"/>
    <s v="AI2"/>
    <s v="四线制"/>
    <s v="Nm3/h"/>
    <n v="0"/>
    <n v="10000"/>
    <m/>
    <m/>
    <m/>
    <m/>
    <m/>
    <m/>
    <m/>
    <s v="A"/>
    <m/>
    <m/>
    <s v="15W"/>
    <m/>
    <m/>
    <m/>
    <m/>
    <m/>
    <m/>
    <m/>
    <m/>
    <m/>
    <m/>
    <m/>
    <m/>
    <m/>
    <m/>
    <n v="4500"/>
    <s v="R"/>
    <s v="R2TETN091KA"/>
    <s v="风机(007/008ZV)出口总管流量高于4500m3/h高报警"/>
    <m/>
    <m/>
    <m/>
    <m/>
    <m/>
    <m/>
    <m/>
    <m/>
    <m/>
    <m/>
    <m/>
    <m/>
    <m/>
    <m/>
    <m/>
    <m/>
    <n v="4"/>
    <n v="1"/>
    <m/>
    <n v="1"/>
    <m/>
  </r>
  <r>
    <n v="619"/>
    <s v="2TETN002HXT"/>
    <s v="2FT-TETN001OG"/>
    <m/>
    <s v="R2FTTETN001OG"/>
    <s v="氮氧化物尾气总流量"/>
    <s v="TETN"/>
    <s v="1812-B1132YKS08-001_027"/>
    <x v="2"/>
    <s v="AI216"/>
    <x v="19"/>
    <s v="2TEKC004AR201AI"/>
    <n v="2"/>
    <x v="5"/>
    <x v="3"/>
    <n v="11"/>
    <m/>
    <s v="TB241"/>
    <s v="201BN"/>
    <s v="4A"/>
    <s v="4C"/>
    <s v="--"/>
    <s v="--"/>
    <s v="NR"/>
    <s v="NA"/>
    <s v="AI"/>
    <s v="4~20mA"/>
    <s v="USER(提供24VDC)"/>
    <s v="AI2"/>
    <s v="四线制"/>
    <s v="Nm3/h"/>
    <n v="0"/>
    <n v="8000"/>
    <m/>
    <m/>
    <m/>
    <m/>
    <m/>
    <m/>
    <m/>
    <s v="A"/>
    <m/>
    <m/>
    <s v="15W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1"/>
    <m/>
  </r>
  <r>
    <n v="620"/>
    <s v="备用"/>
    <s v="2TEKC004AR201AICH05"/>
    <m/>
    <s v="R2TEKC004AR201AICH05"/>
    <s v="备用"/>
    <s v="TETN"/>
    <m/>
    <x v="2"/>
    <s v="AI216"/>
    <x v="19"/>
    <s v="2TEKC004AR201AI"/>
    <n v="2"/>
    <x v="5"/>
    <x v="4"/>
    <n v="11"/>
    <m/>
    <s v="TB241"/>
    <s v="201BN"/>
    <s v="5A"/>
    <s v="5C"/>
    <s v="--"/>
    <s v="--"/>
    <s v="NR"/>
    <s v="NA"/>
    <s v="AI"/>
    <s v="4~20mA"/>
    <s v="USER(提供24VDC)"/>
    <s v="AI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21"/>
    <s v="备用"/>
    <s v="2TEKC004AR201AICH06"/>
    <m/>
    <s v="R2TEKC004AR201AICH06"/>
    <s v="备用"/>
    <s v="TETN"/>
    <m/>
    <x v="2"/>
    <s v="AI216"/>
    <x v="19"/>
    <s v="2TEKC004AR201AI"/>
    <n v="2"/>
    <x v="5"/>
    <x v="5"/>
    <n v="11"/>
    <m/>
    <s v="TB241"/>
    <s v="201BN"/>
    <s v="6A"/>
    <s v="6C"/>
    <s v="--"/>
    <s v="--"/>
    <s v="NR"/>
    <s v="NA"/>
    <s v="AI"/>
    <s v="4~20mA"/>
    <s v="USER(提供24VDC)"/>
    <s v="AI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22"/>
    <s v="备用"/>
    <s v="2TEKC004AR201AICH07"/>
    <m/>
    <s v="R2TEKC004AR201AICH07"/>
    <s v="备用"/>
    <s v="TETN"/>
    <m/>
    <x v="2"/>
    <s v="AI216"/>
    <x v="19"/>
    <s v="2TEKC004AR201AI"/>
    <n v="2"/>
    <x v="5"/>
    <x v="6"/>
    <n v="11"/>
    <m/>
    <s v="TB241"/>
    <s v="201BN"/>
    <s v="7A"/>
    <s v="7C"/>
    <s v="--"/>
    <s v="--"/>
    <s v="NR"/>
    <s v="NA"/>
    <s v="AI"/>
    <s v="4~20mA"/>
    <s v="USER(提供24VDC)"/>
    <s v="AI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23"/>
    <s v="备用"/>
    <s v="2TEKC004AR201AICH08"/>
    <m/>
    <s v="R2TEKC004AR201AICH08"/>
    <s v="备用"/>
    <s v="TETN"/>
    <m/>
    <x v="2"/>
    <s v="AI216"/>
    <x v="19"/>
    <s v="2TEKC004AR201AI"/>
    <n v="2"/>
    <x v="5"/>
    <x v="7"/>
    <n v="11"/>
    <m/>
    <s v="TB241"/>
    <s v="201BN"/>
    <s v="8A"/>
    <s v="8C"/>
    <s v="--"/>
    <s v="--"/>
    <s v="NR"/>
    <s v="NA"/>
    <s v="AI"/>
    <s v="4~20mA"/>
    <s v="USER(提供24VDC)"/>
    <s v="AI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24"/>
    <m/>
    <s v="2TENT-005ZV"/>
    <s v="FW"/>
    <s v="R2TENT005ZV_FW"/>
    <s v="风机2TENT-005ZV转速反馈"/>
    <s v="TETN"/>
    <s v="1812-B1132YKS08-001_042"/>
    <x v="2"/>
    <s v="AI216"/>
    <x v="20"/>
    <s v="2TEKC004AR202AI"/>
    <n v="2"/>
    <x v="9"/>
    <x v="0"/>
    <n v="12"/>
    <m/>
    <s v="TB241"/>
    <s v="202BN"/>
    <s v="1A"/>
    <s v="1C"/>
    <s v="--"/>
    <s v="--"/>
    <s v="NR"/>
    <s v="NA"/>
    <s v="AI"/>
    <s v="4~20mA"/>
    <s v="USER"/>
    <s v="AI4"/>
    <m/>
    <s v="r/min"/>
    <n v="0"/>
    <n v="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0"/>
    <m/>
  </r>
  <r>
    <n v="625"/>
    <m/>
    <s v="2TENT-006ZV"/>
    <s v="FW"/>
    <s v="R2TENT006ZV_FW"/>
    <s v="风机2TENT-006ZV转速反馈"/>
    <s v="TETN"/>
    <s v="1812-B1132YKS08-001_042"/>
    <x v="2"/>
    <s v="AI216"/>
    <x v="20"/>
    <s v="2TEKC004AR202AI"/>
    <n v="2"/>
    <x v="9"/>
    <x v="1"/>
    <n v="12"/>
    <m/>
    <s v="TB241"/>
    <s v="202BN"/>
    <s v="2A"/>
    <s v="2C"/>
    <s v="--"/>
    <s v="--"/>
    <s v="NR"/>
    <s v="NA"/>
    <s v="AI"/>
    <s v="4~20mA"/>
    <s v="USER"/>
    <s v="AI4"/>
    <m/>
    <s v="r/min"/>
    <n v="0"/>
    <n v="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0"/>
    <m/>
  </r>
  <r>
    <n v="626"/>
    <m/>
    <s v="2TENT-007ZV"/>
    <s v="FW"/>
    <s v="R2TENT007ZV_FW"/>
    <s v="风机2TENT-007ZV转速反馈"/>
    <s v="TETN"/>
    <s v="1812-B1132YKS08-001_042"/>
    <x v="2"/>
    <s v="AI216"/>
    <x v="20"/>
    <s v="2TEKC004AR202AI"/>
    <n v="2"/>
    <x v="9"/>
    <x v="2"/>
    <n v="12"/>
    <m/>
    <s v="TB241"/>
    <s v="202BN"/>
    <s v="3A"/>
    <s v="3C"/>
    <s v="--"/>
    <s v="--"/>
    <s v="NR"/>
    <s v="NA"/>
    <s v="AI"/>
    <s v="4~20mA"/>
    <s v="USER"/>
    <s v="AI4"/>
    <m/>
    <s v="r/min"/>
    <n v="0"/>
    <n v="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0"/>
    <m/>
  </r>
  <r>
    <n v="627"/>
    <m/>
    <s v="2TENT-008ZV"/>
    <s v="FW"/>
    <s v="R2TENT008ZV_FW"/>
    <s v="风机2TENT-008ZV转速反馈"/>
    <s v="TETN"/>
    <s v="1812-B1132YKS08-001_043"/>
    <x v="2"/>
    <s v="AI216"/>
    <x v="20"/>
    <s v="2TEKC004AR202AI"/>
    <n v="2"/>
    <x v="9"/>
    <x v="3"/>
    <n v="12"/>
    <m/>
    <s v="TB241"/>
    <s v="202BN"/>
    <s v="4A"/>
    <s v="4C"/>
    <s v="--"/>
    <s v="--"/>
    <s v="NR"/>
    <s v="NA"/>
    <s v="AI"/>
    <s v="4~20mA"/>
    <s v="USER"/>
    <s v="AI4"/>
    <m/>
    <s v="r/min"/>
    <n v="0"/>
    <n v="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0"/>
    <m/>
  </r>
  <r>
    <n v="628"/>
    <s v="备用"/>
    <s v="2TEKC004AR202AICH05"/>
    <m/>
    <s v="R2TEKC004AR202AICH05"/>
    <s v="备用"/>
    <s v="TETN"/>
    <m/>
    <x v="2"/>
    <s v="AI216"/>
    <x v="20"/>
    <s v="2TEKC004AR202AI"/>
    <n v="2"/>
    <x v="9"/>
    <x v="4"/>
    <n v="12"/>
    <m/>
    <s v="TB241"/>
    <s v="202BN"/>
    <s v="5A"/>
    <s v="5C"/>
    <s v="--"/>
    <s v="--"/>
    <s v="NR"/>
    <s v="NA"/>
    <s v="AI"/>
    <s v="4~20mA"/>
    <s v="USER"/>
    <s v="AI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29"/>
    <s v="备用"/>
    <s v="2TEKC004AR202AICH06"/>
    <m/>
    <s v="R2TEKC004AR202AICH06"/>
    <s v="备用"/>
    <s v="TETN"/>
    <m/>
    <x v="2"/>
    <s v="AI216"/>
    <x v="20"/>
    <s v="2TEKC004AR202AI"/>
    <n v="2"/>
    <x v="9"/>
    <x v="5"/>
    <n v="12"/>
    <m/>
    <s v="TB241"/>
    <s v="202BN"/>
    <s v="6A"/>
    <s v="6C"/>
    <s v="--"/>
    <s v="--"/>
    <s v="NR"/>
    <s v="NA"/>
    <s v="AI"/>
    <s v="4~20mA"/>
    <s v="USER"/>
    <s v="AI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30"/>
    <s v="备用"/>
    <s v="2TEKC004AR202AICH07"/>
    <m/>
    <s v="R2TEKC004AR202AICH07"/>
    <s v="备用"/>
    <s v="TETN"/>
    <m/>
    <x v="2"/>
    <s v="AI216"/>
    <x v="20"/>
    <s v="2TEKC004AR202AI"/>
    <n v="2"/>
    <x v="9"/>
    <x v="6"/>
    <n v="12"/>
    <m/>
    <s v="TB241"/>
    <s v="202BN"/>
    <s v="7A"/>
    <s v="7C"/>
    <s v="--"/>
    <s v="--"/>
    <s v="NR"/>
    <s v="NA"/>
    <s v="AI"/>
    <s v="4~20mA"/>
    <s v="USER"/>
    <s v="AI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31"/>
    <s v="备用"/>
    <s v="2TEKC004AR202AICH08"/>
    <m/>
    <s v="R2TEKC004AR202AICH08"/>
    <s v="备用"/>
    <s v="TETN"/>
    <m/>
    <x v="2"/>
    <s v="AI216"/>
    <x v="20"/>
    <s v="2TEKC004AR202AI"/>
    <n v="2"/>
    <x v="9"/>
    <x v="7"/>
    <n v="12"/>
    <m/>
    <s v="TB241"/>
    <s v="202BN"/>
    <s v="8A"/>
    <s v="8C"/>
    <s v="--"/>
    <s v="--"/>
    <s v="NR"/>
    <s v="NA"/>
    <s v="AI"/>
    <s v="4~20mA"/>
    <s v="USER"/>
    <s v="AI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32"/>
    <m/>
    <s v="2TENT-005ZV"/>
    <s v="TJ"/>
    <s v="R2TENT005ZV_TJ"/>
    <s v="风机2TENT-005ZV0-100%转速"/>
    <s v="TETN"/>
    <s v="1812-B1132YKS08-001_042"/>
    <x v="2"/>
    <s v="AO211"/>
    <x v="39"/>
    <s v="2TEKC004AR203AO"/>
    <n v="2"/>
    <x v="0"/>
    <x v="0"/>
    <n v="13"/>
    <m/>
    <s v="TB251"/>
    <s v="203BN"/>
    <s v="1B"/>
    <s v="1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2"/>
    <m/>
  </r>
  <r>
    <n v="633"/>
    <m/>
    <s v="2TENT-006ZV"/>
    <s v="TJ"/>
    <s v="R2TENT006ZV_TJ"/>
    <s v="风机2TENT-006ZV0-100%转速"/>
    <s v="TETN"/>
    <s v="1812-B1132YKS08-001_042"/>
    <x v="2"/>
    <s v="AO211"/>
    <x v="39"/>
    <s v="2TEKC004AR203AO"/>
    <n v="2"/>
    <x v="0"/>
    <x v="1"/>
    <n v="13"/>
    <m/>
    <s v="TB251"/>
    <s v="203BN"/>
    <s v="2B"/>
    <s v="2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2"/>
    <m/>
  </r>
  <r>
    <n v="634"/>
    <m/>
    <s v="2TENT-007ZV"/>
    <s v="TJ"/>
    <s v="R2TENT007ZV_TJ"/>
    <s v="风机2TENT-007ZV0-100%转速"/>
    <s v="TETN"/>
    <s v="1812-B1132YKS08-001_042"/>
    <x v="2"/>
    <s v="AO211"/>
    <x v="39"/>
    <s v="2TEKC004AR203AO"/>
    <n v="2"/>
    <x v="0"/>
    <x v="2"/>
    <n v="13"/>
    <m/>
    <s v="TB251"/>
    <s v="203BN"/>
    <s v="3B"/>
    <s v="3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2"/>
    <m/>
  </r>
  <r>
    <n v="635"/>
    <m/>
    <s v="2TENT-008ZV"/>
    <s v="TJ"/>
    <s v="R2TENT008ZV_TJ"/>
    <s v="风机2TENT-008ZV0-100%转速"/>
    <s v="TETN"/>
    <s v="1812-B1132YKS08-001_043"/>
    <x v="2"/>
    <s v="AO211"/>
    <x v="39"/>
    <s v="2TEKC004AR203AO"/>
    <n v="2"/>
    <x v="0"/>
    <x v="3"/>
    <n v="13"/>
    <m/>
    <s v="TB251"/>
    <s v="203BN"/>
    <s v="4B"/>
    <s v="4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n v="2"/>
    <m/>
  </r>
  <r>
    <n v="636"/>
    <s v="备用"/>
    <s v="2TEKC004AR203AOCH05"/>
    <m/>
    <s v="R2TEKC004AR203AOCH05"/>
    <s v="备用"/>
    <s v="TETN"/>
    <m/>
    <x v="2"/>
    <s v="AO211"/>
    <x v="39"/>
    <s v="2TEKC004AR203AO"/>
    <n v="2"/>
    <x v="0"/>
    <x v="4"/>
    <n v="13"/>
    <m/>
    <s v="TB251"/>
    <s v="203BN"/>
    <s v="5B"/>
    <s v="5C"/>
    <s v="--"/>
    <s v="--"/>
    <s v="NR"/>
    <s v="NA"/>
    <s v="AO"/>
    <s v="4~20mA"/>
    <s v="DCS"/>
    <s v="A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37"/>
    <s v="备用"/>
    <s v="2TEKC004AR203AOCH06"/>
    <m/>
    <s v="R2TEKC004AR203AOCH06"/>
    <s v="备用"/>
    <s v="TETN"/>
    <m/>
    <x v="2"/>
    <s v="AO211"/>
    <x v="39"/>
    <s v="2TEKC004AR203AO"/>
    <n v="2"/>
    <x v="0"/>
    <x v="5"/>
    <n v="13"/>
    <m/>
    <s v="TB251"/>
    <s v="203BN"/>
    <s v="6B"/>
    <s v="6C"/>
    <s v="--"/>
    <s v="--"/>
    <s v="NR"/>
    <s v="NA"/>
    <s v="AO"/>
    <s v="4~20mA"/>
    <s v="DCS"/>
    <s v="A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38"/>
    <s v="备用"/>
    <s v="2TEKC004AR203AOCH07"/>
    <m/>
    <s v="R2TEKC004AR203AOCH07"/>
    <s v="备用"/>
    <s v="TETN"/>
    <m/>
    <x v="2"/>
    <s v="AO211"/>
    <x v="39"/>
    <s v="2TEKC004AR203AO"/>
    <n v="2"/>
    <x v="0"/>
    <x v="6"/>
    <n v="13"/>
    <m/>
    <s v="TB251"/>
    <s v="203BN"/>
    <s v="7B"/>
    <s v="7C"/>
    <s v="--"/>
    <s v="--"/>
    <s v="NR"/>
    <s v="NA"/>
    <s v="AO"/>
    <s v="4~20mA"/>
    <s v="DCS"/>
    <s v="A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39"/>
    <s v="备用"/>
    <s v="2TEKC004AR203AOCH08"/>
    <m/>
    <s v="R2TEKC004AR203AOCH08"/>
    <s v="备用"/>
    <s v="TETN"/>
    <m/>
    <x v="2"/>
    <s v="AO211"/>
    <x v="39"/>
    <s v="2TEKC004AR203AO"/>
    <n v="2"/>
    <x v="0"/>
    <x v="7"/>
    <n v="13"/>
    <m/>
    <s v="TB251"/>
    <s v="203BN"/>
    <s v="8B"/>
    <s v="8C"/>
    <s v="--"/>
    <s v="--"/>
    <s v="NR"/>
    <s v="NA"/>
    <s v="AO"/>
    <s v="4~20mA"/>
    <s v="DCS"/>
    <s v="A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40"/>
    <s v="2TETN005HXT"/>
    <s v="2TENT-005ZV"/>
    <s v="QF"/>
    <s v="R2TENT005ZV_QF"/>
    <s v="风机2TENT-005ZV启反馈"/>
    <s v="TETN"/>
    <s v="1812-B1132YKS07-001-124"/>
    <x v="2"/>
    <s v="DI211"/>
    <x v="40"/>
    <s v="2TEKC004AR204DI"/>
    <n v="2"/>
    <x v="1"/>
    <x v="0"/>
    <n v="14"/>
    <m/>
    <s v="TB222"/>
    <s v="204BN"/>
    <s v="1A"/>
    <s v="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41"/>
    <s v="2TETN005HXT"/>
    <s v="2TENT-005ZV"/>
    <s v="TF"/>
    <s v="R2TENT005ZV_TF"/>
    <s v="风机2TENT-005ZV停止反馈"/>
    <s v="TETN"/>
    <s v="1812-B1132YKS07-001-124"/>
    <x v="2"/>
    <s v="DI211"/>
    <x v="40"/>
    <s v="2TEKC004AR204DI"/>
    <n v="2"/>
    <x v="1"/>
    <x v="1"/>
    <n v="14"/>
    <m/>
    <s v="TB222"/>
    <s v="204BN"/>
    <s v="2A"/>
    <s v="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42"/>
    <s v="2TETN005HXT"/>
    <s v="2TENT-005ZV"/>
    <s v="FS"/>
    <s v="R2TENT005ZV_FS"/>
    <s v="风机2TENT-005ZV故障"/>
    <s v="TETN"/>
    <s v="1812-B1132YKS07-001-124"/>
    <x v="2"/>
    <s v="DI211"/>
    <x v="40"/>
    <s v="2TEKC004AR204DI"/>
    <n v="2"/>
    <x v="1"/>
    <x v="2"/>
    <n v="14"/>
    <m/>
    <s v="TB222"/>
    <s v="204BN"/>
    <s v="3A"/>
    <s v="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43"/>
    <s v="2TETN005HXT"/>
    <s v="2TENT-005ZV"/>
    <s v="YC"/>
    <s v="R2TENT005ZV_YC"/>
    <s v="风机2TENT-005ZV远程控制"/>
    <s v="TETN"/>
    <s v="1812-B1132YKS07-001-124"/>
    <x v="2"/>
    <s v="DI211"/>
    <x v="40"/>
    <s v="2TEKC004AR204DI"/>
    <n v="2"/>
    <x v="1"/>
    <x v="3"/>
    <n v="14"/>
    <m/>
    <s v="TB222"/>
    <s v="204BN"/>
    <s v="4A"/>
    <s v="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44"/>
    <s v="2TETN005HXT"/>
    <s v="2TENT-006ZV"/>
    <s v="QF"/>
    <s v="R2TENT006ZV_QF"/>
    <s v="风机2TENT-006ZV启反馈"/>
    <s v="TETN"/>
    <s v="1812-B1132YKS07-001-125"/>
    <x v="2"/>
    <s v="DI211"/>
    <x v="40"/>
    <s v="2TEKC004AR204DI"/>
    <n v="2"/>
    <x v="1"/>
    <x v="4"/>
    <n v="14"/>
    <m/>
    <s v="TB222"/>
    <s v="204BN"/>
    <s v="5A"/>
    <s v="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45"/>
    <s v="2TETN005HXT"/>
    <s v="2TENT-006ZV"/>
    <s v="TF"/>
    <s v="R2TENT006ZV_TF"/>
    <s v="风机2TENT-006ZV停止反馈"/>
    <s v="TETN"/>
    <s v="1812-B1132YKS07-001-125"/>
    <x v="2"/>
    <s v="DI211"/>
    <x v="40"/>
    <s v="2TEKC004AR204DI"/>
    <n v="2"/>
    <x v="1"/>
    <x v="5"/>
    <n v="14"/>
    <m/>
    <s v="TB222"/>
    <s v="204BN"/>
    <s v="6A"/>
    <s v="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46"/>
    <s v="2TETN005HXT"/>
    <s v="2TENT-006ZV"/>
    <s v="FS"/>
    <s v="R2TENT006ZV_FS"/>
    <s v="风机2TENT-006ZV故障"/>
    <s v="TETN"/>
    <s v="1812-B1132YKS07-001-125"/>
    <x v="2"/>
    <s v="DI211"/>
    <x v="40"/>
    <s v="2TEKC004AR204DI"/>
    <n v="2"/>
    <x v="1"/>
    <x v="6"/>
    <n v="14"/>
    <m/>
    <s v="TB222"/>
    <s v="204BN"/>
    <s v="7A"/>
    <s v="7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47"/>
    <s v="2TETN005HXT"/>
    <s v="2TENT-006ZV"/>
    <s v="YC"/>
    <s v="R2TENT006ZV_YC"/>
    <s v="风机2TENT-006ZV远程控制"/>
    <s v="TETN"/>
    <s v="1812-B1132YKS07-001-125"/>
    <x v="2"/>
    <s v="DI211"/>
    <x v="40"/>
    <s v="2TEKC004AR204DI"/>
    <n v="2"/>
    <x v="1"/>
    <x v="7"/>
    <n v="14"/>
    <m/>
    <s v="TB222"/>
    <s v="204BN"/>
    <s v="8A"/>
    <s v="8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48"/>
    <s v="2TETN008HXT"/>
    <s v="2TENT-007ZV"/>
    <s v="QF"/>
    <s v="R2TENT007ZV_QF"/>
    <s v="风机2TENT-007ZV启反馈"/>
    <s v="TETN"/>
    <s v="1812-B1132YKS07-001-126"/>
    <x v="2"/>
    <s v="DI211"/>
    <x v="40"/>
    <s v="2TEKC004AR204DI"/>
    <n v="2"/>
    <x v="1"/>
    <x v="8"/>
    <n v="14"/>
    <m/>
    <s v="TB222"/>
    <s v="204BN"/>
    <s v="9A"/>
    <s v="9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49"/>
    <s v="2TETN008HXT"/>
    <s v="2TENT-007ZV"/>
    <s v="TF"/>
    <s v="R2TENT007ZV_TF"/>
    <s v="风机2TENT-007ZV停止反馈"/>
    <s v="TETN"/>
    <s v="1812-B1132YKS07-001-126"/>
    <x v="2"/>
    <s v="DI211"/>
    <x v="40"/>
    <s v="2TEKC004AR204DI"/>
    <n v="2"/>
    <x v="1"/>
    <x v="9"/>
    <n v="14"/>
    <m/>
    <s v="TB222"/>
    <s v="204BN"/>
    <s v="10A"/>
    <s v="10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50"/>
    <s v="2TETN008HXT"/>
    <s v="2TENT-007ZV"/>
    <s v="FS"/>
    <s v="R2TENT007ZV_FS"/>
    <s v="风机2TENT-007ZV故障"/>
    <s v="TETN"/>
    <s v="1812-B1132YKS07-001-126"/>
    <x v="2"/>
    <s v="DI211"/>
    <x v="40"/>
    <s v="2TEKC004AR204DI"/>
    <n v="2"/>
    <x v="1"/>
    <x v="10"/>
    <n v="14"/>
    <m/>
    <s v="TB222"/>
    <s v="204BN"/>
    <s v="11A"/>
    <s v="1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51"/>
    <s v="2TETN008HXT"/>
    <s v="2TENT-007ZV"/>
    <s v="YC"/>
    <s v="R2TENT007ZV_YC"/>
    <s v="风机2TENT-007ZV远程控制"/>
    <s v="TETN"/>
    <s v="1812-B1132YKS07-001-126"/>
    <x v="2"/>
    <s v="DI211"/>
    <x v="40"/>
    <s v="2TEKC004AR204DI"/>
    <n v="2"/>
    <x v="1"/>
    <x v="11"/>
    <n v="14"/>
    <m/>
    <s v="TB222"/>
    <s v="204BN"/>
    <s v="12A"/>
    <s v="1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52"/>
    <s v="备用"/>
    <s v="2TEKC004AR204DICH13"/>
    <m/>
    <s v="R2TEKC004AR204DICH13"/>
    <s v="备用"/>
    <s v="TETN"/>
    <m/>
    <x v="2"/>
    <s v="DI211"/>
    <x v="40"/>
    <s v="2TEKC004AR204DI"/>
    <n v="2"/>
    <x v="1"/>
    <x v="12"/>
    <n v="14"/>
    <m/>
    <s v="TB222"/>
    <s v="204BN"/>
    <s v="13A"/>
    <s v="1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53"/>
    <s v="备用"/>
    <s v="2TEKC004AR204DICH14"/>
    <m/>
    <s v="R2TEKC004AR204DICH14"/>
    <s v="备用"/>
    <s v="TETN"/>
    <m/>
    <x v="2"/>
    <s v="DI211"/>
    <x v="40"/>
    <s v="2TEKC004AR204DI"/>
    <n v="2"/>
    <x v="1"/>
    <x v="13"/>
    <n v="14"/>
    <m/>
    <s v="TB222"/>
    <s v="204BN"/>
    <s v="14A"/>
    <s v="1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54"/>
    <s v="备用"/>
    <s v="2TEKC004AR204DICH15"/>
    <m/>
    <s v="R2TEKC004AR204DICH15"/>
    <s v="备用"/>
    <s v="TETN"/>
    <m/>
    <x v="2"/>
    <s v="DI211"/>
    <x v="40"/>
    <s v="2TEKC004AR204DI"/>
    <n v="2"/>
    <x v="1"/>
    <x v="14"/>
    <n v="14"/>
    <m/>
    <s v="TB222"/>
    <s v="204BN"/>
    <s v="15A"/>
    <s v="1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55"/>
    <s v="备用"/>
    <s v="2TEKC004AR204DICH16"/>
    <m/>
    <s v="R2TEKC004AR204DICH16"/>
    <s v="备用"/>
    <s v="TETN"/>
    <m/>
    <x v="2"/>
    <s v="DI211"/>
    <x v="40"/>
    <s v="2TEKC004AR204DI"/>
    <n v="2"/>
    <x v="1"/>
    <x v="15"/>
    <n v="14"/>
    <m/>
    <s v="TB222"/>
    <s v="204BN"/>
    <s v="16A"/>
    <s v="1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56"/>
    <s v="2TETN008HXT"/>
    <s v="2TENT-008ZV"/>
    <s v="QF"/>
    <s v="R2TENT008ZV_QF"/>
    <s v="风机2TENT-008ZV启反馈"/>
    <s v="TETN"/>
    <s v="1812-B1132YKS07-001-127"/>
    <x v="2"/>
    <s v="DI211"/>
    <x v="41"/>
    <s v="2TEKC004AR205DI"/>
    <n v="2"/>
    <x v="2"/>
    <x v="0"/>
    <n v="15"/>
    <m/>
    <s v="TB222"/>
    <s v="205BN"/>
    <s v="1A"/>
    <s v="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57"/>
    <s v="2TETN008HXT"/>
    <s v="2TENT-008ZV"/>
    <s v="TF"/>
    <s v="R2TENT008ZV_TF"/>
    <s v="风机2TENT-008ZV停止反馈"/>
    <s v="TETN"/>
    <s v="1812-B1132YKS07-001-127"/>
    <x v="2"/>
    <s v="DI211"/>
    <x v="41"/>
    <s v="2TEKC004AR205DI"/>
    <n v="2"/>
    <x v="2"/>
    <x v="1"/>
    <n v="15"/>
    <m/>
    <s v="TB222"/>
    <s v="205BN"/>
    <s v="2A"/>
    <s v="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58"/>
    <s v="2TETN008HXT"/>
    <s v="2TENT-008ZV"/>
    <s v="FS"/>
    <s v="R2TENT008ZV_FS"/>
    <s v="风机2TENT-008ZV故障"/>
    <s v="TETN"/>
    <s v="1812-B1132YKS07-001-127"/>
    <x v="2"/>
    <s v="DI211"/>
    <x v="41"/>
    <s v="2TEKC004AR205DI"/>
    <n v="2"/>
    <x v="2"/>
    <x v="2"/>
    <n v="15"/>
    <m/>
    <s v="TB222"/>
    <s v="205BN"/>
    <s v="3A"/>
    <s v="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59"/>
    <s v="2TETN008HXT"/>
    <s v="2TENT-008ZV"/>
    <s v="YC"/>
    <s v="R2TENT008ZV_YC"/>
    <s v="风机2TENT-008ZV远程控制"/>
    <s v="TETN"/>
    <s v="1812-B1132YKS07-001-127"/>
    <x v="2"/>
    <s v="DI211"/>
    <x v="41"/>
    <s v="2TEKC004AR205DI"/>
    <n v="2"/>
    <x v="2"/>
    <x v="3"/>
    <n v="15"/>
    <m/>
    <s v="TB222"/>
    <s v="205BN"/>
    <s v="4A"/>
    <s v="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60"/>
    <s v="备用"/>
    <s v="2TEKC004AR205DICH05"/>
    <m/>
    <s v="R2TEKC004AR205DICH05"/>
    <s v="备用"/>
    <s v="TETN"/>
    <m/>
    <x v="2"/>
    <s v="DI211"/>
    <x v="41"/>
    <s v="2TEKC004AR205DI"/>
    <n v="2"/>
    <x v="2"/>
    <x v="4"/>
    <n v="15"/>
    <m/>
    <s v="TB222"/>
    <s v="205BN"/>
    <s v="5A"/>
    <s v="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61"/>
    <s v="备用"/>
    <s v="2TEKC004AR205DICH06"/>
    <m/>
    <s v="R2TEKC004AR205DICH06"/>
    <s v="备用"/>
    <s v="TETN"/>
    <m/>
    <x v="2"/>
    <s v="DI211"/>
    <x v="41"/>
    <s v="2TEKC004AR205DI"/>
    <n v="2"/>
    <x v="2"/>
    <x v="5"/>
    <n v="15"/>
    <m/>
    <s v="TB222"/>
    <s v="205BN"/>
    <s v="6A"/>
    <s v="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62"/>
    <s v="备用"/>
    <s v="2TEKC004AR205DICH07"/>
    <m/>
    <s v="R2TEKC004AR205DICH07"/>
    <s v="备用"/>
    <s v="TETN"/>
    <m/>
    <x v="2"/>
    <s v="DI211"/>
    <x v="41"/>
    <s v="2TEKC004AR205DI"/>
    <n v="2"/>
    <x v="2"/>
    <x v="6"/>
    <n v="15"/>
    <m/>
    <s v="TB222"/>
    <s v="205BN"/>
    <s v="7A"/>
    <s v="7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63"/>
    <s v="备用"/>
    <s v="2TEKC004AR205DICH08"/>
    <m/>
    <s v="R2TEKC004AR205DICH08"/>
    <s v="备用"/>
    <s v="TETN"/>
    <m/>
    <x v="2"/>
    <s v="DI211"/>
    <x v="41"/>
    <s v="2TEKC004AR205DI"/>
    <n v="2"/>
    <x v="2"/>
    <x v="7"/>
    <n v="15"/>
    <m/>
    <s v="TB222"/>
    <s v="205BN"/>
    <s v="8A"/>
    <s v="8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64"/>
    <s v="备用"/>
    <s v="2TEKC004AR205DICH09"/>
    <m/>
    <s v="R2TEKC004AR205DICH09"/>
    <s v="备用"/>
    <s v="TETN"/>
    <m/>
    <x v="2"/>
    <s v="DI211"/>
    <x v="41"/>
    <s v="2TEKC004AR205DI"/>
    <n v="2"/>
    <x v="2"/>
    <x v="8"/>
    <n v="15"/>
    <m/>
    <s v="TB222"/>
    <s v="205BN"/>
    <s v="9A"/>
    <s v="9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65"/>
    <s v="备用"/>
    <s v="2TEKC004AR205DICH10"/>
    <m/>
    <s v="R2TEKC004AR205DICH10"/>
    <s v="备用"/>
    <s v="TETN"/>
    <m/>
    <x v="2"/>
    <s v="DI211"/>
    <x v="41"/>
    <s v="2TEKC004AR205DI"/>
    <n v="2"/>
    <x v="2"/>
    <x v="9"/>
    <n v="15"/>
    <m/>
    <s v="TB222"/>
    <s v="205BN"/>
    <s v="10A"/>
    <s v="10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66"/>
    <s v="备用"/>
    <s v="2TEKC004AR205DICH11"/>
    <m/>
    <s v="R2TEKC004AR205DICH11"/>
    <s v="备用"/>
    <s v="TETN"/>
    <m/>
    <x v="2"/>
    <s v="DI211"/>
    <x v="41"/>
    <s v="2TEKC004AR205DI"/>
    <n v="2"/>
    <x v="2"/>
    <x v="10"/>
    <n v="15"/>
    <m/>
    <s v="TB222"/>
    <s v="205BN"/>
    <s v="11A"/>
    <s v="1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67"/>
    <s v="备用"/>
    <s v="2TEKC004AR205DICH12"/>
    <m/>
    <s v="R2TEKC004AR205DICH12"/>
    <s v="备用"/>
    <s v="TETN"/>
    <m/>
    <x v="2"/>
    <s v="DI211"/>
    <x v="41"/>
    <s v="2TEKC004AR205DI"/>
    <n v="2"/>
    <x v="2"/>
    <x v="11"/>
    <n v="15"/>
    <m/>
    <s v="TB222"/>
    <s v="205BN"/>
    <s v="12A"/>
    <s v="1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68"/>
    <s v="备用"/>
    <s v="2TEKC004AR205DICH13"/>
    <m/>
    <s v="R2TEKC004AR205DICH13"/>
    <s v="备用"/>
    <s v="TETN"/>
    <m/>
    <x v="2"/>
    <s v="DI211"/>
    <x v="41"/>
    <s v="2TEKC004AR205DI"/>
    <n v="2"/>
    <x v="2"/>
    <x v="12"/>
    <n v="15"/>
    <m/>
    <s v="TB222"/>
    <s v="205BN"/>
    <s v="13A"/>
    <s v="1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69"/>
    <s v="备用"/>
    <s v="2TEKC004AR205DICH14"/>
    <m/>
    <s v="R2TEKC004AR205DICH14"/>
    <s v="备用"/>
    <s v="TETN"/>
    <m/>
    <x v="2"/>
    <s v="DI211"/>
    <x v="41"/>
    <s v="2TEKC004AR205DI"/>
    <n v="2"/>
    <x v="2"/>
    <x v="13"/>
    <n v="15"/>
    <m/>
    <s v="TB222"/>
    <s v="205BN"/>
    <s v="14A"/>
    <s v="1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70"/>
    <s v="备用"/>
    <s v="2TEKC004AR205DICH15"/>
    <m/>
    <s v="R2TEKC004AR205DICH15"/>
    <s v="备用"/>
    <s v="TETN"/>
    <m/>
    <x v="2"/>
    <s v="DI211"/>
    <x v="41"/>
    <s v="2TEKC004AR205DI"/>
    <n v="2"/>
    <x v="2"/>
    <x v="14"/>
    <n v="15"/>
    <m/>
    <s v="TB222"/>
    <s v="205BN"/>
    <s v="15A"/>
    <s v="1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71"/>
    <s v="备用"/>
    <s v="2TEKC004AR205DICH16"/>
    <m/>
    <s v="R2TEKC004AR205DICH16"/>
    <s v="备用"/>
    <s v="TETN"/>
    <m/>
    <x v="2"/>
    <s v="DI211"/>
    <x v="41"/>
    <s v="2TEKC004AR205DI"/>
    <n v="2"/>
    <x v="2"/>
    <x v="15"/>
    <n v="15"/>
    <m/>
    <s v="TB222"/>
    <s v="205BN"/>
    <s v="16A"/>
    <s v="1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72"/>
    <s v="2TETN003HXT"/>
    <s v="2TETN-004VBE"/>
    <s v="KW"/>
    <s v="R2TETN004VBE_KW"/>
    <s v="气动截止阀开反馈"/>
    <s v="TETN"/>
    <s v="1812-B1132YKS07-001-005"/>
    <x v="2"/>
    <s v="DI211"/>
    <x v="42"/>
    <s v="2TEKC004AR206DI"/>
    <n v="2"/>
    <x v="3"/>
    <x v="0"/>
    <n v="16"/>
    <m/>
    <s v="TB222"/>
    <s v="206BN"/>
    <s v="1A"/>
    <s v="1B"/>
    <s v="--"/>
    <s v="--"/>
    <s v="NR"/>
    <s v="NA"/>
    <s v="DI"/>
    <n v="1"/>
    <s v="DCS"/>
    <s v="DI1"/>
    <m/>
    <m/>
    <m/>
    <m/>
    <m/>
    <m/>
    <m/>
    <m/>
    <m/>
    <m/>
    <s v="2TETN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73"/>
    <s v="2TETN003HXT"/>
    <s v="2TETN-004VBE"/>
    <s v="GW"/>
    <s v="R2TETN004VBE_GW"/>
    <s v="气动截止阀关反馈"/>
    <s v="TETN"/>
    <s v="1812-B1132YKS07-001-005"/>
    <x v="2"/>
    <s v="DI211"/>
    <x v="42"/>
    <s v="2TEKC004AR206DI"/>
    <n v="2"/>
    <x v="3"/>
    <x v="1"/>
    <n v="16"/>
    <m/>
    <s v="TB222"/>
    <s v="206BN"/>
    <s v="2A"/>
    <s v="2B"/>
    <s v="--"/>
    <s v="--"/>
    <s v="NR"/>
    <s v="NA"/>
    <s v="DI"/>
    <n v="1"/>
    <s v="DCS"/>
    <s v="DI1"/>
    <m/>
    <m/>
    <m/>
    <m/>
    <m/>
    <m/>
    <m/>
    <m/>
    <m/>
    <m/>
    <s v="2TETN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74"/>
    <s v="2TETN003HXT"/>
    <s v="2TETN-007VBE"/>
    <s v="KW"/>
    <s v="R2TETN007VBE_KW"/>
    <s v="气动截止阀开反馈"/>
    <s v="TETN"/>
    <s v="1812-B1132YKS07-001-008"/>
    <x v="2"/>
    <s v="DI211"/>
    <x v="42"/>
    <s v="2TEKC004AR206DI"/>
    <n v="2"/>
    <x v="3"/>
    <x v="2"/>
    <n v="16"/>
    <m/>
    <s v="TB222"/>
    <s v="206BN"/>
    <s v="3A"/>
    <s v="3B"/>
    <s v="--"/>
    <s v="--"/>
    <s v="NR"/>
    <s v="NA"/>
    <s v="DI"/>
    <n v="1"/>
    <s v="DCS"/>
    <s v="DI1"/>
    <m/>
    <m/>
    <m/>
    <m/>
    <m/>
    <m/>
    <m/>
    <m/>
    <m/>
    <m/>
    <s v="2TETN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75"/>
    <s v="2TETN003HXT"/>
    <s v="2TETN-007VBE"/>
    <s v="GW"/>
    <s v="R2TETN007VBE_GW"/>
    <s v="气动截止阀关反馈"/>
    <s v="TETN"/>
    <s v="1812-B1132YKS07-001-008"/>
    <x v="2"/>
    <s v="DI211"/>
    <x v="42"/>
    <s v="2TEKC004AR206DI"/>
    <n v="2"/>
    <x v="3"/>
    <x v="3"/>
    <n v="16"/>
    <m/>
    <s v="TB222"/>
    <s v="206BN"/>
    <s v="4A"/>
    <s v="4B"/>
    <s v="--"/>
    <s v="--"/>
    <s v="NR"/>
    <s v="NA"/>
    <s v="DI"/>
    <n v="1"/>
    <s v="DCS"/>
    <s v="DI1"/>
    <m/>
    <m/>
    <m/>
    <m/>
    <m/>
    <m/>
    <m/>
    <m/>
    <m/>
    <m/>
    <s v="2TETN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76"/>
    <s v="2TETN004HXT"/>
    <s v="2TETN-010VBE"/>
    <s v="KW"/>
    <s v="R2TETN010VBE_KW"/>
    <s v="气动截止阀开反馈"/>
    <s v="TETN"/>
    <s v="1812-B1132YKS07-001-011"/>
    <x v="2"/>
    <s v="DI211"/>
    <x v="42"/>
    <s v="2TEKC004AR206DI"/>
    <n v="2"/>
    <x v="3"/>
    <x v="4"/>
    <n v="16"/>
    <m/>
    <s v="TB222"/>
    <s v="206BN"/>
    <s v="5A"/>
    <s v="5B"/>
    <s v="--"/>
    <s v="--"/>
    <s v="NR"/>
    <s v="NA"/>
    <s v="DI"/>
    <n v="1"/>
    <s v="DCS"/>
    <s v="DI1"/>
    <m/>
    <m/>
    <m/>
    <m/>
    <m/>
    <m/>
    <m/>
    <m/>
    <m/>
    <m/>
    <s v="2TETN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77"/>
    <s v="2TETN004HXT"/>
    <s v="2TETN-010VBE"/>
    <s v="GW"/>
    <s v="R2TETN010VBE_GW"/>
    <s v="气动截止阀关反馈"/>
    <s v="TETN"/>
    <s v="1812-B1132YKS07-001-011"/>
    <x v="2"/>
    <s v="DI211"/>
    <x v="42"/>
    <s v="2TEKC004AR206DI"/>
    <n v="2"/>
    <x v="3"/>
    <x v="5"/>
    <n v="16"/>
    <m/>
    <s v="TB222"/>
    <s v="206BN"/>
    <s v="6A"/>
    <s v="6B"/>
    <s v="--"/>
    <s v="--"/>
    <s v="NR"/>
    <s v="NA"/>
    <s v="DI"/>
    <n v="1"/>
    <s v="DCS"/>
    <s v="DI1"/>
    <m/>
    <m/>
    <m/>
    <m/>
    <m/>
    <m/>
    <m/>
    <m/>
    <m/>
    <m/>
    <s v="2TETN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78"/>
    <s v="2TETN004HXT"/>
    <s v="2TETN-013VBE"/>
    <s v="KW"/>
    <s v="R2TETN013VBE_KW"/>
    <s v="气动截止阀开反馈"/>
    <s v="TETN"/>
    <s v="1812-B1132YKS07-001-014"/>
    <x v="2"/>
    <s v="DI211"/>
    <x v="42"/>
    <s v="2TEKC004AR206DI"/>
    <n v="2"/>
    <x v="3"/>
    <x v="6"/>
    <n v="16"/>
    <m/>
    <s v="TB222"/>
    <s v="206BN"/>
    <s v="7A"/>
    <s v="7B"/>
    <s v="--"/>
    <s v="--"/>
    <s v="NR"/>
    <s v="NA"/>
    <s v="DI"/>
    <n v="1"/>
    <s v="DCS"/>
    <s v="DI1"/>
    <m/>
    <m/>
    <m/>
    <m/>
    <m/>
    <m/>
    <m/>
    <m/>
    <m/>
    <m/>
    <s v="2TETN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79"/>
    <s v="2TETN004HXT"/>
    <s v="2TETN-013VBE"/>
    <s v="GW"/>
    <s v="R2TETN013VBE_GW"/>
    <s v="气动截止阀关反馈"/>
    <s v="TETN"/>
    <s v="1812-B1132YKS07-001-014"/>
    <x v="2"/>
    <s v="DI211"/>
    <x v="42"/>
    <s v="2TEKC004AR206DI"/>
    <n v="2"/>
    <x v="3"/>
    <x v="7"/>
    <n v="16"/>
    <m/>
    <s v="TB222"/>
    <s v="206BN"/>
    <s v="8A"/>
    <s v="8B"/>
    <s v="--"/>
    <s v="--"/>
    <s v="NR"/>
    <s v="NA"/>
    <s v="DI"/>
    <n v="1"/>
    <s v="DCS"/>
    <s v="DI1"/>
    <m/>
    <m/>
    <m/>
    <m/>
    <m/>
    <m/>
    <m/>
    <m/>
    <m/>
    <m/>
    <s v="2TETN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80"/>
    <s v="2TETN005HXT"/>
    <s v="2TETN-016VBE"/>
    <s v="KW"/>
    <s v="R2TETN016VBE_KW"/>
    <s v="气动截止阀开反馈"/>
    <s v="TETN"/>
    <s v="1812-B1132YKS07-001-017"/>
    <x v="2"/>
    <s v="DI211"/>
    <x v="42"/>
    <s v="2TEKC004AR206DI"/>
    <n v="2"/>
    <x v="3"/>
    <x v="8"/>
    <n v="16"/>
    <m/>
    <s v="TB222"/>
    <s v="206BN"/>
    <s v="9A"/>
    <s v="9B"/>
    <s v="--"/>
    <s v="--"/>
    <s v="NR"/>
    <s v="NA"/>
    <s v="DI"/>
    <n v="1"/>
    <s v="DCS"/>
    <s v="DI1"/>
    <m/>
    <m/>
    <m/>
    <m/>
    <m/>
    <m/>
    <m/>
    <m/>
    <m/>
    <m/>
    <s v="2TETN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81"/>
    <s v="2TETN005HXT"/>
    <s v="2TETN-016VBE"/>
    <s v="GW"/>
    <s v="R2TETN016VBE_GW"/>
    <s v="气动截止阀关反馈"/>
    <s v="TETN"/>
    <s v="1812-B1132YKS07-001-017"/>
    <x v="2"/>
    <s v="DI211"/>
    <x v="42"/>
    <s v="2TEKC004AR206DI"/>
    <n v="2"/>
    <x v="3"/>
    <x v="9"/>
    <n v="16"/>
    <m/>
    <s v="TB222"/>
    <s v="206BN"/>
    <s v="10A"/>
    <s v="10B"/>
    <s v="--"/>
    <s v="--"/>
    <s v="NR"/>
    <s v="NA"/>
    <s v="DI"/>
    <n v="1"/>
    <s v="DCS"/>
    <s v="DI1"/>
    <m/>
    <m/>
    <m/>
    <m/>
    <m/>
    <m/>
    <m/>
    <m/>
    <m/>
    <m/>
    <s v="2TETN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82"/>
    <s v="2TETN005HXT"/>
    <s v="2TETN-021VBE"/>
    <s v="KW"/>
    <s v="R2TETN021VBE_KW"/>
    <s v="气动截止阀开反馈"/>
    <s v="TETN"/>
    <s v="1812-B1132YKS07-001-019"/>
    <x v="2"/>
    <s v="DI211"/>
    <x v="42"/>
    <s v="2TEKC004AR206DI"/>
    <n v="2"/>
    <x v="3"/>
    <x v="10"/>
    <n v="16"/>
    <m/>
    <s v="TB222"/>
    <s v="206BN"/>
    <s v="11A"/>
    <s v="11B"/>
    <s v="--"/>
    <s v="--"/>
    <s v="NR"/>
    <s v="NA"/>
    <s v="DI"/>
    <n v="1"/>
    <s v="DCS"/>
    <s v="DI1"/>
    <m/>
    <m/>
    <m/>
    <m/>
    <m/>
    <m/>
    <m/>
    <m/>
    <m/>
    <m/>
    <s v="2TETN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83"/>
    <s v="2TETN005HXT"/>
    <s v="2TETN-021VBE"/>
    <s v="GW"/>
    <s v="R2TETN021VBE_GW"/>
    <s v="气动截止阀关反馈"/>
    <s v="TETN"/>
    <s v="1812-B1132YKS07-001-019"/>
    <x v="2"/>
    <s v="DI211"/>
    <x v="42"/>
    <s v="2TEKC004AR206DI"/>
    <n v="2"/>
    <x v="3"/>
    <x v="11"/>
    <n v="16"/>
    <m/>
    <s v="TB222"/>
    <s v="206BN"/>
    <s v="12A"/>
    <s v="12B"/>
    <s v="--"/>
    <s v="--"/>
    <s v="NR"/>
    <s v="NA"/>
    <s v="DI"/>
    <n v="1"/>
    <s v="DCS"/>
    <s v="DI1"/>
    <m/>
    <m/>
    <m/>
    <m/>
    <m/>
    <m/>
    <m/>
    <m/>
    <m/>
    <m/>
    <s v="2TETN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84"/>
    <s v="2TETN005HXT"/>
    <s v="2TETN-022VBE"/>
    <s v="KW"/>
    <s v="R2TETN022VBE_KW"/>
    <s v="气动截止阀开反馈"/>
    <s v="TETN"/>
    <s v="1812-B1132YKS07-001-020"/>
    <x v="2"/>
    <s v="DI211"/>
    <x v="42"/>
    <s v="2TEKC004AR206DI"/>
    <n v="2"/>
    <x v="3"/>
    <x v="12"/>
    <n v="16"/>
    <m/>
    <s v="TB222"/>
    <s v="206BN"/>
    <s v="13A"/>
    <s v="13B"/>
    <s v="--"/>
    <s v="--"/>
    <s v="NR"/>
    <s v="NA"/>
    <s v="DI"/>
    <n v="1"/>
    <s v="DCS"/>
    <s v="DI1"/>
    <m/>
    <m/>
    <m/>
    <m/>
    <m/>
    <m/>
    <m/>
    <m/>
    <m/>
    <m/>
    <s v="2TETN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85"/>
    <s v="2TETN005HXT"/>
    <s v="2TETN-022VBE"/>
    <s v="GW"/>
    <s v="R2TETN022VBE_GW"/>
    <s v="气动截止阀关反馈"/>
    <s v="TETN"/>
    <s v="1812-B1132YKS07-001-020"/>
    <x v="2"/>
    <s v="DI211"/>
    <x v="42"/>
    <s v="2TEKC004AR206DI"/>
    <n v="2"/>
    <x v="3"/>
    <x v="13"/>
    <n v="16"/>
    <m/>
    <s v="TB222"/>
    <s v="206BN"/>
    <s v="14A"/>
    <s v="14B"/>
    <s v="--"/>
    <s v="--"/>
    <s v="NR"/>
    <s v="NA"/>
    <s v="DI"/>
    <n v="1"/>
    <s v="DCS"/>
    <s v="DI1"/>
    <m/>
    <m/>
    <m/>
    <m/>
    <m/>
    <m/>
    <m/>
    <m/>
    <m/>
    <m/>
    <s v="2TETN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86"/>
    <s v="备用"/>
    <s v="2TEKC004AR206DICH15"/>
    <m/>
    <s v="R2TEKC004AR206DICH15"/>
    <s v="备用"/>
    <s v="TETN"/>
    <m/>
    <x v="2"/>
    <s v="DI211"/>
    <x v="42"/>
    <s v="2TEKC004AR206DI"/>
    <n v="2"/>
    <x v="3"/>
    <x v="14"/>
    <n v="16"/>
    <m/>
    <s v="TB222"/>
    <s v="206BN"/>
    <s v="15A"/>
    <s v="15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87"/>
    <s v="备用"/>
    <s v="2TEKC004AR206DICH16"/>
    <m/>
    <s v="R2TEKC004AR206DICH16"/>
    <s v="备用"/>
    <s v="TETN"/>
    <m/>
    <x v="2"/>
    <s v="DI211"/>
    <x v="42"/>
    <s v="2TEKC004AR206DI"/>
    <n v="2"/>
    <x v="3"/>
    <x v="15"/>
    <n v="16"/>
    <m/>
    <s v="TB222"/>
    <s v="206BN"/>
    <s v="16A"/>
    <s v="16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88"/>
    <s v="2TETN003HXT"/>
    <s v="2TETN-006VBE"/>
    <s v="KW"/>
    <s v="R2TETN006VBE_KW"/>
    <s v="气动截止阀开反馈"/>
    <s v="TETN"/>
    <s v="1812-B1132YKS07-001-007"/>
    <x v="2"/>
    <s v="DI211"/>
    <x v="43"/>
    <s v="2TEKC004AR207DI"/>
    <n v="2"/>
    <x v="4"/>
    <x v="0"/>
    <n v="17"/>
    <m/>
    <s v="TB222"/>
    <s v="207BN"/>
    <s v="1A"/>
    <s v="1B"/>
    <s v="--"/>
    <s v="--"/>
    <s v="NR"/>
    <s v="NA"/>
    <s v="DI"/>
    <n v="1"/>
    <s v="DCS"/>
    <s v="DI1"/>
    <m/>
    <m/>
    <m/>
    <m/>
    <m/>
    <m/>
    <m/>
    <m/>
    <m/>
    <m/>
    <s v="2TETN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89"/>
    <s v="2TETN003HXT"/>
    <s v="2TETN-006VBE"/>
    <s v="GW"/>
    <s v="R2TETN006VBE_GW"/>
    <s v="气动截止阀关反馈"/>
    <s v="TETN"/>
    <s v="1812-B1132YKS07-001-007"/>
    <x v="2"/>
    <s v="DI211"/>
    <x v="43"/>
    <s v="2TEKC004AR207DI"/>
    <n v="2"/>
    <x v="4"/>
    <x v="1"/>
    <n v="17"/>
    <m/>
    <s v="TB222"/>
    <s v="207BN"/>
    <s v="2A"/>
    <s v="2B"/>
    <s v="--"/>
    <s v="--"/>
    <s v="NR"/>
    <s v="NA"/>
    <s v="DI"/>
    <n v="1"/>
    <s v="DCS"/>
    <s v="DI1"/>
    <m/>
    <m/>
    <m/>
    <m/>
    <m/>
    <m/>
    <m/>
    <m/>
    <m/>
    <m/>
    <s v="2TETN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90"/>
    <s v="2TETN004HXT"/>
    <s v="2TETN-009VBE"/>
    <s v="KW"/>
    <s v="R2TETN009VBE_KW"/>
    <s v="气动截止阀开反馈"/>
    <s v="TETN"/>
    <s v="1812-B1132YKS07-001-010"/>
    <x v="2"/>
    <s v="DI211"/>
    <x v="43"/>
    <s v="2TEKC004AR207DI"/>
    <n v="2"/>
    <x v="4"/>
    <x v="2"/>
    <n v="17"/>
    <m/>
    <s v="TB222"/>
    <s v="207BN"/>
    <s v="3A"/>
    <s v="3B"/>
    <s v="--"/>
    <s v="--"/>
    <s v="NR"/>
    <s v="NA"/>
    <s v="DI"/>
    <n v="1"/>
    <s v="DCS"/>
    <s v="DI1"/>
    <m/>
    <m/>
    <m/>
    <m/>
    <m/>
    <m/>
    <m/>
    <m/>
    <m/>
    <m/>
    <s v="2TETN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91"/>
    <s v="2TETN004HXT"/>
    <s v="2TETN-009VBE"/>
    <s v="GW"/>
    <s v="R2TETN009VBE_GW"/>
    <s v="气动截止阀关反馈"/>
    <s v="TETN"/>
    <s v="1812-B1132YKS07-001-010"/>
    <x v="2"/>
    <s v="DI211"/>
    <x v="43"/>
    <s v="2TEKC004AR207DI"/>
    <n v="2"/>
    <x v="4"/>
    <x v="3"/>
    <n v="17"/>
    <m/>
    <s v="TB222"/>
    <s v="207BN"/>
    <s v="4A"/>
    <s v="4B"/>
    <s v="--"/>
    <s v="--"/>
    <s v="NR"/>
    <s v="NA"/>
    <s v="DI"/>
    <n v="1"/>
    <s v="DCS"/>
    <s v="DI1"/>
    <m/>
    <m/>
    <m/>
    <m/>
    <m/>
    <m/>
    <m/>
    <m/>
    <m/>
    <m/>
    <s v="2TETN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92"/>
    <s v="2TETN004HXT"/>
    <s v="2TETN-012VBE"/>
    <s v="KW"/>
    <s v="R2TETN012VBE_KW"/>
    <s v="气动截止阀开反馈"/>
    <s v="TETN"/>
    <s v="1812-B1132YKS07-001-013"/>
    <x v="2"/>
    <s v="DI211"/>
    <x v="43"/>
    <s v="2TEKC004AR207DI"/>
    <n v="2"/>
    <x v="4"/>
    <x v="4"/>
    <n v="17"/>
    <m/>
    <s v="TB222"/>
    <s v="207BN"/>
    <s v="5A"/>
    <s v="5B"/>
    <s v="--"/>
    <s v="--"/>
    <s v="NR"/>
    <s v="NA"/>
    <s v="DI"/>
    <n v="1"/>
    <s v="DCS"/>
    <s v="DI1"/>
    <m/>
    <m/>
    <m/>
    <m/>
    <m/>
    <m/>
    <m/>
    <m/>
    <m/>
    <m/>
    <s v="2TETN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93"/>
    <s v="2TETN004HXT"/>
    <s v="2TETN-012VBE"/>
    <s v="GW"/>
    <s v="R2TETN012VBE_GW"/>
    <s v="气动截止阀关反馈"/>
    <s v="TETN"/>
    <s v="1812-B1132YKS07-001-013"/>
    <x v="2"/>
    <s v="DI211"/>
    <x v="43"/>
    <s v="2TEKC004AR207DI"/>
    <n v="2"/>
    <x v="4"/>
    <x v="5"/>
    <n v="17"/>
    <m/>
    <s v="TB222"/>
    <s v="207BN"/>
    <s v="6A"/>
    <s v="6B"/>
    <s v="--"/>
    <s v="--"/>
    <s v="NR"/>
    <s v="NA"/>
    <s v="DI"/>
    <n v="1"/>
    <s v="DCS"/>
    <s v="DI1"/>
    <m/>
    <m/>
    <m/>
    <m/>
    <m/>
    <m/>
    <m/>
    <m/>
    <m/>
    <m/>
    <s v="2TETN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94"/>
    <s v="2TETN005HXT"/>
    <s v="2TETN-015VBE"/>
    <s v="KW"/>
    <s v="R2TETN015VBE_KW"/>
    <s v="气动截止阀开反馈"/>
    <s v="TETN"/>
    <s v="1812-B1132YKS07-001-016"/>
    <x v="2"/>
    <s v="DI211"/>
    <x v="43"/>
    <s v="2TEKC004AR207DI"/>
    <n v="2"/>
    <x v="4"/>
    <x v="6"/>
    <n v="17"/>
    <m/>
    <s v="TB222"/>
    <s v="207BN"/>
    <s v="7A"/>
    <s v="7B"/>
    <s v="--"/>
    <s v="--"/>
    <s v="NR"/>
    <s v="NA"/>
    <s v="DI"/>
    <n v="1"/>
    <s v="DCS"/>
    <s v="DI1"/>
    <m/>
    <m/>
    <m/>
    <m/>
    <m/>
    <m/>
    <m/>
    <m/>
    <m/>
    <m/>
    <s v="2TETN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95"/>
    <s v="2TETN005HXT"/>
    <s v="2TETN-015VBE"/>
    <s v="GW"/>
    <s v="R2TETN015VBE_GW"/>
    <s v="气动截止阀关反馈"/>
    <s v="TETN"/>
    <s v="1812-B1132YKS07-001-016"/>
    <x v="2"/>
    <s v="DI211"/>
    <x v="43"/>
    <s v="2TEKC004AR207DI"/>
    <n v="2"/>
    <x v="4"/>
    <x v="7"/>
    <n v="17"/>
    <m/>
    <s v="TB222"/>
    <s v="207BN"/>
    <s v="8A"/>
    <s v="8B"/>
    <s v="--"/>
    <s v="--"/>
    <s v="NR"/>
    <s v="NA"/>
    <s v="DI"/>
    <n v="1"/>
    <s v="DCS"/>
    <s v="DI1"/>
    <m/>
    <m/>
    <m/>
    <m/>
    <m/>
    <m/>
    <m/>
    <m/>
    <m/>
    <m/>
    <s v="2TETN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96"/>
    <s v="2TETN005HXT"/>
    <s v="2TETN-017VBE"/>
    <s v="KW"/>
    <s v="R2TETN017VBE_KW"/>
    <s v="气动截止阀开反馈"/>
    <s v="TETN"/>
    <s v="1812-B1132YKS07-001-018"/>
    <x v="2"/>
    <s v="DI211"/>
    <x v="43"/>
    <s v="2TEKC004AR207DI"/>
    <n v="2"/>
    <x v="4"/>
    <x v="8"/>
    <n v="17"/>
    <m/>
    <s v="TB222"/>
    <s v="207BN"/>
    <s v="9A"/>
    <s v="9B"/>
    <s v="--"/>
    <s v="--"/>
    <s v="NR"/>
    <s v="NA"/>
    <s v="DI"/>
    <n v="1"/>
    <s v="DCS"/>
    <s v="DI1"/>
    <m/>
    <m/>
    <m/>
    <m/>
    <m/>
    <m/>
    <m/>
    <m/>
    <m/>
    <m/>
    <s v="2TETN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97"/>
    <s v="2TETN005HXT"/>
    <s v="2TETN-017VBE"/>
    <s v="GW"/>
    <s v="R2TETN017VBE_GW"/>
    <s v="气动截止阀关反馈"/>
    <s v="TETN"/>
    <s v="1812-B1132YKS07-001-018"/>
    <x v="2"/>
    <s v="DI211"/>
    <x v="43"/>
    <s v="2TEKC004AR207DI"/>
    <n v="2"/>
    <x v="4"/>
    <x v="9"/>
    <n v="17"/>
    <m/>
    <s v="TB222"/>
    <s v="207BN"/>
    <s v="10A"/>
    <s v="10B"/>
    <s v="--"/>
    <s v="--"/>
    <s v="NR"/>
    <s v="NA"/>
    <s v="DI"/>
    <n v="1"/>
    <s v="DCS"/>
    <s v="DI1"/>
    <m/>
    <m/>
    <m/>
    <m/>
    <m/>
    <m/>
    <m/>
    <m/>
    <m/>
    <m/>
    <s v="2TETN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98"/>
    <s v="备用"/>
    <s v="2TEKC004AR207DICH11"/>
    <m/>
    <s v="R2TEKC004AR207DICH11"/>
    <s v="备用"/>
    <s v="TETN"/>
    <m/>
    <x v="2"/>
    <s v="DI211"/>
    <x v="43"/>
    <s v="2TEKC004AR207DI"/>
    <n v="2"/>
    <x v="4"/>
    <x v="10"/>
    <n v="17"/>
    <m/>
    <s v="TB222"/>
    <s v="207BN"/>
    <s v="11A"/>
    <s v="11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699"/>
    <s v="备用"/>
    <s v="2TEKC004AR207DICH12"/>
    <m/>
    <s v="R2TEKC004AR207DICH12"/>
    <s v="备用"/>
    <s v="TETN"/>
    <m/>
    <x v="2"/>
    <s v="DI211"/>
    <x v="43"/>
    <s v="2TEKC004AR207DI"/>
    <n v="2"/>
    <x v="4"/>
    <x v="11"/>
    <n v="17"/>
    <m/>
    <s v="TB222"/>
    <s v="207BN"/>
    <s v="12A"/>
    <s v="12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00"/>
    <s v="备用"/>
    <s v="2TEKC004AR207DICH13"/>
    <m/>
    <s v="R2TEKC004AR207DICH13"/>
    <s v="备用"/>
    <s v="TETN"/>
    <m/>
    <x v="2"/>
    <s v="DI211"/>
    <x v="43"/>
    <s v="2TEKC004AR207DI"/>
    <n v="2"/>
    <x v="4"/>
    <x v="12"/>
    <n v="17"/>
    <m/>
    <s v="TB222"/>
    <s v="207BN"/>
    <s v="13A"/>
    <s v="13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01"/>
    <s v="备用"/>
    <s v="2TEKC004AR207DICH14"/>
    <m/>
    <s v="R2TEKC004AR207DICH14"/>
    <s v="备用"/>
    <s v="TETN"/>
    <m/>
    <x v="2"/>
    <s v="DI211"/>
    <x v="43"/>
    <s v="2TEKC004AR207DI"/>
    <n v="2"/>
    <x v="4"/>
    <x v="13"/>
    <n v="17"/>
    <m/>
    <s v="TB222"/>
    <s v="207BN"/>
    <s v="14A"/>
    <s v="14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02"/>
    <s v="备用"/>
    <s v="2TEKC004AR207DICH15"/>
    <m/>
    <s v="R2TEKC004AR207DICH15"/>
    <s v="备用"/>
    <s v="TETN"/>
    <m/>
    <x v="2"/>
    <s v="DI211"/>
    <x v="43"/>
    <s v="2TEKC004AR207DI"/>
    <n v="2"/>
    <x v="4"/>
    <x v="14"/>
    <n v="17"/>
    <m/>
    <s v="TB222"/>
    <s v="207BN"/>
    <s v="15A"/>
    <s v="15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03"/>
    <s v="备用"/>
    <s v="2TEKC004AR207DICH16"/>
    <m/>
    <s v="R2TEKC004AR207DICH16"/>
    <s v="备用"/>
    <s v="TETN"/>
    <m/>
    <x v="2"/>
    <s v="DI211"/>
    <x v="43"/>
    <s v="2TEKC004AR207DI"/>
    <n v="2"/>
    <x v="4"/>
    <x v="15"/>
    <n v="17"/>
    <m/>
    <s v="TB222"/>
    <s v="207BN"/>
    <s v="16A"/>
    <s v="16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04"/>
    <s v="2TETN006HXT"/>
    <s v="2TETN-028VBE"/>
    <s v="KW"/>
    <s v="R2TETN028VBE_KW"/>
    <s v="气动截止阀开反馈"/>
    <s v="TETN"/>
    <s v="1812-B1132YKS07-001-024"/>
    <x v="2"/>
    <s v="DI211"/>
    <x v="26"/>
    <s v="2TEKC004AR208DI"/>
    <n v="2"/>
    <x v="7"/>
    <x v="0"/>
    <n v="18"/>
    <m/>
    <s v="TB222"/>
    <s v="208BN"/>
    <s v="1A"/>
    <s v="1B"/>
    <s v="--"/>
    <s v="--"/>
    <s v="NR"/>
    <s v="NA"/>
    <s v="DI"/>
    <n v="1"/>
    <s v="DCS"/>
    <s v="DI1"/>
    <m/>
    <m/>
    <m/>
    <m/>
    <m/>
    <m/>
    <m/>
    <m/>
    <m/>
    <m/>
    <s v="2TETN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05"/>
    <s v="2TETN006HXT"/>
    <s v="2TETN-028VBE"/>
    <s v="GW"/>
    <s v="R2TETN028VBE_GW"/>
    <s v="气动截止阀关反馈"/>
    <s v="TETN"/>
    <s v="1812-B1132YKS07-001-024"/>
    <x v="2"/>
    <s v="DI211"/>
    <x v="26"/>
    <s v="2TEKC004AR208DI"/>
    <n v="2"/>
    <x v="7"/>
    <x v="1"/>
    <n v="18"/>
    <m/>
    <s v="TB222"/>
    <s v="208BN"/>
    <s v="2A"/>
    <s v="2B"/>
    <s v="--"/>
    <s v="--"/>
    <s v="NR"/>
    <s v="NA"/>
    <s v="DI"/>
    <n v="1"/>
    <s v="DCS"/>
    <s v="DI1"/>
    <m/>
    <m/>
    <m/>
    <m/>
    <m/>
    <m/>
    <m/>
    <m/>
    <m/>
    <m/>
    <s v="2TETN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06"/>
    <s v="2TETN006HXT"/>
    <s v="2TETN-031VBE"/>
    <s v="KW"/>
    <s v="R2TETN031VBE_KW"/>
    <s v="气动截止阀开反馈"/>
    <s v="TETN"/>
    <s v="1812-B1132YKS07-001-027"/>
    <x v="2"/>
    <s v="DI211"/>
    <x v="26"/>
    <s v="2TEKC004AR208DI"/>
    <n v="2"/>
    <x v="7"/>
    <x v="2"/>
    <n v="18"/>
    <m/>
    <s v="TB222"/>
    <s v="208BN"/>
    <s v="3A"/>
    <s v="3B"/>
    <s v="--"/>
    <s v="--"/>
    <s v="NR"/>
    <s v="NA"/>
    <s v="DI"/>
    <n v="1"/>
    <s v="DCS"/>
    <s v="DI1"/>
    <m/>
    <m/>
    <m/>
    <m/>
    <m/>
    <m/>
    <m/>
    <m/>
    <m/>
    <m/>
    <s v="2TETN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07"/>
    <s v="2TETN006HXT"/>
    <s v="2TETN-031VBE"/>
    <s v="GW"/>
    <s v="R2TETN031VBE_GW"/>
    <s v="气动截止阀关反馈"/>
    <s v="TETN"/>
    <s v="1812-B1132YKS07-001-027"/>
    <x v="2"/>
    <s v="DI211"/>
    <x v="26"/>
    <s v="2TEKC004AR208DI"/>
    <n v="2"/>
    <x v="7"/>
    <x v="3"/>
    <n v="18"/>
    <m/>
    <s v="TB222"/>
    <s v="208BN"/>
    <s v="4A"/>
    <s v="4B"/>
    <s v="--"/>
    <s v="--"/>
    <s v="NR"/>
    <s v="NA"/>
    <s v="DI"/>
    <n v="1"/>
    <s v="DCS"/>
    <s v="DI1"/>
    <m/>
    <m/>
    <m/>
    <m/>
    <m/>
    <m/>
    <m/>
    <m/>
    <m/>
    <m/>
    <s v="2TETN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08"/>
    <s v="2TETN007HXT"/>
    <s v="2TETN-034VBE"/>
    <s v="KW"/>
    <s v="R2TETN034VBE_KW"/>
    <s v="气动截止阀开反馈"/>
    <s v="TETN"/>
    <s v="1812-B1132YKS07-001-030"/>
    <x v="2"/>
    <s v="DI211"/>
    <x v="26"/>
    <s v="2TEKC004AR208DI"/>
    <n v="2"/>
    <x v="7"/>
    <x v="4"/>
    <n v="18"/>
    <m/>
    <s v="TB222"/>
    <s v="208BN"/>
    <s v="5A"/>
    <s v="5B"/>
    <s v="--"/>
    <s v="--"/>
    <s v="NR"/>
    <s v="NA"/>
    <s v="DI"/>
    <n v="1"/>
    <s v="DCS"/>
    <s v="DI1"/>
    <m/>
    <m/>
    <m/>
    <m/>
    <m/>
    <m/>
    <m/>
    <m/>
    <m/>
    <m/>
    <s v="2TETN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09"/>
    <s v="2TETN007HXT"/>
    <s v="2TETN-034VBE"/>
    <s v="GW"/>
    <s v="R2TETN034VBE_GW"/>
    <s v="气动截止阀关反馈"/>
    <s v="TETN"/>
    <s v="1812-B1132YKS07-001-030"/>
    <x v="2"/>
    <s v="DI211"/>
    <x v="26"/>
    <s v="2TEKC004AR208DI"/>
    <n v="2"/>
    <x v="7"/>
    <x v="5"/>
    <n v="18"/>
    <m/>
    <s v="TB222"/>
    <s v="208BN"/>
    <s v="6A"/>
    <s v="6B"/>
    <s v="--"/>
    <s v="--"/>
    <s v="NR"/>
    <s v="NA"/>
    <s v="DI"/>
    <n v="1"/>
    <s v="DCS"/>
    <s v="DI1"/>
    <m/>
    <m/>
    <m/>
    <m/>
    <m/>
    <m/>
    <m/>
    <m/>
    <m/>
    <m/>
    <s v="2TETN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10"/>
    <m/>
    <s v="2TETN-037VBE"/>
    <s v="KW"/>
    <s v="R2TETN037VBE_KW"/>
    <s v="气动截止阀开反馈"/>
    <s v="TETN"/>
    <s v="1812-B1132YKS07-001-033"/>
    <x v="2"/>
    <s v="DI211"/>
    <x v="26"/>
    <s v="2TEKC004AR208DI"/>
    <n v="2"/>
    <x v="7"/>
    <x v="6"/>
    <n v="18"/>
    <m/>
    <s v="TB222"/>
    <s v="208BN"/>
    <s v="7A"/>
    <s v="7B"/>
    <s v="--"/>
    <s v="--"/>
    <s v="NR"/>
    <s v="NA"/>
    <s v="DI"/>
    <n v="1"/>
    <s v="DCS"/>
    <s v="DI1"/>
    <m/>
    <m/>
    <m/>
    <m/>
    <m/>
    <m/>
    <m/>
    <m/>
    <m/>
    <m/>
    <s v="2TETN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11"/>
    <m/>
    <s v="2TETN-037VBE"/>
    <s v="GW"/>
    <s v="R2TETN037VBE_GW"/>
    <s v="气动截止阀关反馈"/>
    <s v="TETN"/>
    <s v="1812-B1132YKS07-001-033"/>
    <x v="2"/>
    <s v="DI211"/>
    <x v="26"/>
    <s v="2TEKC004AR208DI"/>
    <n v="2"/>
    <x v="7"/>
    <x v="7"/>
    <n v="18"/>
    <m/>
    <s v="TB222"/>
    <s v="208BN"/>
    <s v="8A"/>
    <s v="8B"/>
    <s v="--"/>
    <s v="--"/>
    <s v="NR"/>
    <s v="NA"/>
    <s v="DI"/>
    <n v="1"/>
    <s v="DCS"/>
    <s v="DI1"/>
    <m/>
    <m/>
    <m/>
    <m/>
    <m/>
    <m/>
    <m/>
    <m/>
    <m/>
    <m/>
    <s v="2TETN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12"/>
    <s v="2TETN002HXT"/>
    <s v="2TETN-001VBE"/>
    <s v="KW"/>
    <s v="R2TETN001VBE_KW"/>
    <s v="气动截止阀开反馈"/>
    <s v="TETN"/>
    <s v="1812-B1132YKS07-001-002"/>
    <x v="2"/>
    <s v="DI211"/>
    <x v="26"/>
    <s v="2TEKC004AR208DI"/>
    <n v="2"/>
    <x v="7"/>
    <x v="8"/>
    <n v="18"/>
    <m/>
    <s v="TB222"/>
    <s v="208BN"/>
    <s v="9A"/>
    <s v="9B"/>
    <s v="--"/>
    <s v="--"/>
    <s v="NR"/>
    <s v="NA"/>
    <s v="DI"/>
    <n v="1"/>
    <s v="DCS"/>
    <s v="DI1"/>
    <m/>
    <m/>
    <m/>
    <m/>
    <m/>
    <m/>
    <m/>
    <m/>
    <m/>
    <m/>
    <s v="2TETN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13"/>
    <s v="2TETN002HXT"/>
    <s v="2TETN-001VBE"/>
    <s v="GW"/>
    <s v="R2TETN001VBE_GW"/>
    <s v="气动截止阀关反馈"/>
    <s v="TETN"/>
    <s v="1812-B1132YKS07-001-002"/>
    <x v="2"/>
    <s v="DI211"/>
    <x v="26"/>
    <s v="2TEKC004AR208DI"/>
    <n v="2"/>
    <x v="7"/>
    <x v="9"/>
    <n v="18"/>
    <m/>
    <s v="TB222"/>
    <s v="208BN"/>
    <s v="10A"/>
    <s v="10B"/>
    <s v="--"/>
    <s v="--"/>
    <s v="NR"/>
    <s v="NA"/>
    <s v="DI"/>
    <n v="1"/>
    <s v="DCS"/>
    <s v="DI1"/>
    <m/>
    <m/>
    <m/>
    <m/>
    <m/>
    <m/>
    <m/>
    <m/>
    <m/>
    <m/>
    <s v="2TETN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14"/>
    <s v="2TETN008HXT"/>
    <s v="2TETN-049VBE"/>
    <s v="KW"/>
    <s v="R2TETN049VBE_KW"/>
    <s v="气动截止阀开反馈"/>
    <s v="TETN"/>
    <s v="1812-B1132YKS07-001-040"/>
    <x v="2"/>
    <s v="DI211"/>
    <x v="26"/>
    <s v="2TEKC004AR208DI"/>
    <n v="2"/>
    <x v="7"/>
    <x v="10"/>
    <n v="18"/>
    <m/>
    <s v="TB222"/>
    <s v="208BN"/>
    <s v="11A"/>
    <s v="11B"/>
    <s v="--"/>
    <s v="--"/>
    <s v="NR"/>
    <s v="NA"/>
    <s v="DI"/>
    <n v="1"/>
    <s v="DCS"/>
    <s v="DI1"/>
    <m/>
    <m/>
    <m/>
    <m/>
    <m/>
    <m/>
    <m/>
    <m/>
    <m/>
    <m/>
    <s v="2TETN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15"/>
    <s v="2TETN008HXT"/>
    <s v="2TETN-049VBE"/>
    <s v="GW"/>
    <s v="R2TETN049VBE_GW"/>
    <s v="气动截止阀关反馈"/>
    <s v="TETN"/>
    <s v="1812-B1132YKS07-001-040"/>
    <x v="2"/>
    <s v="DI211"/>
    <x v="26"/>
    <s v="2TEKC004AR208DI"/>
    <n v="2"/>
    <x v="7"/>
    <x v="11"/>
    <n v="18"/>
    <m/>
    <s v="TB222"/>
    <s v="208BN"/>
    <s v="12A"/>
    <s v="12B"/>
    <s v="--"/>
    <s v="--"/>
    <s v="NR"/>
    <s v="NA"/>
    <s v="DI"/>
    <n v="1"/>
    <s v="DCS"/>
    <s v="DI1"/>
    <m/>
    <m/>
    <m/>
    <m/>
    <m/>
    <m/>
    <m/>
    <m/>
    <m/>
    <m/>
    <s v="2TETN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16"/>
    <s v="2TETN008HXT"/>
    <s v="2TETN-050VBE"/>
    <s v="KW"/>
    <s v="R2TETN050VBE_KW"/>
    <s v="气动截止阀开反馈"/>
    <s v="TETN"/>
    <s v="1812-B1132YKS07-001-041"/>
    <x v="2"/>
    <s v="DI211"/>
    <x v="26"/>
    <s v="2TEKC004AR208DI"/>
    <n v="2"/>
    <x v="7"/>
    <x v="12"/>
    <n v="18"/>
    <m/>
    <s v="TB222"/>
    <s v="208BN"/>
    <s v="13A"/>
    <s v="13B"/>
    <s v="--"/>
    <s v="--"/>
    <s v="NR"/>
    <s v="NA"/>
    <s v="DI"/>
    <n v="1"/>
    <s v="DCS"/>
    <s v="DI1"/>
    <m/>
    <m/>
    <m/>
    <m/>
    <m/>
    <m/>
    <m/>
    <m/>
    <m/>
    <m/>
    <s v="2TETN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17"/>
    <s v="2TETN008HXT"/>
    <s v="2TETN-050VBE"/>
    <s v="GW"/>
    <s v="R2TETN050VBE_GW"/>
    <s v="气动截止阀关反馈"/>
    <s v="TETN"/>
    <s v="1812-B1132YKS07-001-041"/>
    <x v="2"/>
    <s v="DI211"/>
    <x v="26"/>
    <s v="2TEKC004AR208DI"/>
    <n v="2"/>
    <x v="7"/>
    <x v="13"/>
    <n v="18"/>
    <m/>
    <s v="TB222"/>
    <s v="208BN"/>
    <s v="14A"/>
    <s v="14B"/>
    <s v="--"/>
    <s v="--"/>
    <s v="NR"/>
    <s v="NA"/>
    <s v="DI"/>
    <n v="1"/>
    <s v="DCS"/>
    <s v="DI1"/>
    <m/>
    <m/>
    <m/>
    <m/>
    <m/>
    <m/>
    <m/>
    <m/>
    <m/>
    <m/>
    <s v="2TETN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18"/>
    <s v="备用"/>
    <s v="2TEKC004AR208DICH15"/>
    <m/>
    <s v="R2TEKC004AR208DICH15"/>
    <s v="备用"/>
    <s v="TETN"/>
    <m/>
    <x v="2"/>
    <s v="DI211"/>
    <x v="26"/>
    <s v="2TEKC004AR208DI"/>
    <n v="2"/>
    <x v="7"/>
    <x v="14"/>
    <n v="18"/>
    <m/>
    <s v="TB222"/>
    <s v="208BN"/>
    <s v="15A"/>
    <s v="15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19"/>
    <s v="备用"/>
    <s v="2TEKC004AR208DICH16"/>
    <m/>
    <s v="R2TEKC004AR208DICH16"/>
    <s v="备用"/>
    <s v="TETN"/>
    <m/>
    <x v="2"/>
    <s v="DI211"/>
    <x v="26"/>
    <s v="2TEKC004AR208DI"/>
    <n v="2"/>
    <x v="7"/>
    <x v="15"/>
    <n v="18"/>
    <m/>
    <s v="TB222"/>
    <s v="208BN"/>
    <s v="16A"/>
    <s v="16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20"/>
    <s v="2TETN005HXT"/>
    <s v="2TETN-025VBE"/>
    <s v="KW"/>
    <s v="R2TETN025VBE_KW"/>
    <s v="气动截止阀开反馈"/>
    <s v="TETN"/>
    <s v="1812-B1132YKS07-001-021"/>
    <x v="2"/>
    <s v="DI211"/>
    <x v="27"/>
    <s v="2TEKC004AR209DI"/>
    <n v="2"/>
    <x v="6"/>
    <x v="0"/>
    <n v="19"/>
    <m/>
    <s v="TB222"/>
    <s v="209BN"/>
    <s v="1A"/>
    <s v="1B"/>
    <s v="--"/>
    <s v="--"/>
    <s v="NR"/>
    <s v="NA"/>
    <s v="DI"/>
    <n v="1"/>
    <s v="DCS"/>
    <s v="DI1"/>
    <m/>
    <m/>
    <m/>
    <m/>
    <m/>
    <m/>
    <m/>
    <m/>
    <m/>
    <m/>
    <s v="2TETN01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21"/>
    <s v="2TETN005HXT"/>
    <s v="2TETN-025VBE"/>
    <s v="GW"/>
    <s v="R2TETN025VBE_GW"/>
    <s v="气动截止阀关反馈"/>
    <s v="TETN"/>
    <s v="1812-B1132YKS07-001-021"/>
    <x v="2"/>
    <s v="DI211"/>
    <x v="27"/>
    <s v="2TEKC004AR209DI"/>
    <n v="2"/>
    <x v="6"/>
    <x v="1"/>
    <n v="19"/>
    <m/>
    <s v="TB222"/>
    <s v="209BN"/>
    <s v="2A"/>
    <s v="2B"/>
    <s v="--"/>
    <s v="--"/>
    <s v="NR"/>
    <s v="NA"/>
    <s v="DI"/>
    <n v="1"/>
    <s v="DCS"/>
    <s v="DI1"/>
    <m/>
    <m/>
    <m/>
    <m/>
    <m/>
    <m/>
    <m/>
    <m/>
    <m/>
    <m/>
    <s v="2TETN01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22"/>
    <s v="2TETN008HXT"/>
    <s v="2TETN-040VBE"/>
    <s v="KW"/>
    <s v="R2TETN040VBE_KW"/>
    <s v="气动截止阀开反馈"/>
    <s v="TETN"/>
    <s v="1812-B1132YKS07-001-036"/>
    <x v="2"/>
    <s v="DI211"/>
    <x v="27"/>
    <s v="2TEKC004AR209DI"/>
    <n v="2"/>
    <x v="6"/>
    <x v="2"/>
    <n v="19"/>
    <m/>
    <s v="TB222"/>
    <s v="209BN"/>
    <s v="3A"/>
    <s v="3B"/>
    <s v="--"/>
    <s v="--"/>
    <s v="NR"/>
    <s v="NA"/>
    <s v="DI"/>
    <n v="1"/>
    <s v="DCS"/>
    <s v="DI1"/>
    <m/>
    <m/>
    <m/>
    <m/>
    <m/>
    <m/>
    <m/>
    <m/>
    <m/>
    <m/>
    <s v="2TETN01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23"/>
    <s v="2TETN008HXT"/>
    <s v="2TETN-040VBE"/>
    <s v="GW"/>
    <s v="R2TETN040VBE_GW"/>
    <s v="气动截止阀关反馈"/>
    <s v="TETN"/>
    <s v="1812-B1132YKS07-001-036"/>
    <x v="2"/>
    <s v="DI211"/>
    <x v="27"/>
    <s v="2TEKC004AR209DI"/>
    <n v="2"/>
    <x v="6"/>
    <x v="3"/>
    <n v="19"/>
    <m/>
    <s v="TB222"/>
    <s v="209BN"/>
    <s v="4A"/>
    <s v="4B"/>
    <s v="--"/>
    <s v="--"/>
    <s v="NR"/>
    <s v="NA"/>
    <s v="DI"/>
    <n v="1"/>
    <s v="DCS"/>
    <s v="DI1"/>
    <m/>
    <m/>
    <m/>
    <m/>
    <m/>
    <m/>
    <m/>
    <m/>
    <m/>
    <m/>
    <s v="2TETN01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24"/>
    <s v="2TETN008HXT"/>
    <s v="2TETN-045VBE"/>
    <s v="KW"/>
    <s v="R2TETN045VBE_KW"/>
    <s v="气动截止阀开反馈"/>
    <s v="TETN"/>
    <s v="1812-B1132YKS07-001-038"/>
    <x v="2"/>
    <s v="DI211"/>
    <x v="27"/>
    <s v="2TEKC004AR209DI"/>
    <n v="2"/>
    <x v="6"/>
    <x v="4"/>
    <n v="19"/>
    <m/>
    <s v="TB222"/>
    <s v="209BN"/>
    <s v="5A"/>
    <s v="5B"/>
    <s v="--"/>
    <s v="--"/>
    <s v="NR"/>
    <s v="NA"/>
    <s v="DI"/>
    <n v="1"/>
    <s v="DCS"/>
    <s v="DI1"/>
    <m/>
    <m/>
    <m/>
    <m/>
    <m/>
    <m/>
    <m/>
    <m/>
    <m/>
    <m/>
    <s v="2TETN01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25"/>
    <s v="2TETN008HXT"/>
    <s v="2TETN-045VBE"/>
    <s v="GW"/>
    <s v="R2TETN045VBE_GW"/>
    <s v="气动截止阀关反馈"/>
    <s v="TETN"/>
    <s v="1812-B1132YKS07-001-038"/>
    <x v="2"/>
    <s v="DI211"/>
    <x v="27"/>
    <s v="2TEKC004AR209DI"/>
    <n v="2"/>
    <x v="6"/>
    <x v="5"/>
    <n v="19"/>
    <m/>
    <s v="TB222"/>
    <s v="209BN"/>
    <s v="6A"/>
    <s v="6B"/>
    <s v="--"/>
    <s v="--"/>
    <s v="NR"/>
    <s v="NA"/>
    <s v="DI"/>
    <n v="1"/>
    <s v="DCS"/>
    <s v="DI1"/>
    <m/>
    <m/>
    <m/>
    <m/>
    <m/>
    <m/>
    <m/>
    <m/>
    <m/>
    <m/>
    <s v="2TETN01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26"/>
    <s v="2TETN008HXT"/>
    <s v="2TETN-046VBE"/>
    <s v="KW"/>
    <s v="R2TETN046VBE_KW"/>
    <s v="气动截止阀开反馈"/>
    <s v="TETN"/>
    <s v="1812-B1132YKS07-001-039"/>
    <x v="2"/>
    <s v="DI211"/>
    <x v="27"/>
    <s v="2TEKC004AR209DI"/>
    <n v="2"/>
    <x v="6"/>
    <x v="6"/>
    <n v="19"/>
    <m/>
    <s v="TB222"/>
    <s v="209BN"/>
    <s v="7A"/>
    <s v="7B"/>
    <s v="--"/>
    <s v="--"/>
    <s v="NR"/>
    <s v="NA"/>
    <s v="DI"/>
    <n v="1"/>
    <s v="DCS"/>
    <s v="DI1"/>
    <m/>
    <m/>
    <m/>
    <m/>
    <m/>
    <m/>
    <m/>
    <m/>
    <m/>
    <m/>
    <s v="2TETN01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27"/>
    <s v="2TETN008HXT"/>
    <s v="2TETN-046VBE"/>
    <s v="GW"/>
    <s v="R2TETN046VBE_GW"/>
    <s v="气动截止阀关反馈"/>
    <s v="TETN"/>
    <s v="1812-B1132YKS07-001-039"/>
    <x v="2"/>
    <s v="DI211"/>
    <x v="27"/>
    <s v="2TEKC004AR209DI"/>
    <n v="2"/>
    <x v="6"/>
    <x v="7"/>
    <n v="19"/>
    <m/>
    <s v="TB222"/>
    <s v="209BN"/>
    <s v="8A"/>
    <s v="8B"/>
    <s v="--"/>
    <s v="--"/>
    <s v="NR"/>
    <s v="NA"/>
    <s v="DI"/>
    <n v="1"/>
    <s v="DCS"/>
    <s v="DI1"/>
    <m/>
    <m/>
    <m/>
    <m/>
    <m/>
    <m/>
    <m/>
    <m/>
    <m/>
    <m/>
    <s v="2TETN01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28"/>
    <s v="2TETN005HXT"/>
    <s v="2TETN-065VBE"/>
    <s v="KW"/>
    <s v="R2TETN065VBE_KW"/>
    <s v="气动截止阀开反馈"/>
    <s v="TETN"/>
    <s v="1812-B1132YKS07-001-042"/>
    <x v="2"/>
    <s v="DI211"/>
    <x v="27"/>
    <s v="2TEKC004AR209DI"/>
    <n v="2"/>
    <x v="6"/>
    <x v="8"/>
    <n v="19"/>
    <m/>
    <s v="TB222"/>
    <s v="209BN"/>
    <s v="9A"/>
    <s v="9B"/>
    <s v="--"/>
    <s v="--"/>
    <s v="NR"/>
    <s v="NA"/>
    <s v="DI"/>
    <n v="1"/>
    <s v="DCS"/>
    <s v="DI1"/>
    <m/>
    <m/>
    <m/>
    <m/>
    <m/>
    <m/>
    <m/>
    <m/>
    <m/>
    <m/>
    <s v="2TETN01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29"/>
    <s v="2TETN005HXT"/>
    <s v="2TETN-065VBE"/>
    <s v="GW"/>
    <s v="R2TETN065VBE_GW"/>
    <s v="气动截止阀关反馈"/>
    <s v="TETN"/>
    <s v="1812-B1132YKS07-001-042"/>
    <x v="2"/>
    <s v="DI211"/>
    <x v="27"/>
    <s v="2TEKC004AR209DI"/>
    <n v="2"/>
    <x v="6"/>
    <x v="9"/>
    <n v="19"/>
    <m/>
    <s v="TB222"/>
    <s v="209BN"/>
    <s v="10A"/>
    <s v="10B"/>
    <s v="--"/>
    <s v="--"/>
    <s v="NR"/>
    <s v="NA"/>
    <s v="DI"/>
    <n v="1"/>
    <s v="DCS"/>
    <s v="DI1"/>
    <m/>
    <m/>
    <m/>
    <m/>
    <m/>
    <m/>
    <m/>
    <m/>
    <m/>
    <m/>
    <s v="2TETN01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30"/>
    <s v="2TETN005HXT"/>
    <s v="2TETN-066VBE"/>
    <s v="KW"/>
    <s v="R2TETN066VBE_KW"/>
    <s v="气动截止阀开反馈"/>
    <s v="TETN"/>
    <s v="1812-B1132YKS07-001-043"/>
    <x v="2"/>
    <s v="DI211"/>
    <x v="27"/>
    <s v="2TEKC004AR209DI"/>
    <n v="2"/>
    <x v="6"/>
    <x v="10"/>
    <n v="19"/>
    <m/>
    <s v="TB222"/>
    <s v="209BN"/>
    <s v="11A"/>
    <s v="11B"/>
    <s v="--"/>
    <s v="--"/>
    <s v="NR"/>
    <s v="NA"/>
    <s v="DI"/>
    <n v="1"/>
    <s v="DCS"/>
    <s v="DI1"/>
    <m/>
    <m/>
    <m/>
    <m/>
    <m/>
    <m/>
    <m/>
    <m/>
    <m/>
    <m/>
    <s v="2TETN01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31"/>
    <s v="2TETN005HXT"/>
    <s v="2TETN-066VBE"/>
    <s v="GW"/>
    <s v="R2TETN066VBE_GW"/>
    <s v="气动截止阀关反馈"/>
    <s v="TETN"/>
    <s v="1812-B1132YKS07-001-043"/>
    <x v="2"/>
    <s v="DI211"/>
    <x v="27"/>
    <s v="2TEKC004AR209DI"/>
    <n v="2"/>
    <x v="6"/>
    <x v="11"/>
    <n v="19"/>
    <m/>
    <s v="TB222"/>
    <s v="209BN"/>
    <s v="12A"/>
    <s v="12B"/>
    <s v="--"/>
    <s v="--"/>
    <s v="NR"/>
    <s v="NA"/>
    <s v="DI"/>
    <n v="1"/>
    <s v="DCS"/>
    <s v="DI1"/>
    <m/>
    <m/>
    <m/>
    <m/>
    <m/>
    <m/>
    <m/>
    <m/>
    <m/>
    <m/>
    <s v="2TETN01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32"/>
    <s v="备用"/>
    <s v="2TEKC004AR209DICH13"/>
    <m/>
    <s v="R2TEKC004AR209DICH13"/>
    <s v="备用"/>
    <s v="TETN"/>
    <m/>
    <x v="2"/>
    <s v="DI211"/>
    <x v="27"/>
    <s v="2TEKC004AR209DI"/>
    <n v="2"/>
    <x v="6"/>
    <x v="12"/>
    <n v="19"/>
    <m/>
    <s v="TB222"/>
    <s v="209BN"/>
    <s v="13A"/>
    <s v="13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33"/>
    <s v="备用"/>
    <s v="2TEKC004AR209DICH14"/>
    <m/>
    <s v="R2TEKC004AR209DICH14"/>
    <s v="备用"/>
    <s v="TETN"/>
    <m/>
    <x v="2"/>
    <s v="DI211"/>
    <x v="27"/>
    <s v="2TEKC004AR209DI"/>
    <n v="2"/>
    <x v="6"/>
    <x v="13"/>
    <n v="19"/>
    <m/>
    <s v="TB222"/>
    <s v="209BN"/>
    <s v="14A"/>
    <s v="14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34"/>
    <s v="备用"/>
    <s v="2TEKC004AR209DICH15"/>
    <m/>
    <s v="R2TEKC004AR209DICH15"/>
    <s v="备用"/>
    <s v="TETN"/>
    <m/>
    <x v="2"/>
    <s v="DI211"/>
    <x v="27"/>
    <s v="2TEKC004AR209DI"/>
    <n v="2"/>
    <x v="6"/>
    <x v="14"/>
    <n v="19"/>
    <m/>
    <s v="TB222"/>
    <s v="209BN"/>
    <s v="15A"/>
    <s v="15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35"/>
    <s v="备用"/>
    <s v="2TEKC004AR209DICH16"/>
    <m/>
    <s v="R2TEKC004AR209DICH16"/>
    <s v="备用"/>
    <s v="TETN"/>
    <m/>
    <x v="2"/>
    <s v="DI211"/>
    <x v="27"/>
    <s v="2TEKC004AR209DI"/>
    <n v="2"/>
    <x v="6"/>
    <x v="15"/>
    <n v="19"/>
    <m/>
    <s v="TB222"/>
    <s v="209BN"/>
    <s v="16A"/>
    <s v="16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36"/>
    <s v="2TETN002HXT"/>
    <s v="2TETN-101VIE"/>
    <s v="KW"/>
    <s v="R2TETN101VIE_KW"/>
    <s v="气动截止阀开反馈"/>
    <s v="TETN"/>
    <s v="1812-B1132YKS07-001-044"/>
    <x v="2"/>
    <s v="DI211"/>
    <x v="28"/>
    <s v="2TEKC004AR210DI"/>
    <n v="2"/>
    <x v="8"/>
    <x v="0"/>
    <n v="20"/>
    <m/>
    <s v="TB222"/>
    <s v="210BN"/>
    <s v="1A"/>
    <s v="1B"/>
    <s v="--"/>
    <s v="--"/>
    <s v="NR"/>
    <s v="NA"/>
    <s v="DI"/>
    <n v="1"/>
    <s v="DCS"/>
    <s v="DI1"/>
    <m/>
    <m/>
    <m/>
    <m/>
    <m/>
    <m/>
    <m/>
    <m/>
    <m/>
    <m/>
    <s v="2TETN00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37"/>
    <s v="2TETN002HXT"/>
    <s v="2TETN-101VIE"/>
    <s v="GW"/>
    <s v="R2TETN101VIE_GW"/>
    <s v="气动截止阀关反馈"/>
    <s v="TETN"/>
    <s v="1812-B1132YKS07-001-044"/>
    <x v="2"/>
    <s v="DI211"/>
    <x v="28"/>
    <s v="2TEKC004AR210DI"/>
    <n v="2"/>
    <x v="8"/>
    <x v="1"/>
    <n v="20"/>
    <m/>
    <s v="TB222"/>
    <s v="210BN"/>
    <s v="2A"/>
    <s v="2B"/>
    <s v="--"/>
    <s v="--"/>
    <s v="NR"/>
    <s v="NA"/>
    <s v="DI"/>
    <n v="1"/>
    <s v="DCS"/>
    <s v="DI1"/>
    <m/>
    <m/>
    <m/>
    <m/>
    <m/>
    <m/>
    <m/>
    <m/>
    <m/>
    <m/>
    <s v="2TETN00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38"/>
    <s v="2TETN002HXT"/>
    <s v="2TETN-102VIE"/>
    <s v="KW"/>
    <s v="R2TETN102VIE_KW"/>
    <s v="气动截止阀开反馈"/>
    <s v="TETN"/>
    <s v="1812-B1132YKS07-001-045"/>
    <x v="2"/>
    <s v="DI211"/>
    <x v="28"/>
    <s v="2TEKC004AR210DI"/>
    <n v="2"/>
    <x v="8"/>
    <x v="2"/>
    <n v="20"/>
    <m/>
    <s v="TB222"/>
    <s v="210BN"/>
    <s v="3A"/>
    <s v="3B"/>
    <s v="--"/>
    <s v="--"/>
    <s v="NR"/>
    <s v="NA"/>
    <s v="DI"/>
    <n v="1"/>
    <s v="DCS"/>
    <s v="DI1"/>
    <m/>
    <m/>
    <m/>
    <m/>
    <m/>
    <m/>
    <m/>
    <m/>
    <m/>
    <m/>
    <s v="2TETN00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39"/>
    <s v="2TETN002HXT"/>
    <s v="2TETN-102VIE"/>
    <s v="GW"/>
    <s v="R2TETN102VIE_GW"/>
    <s v="气动截止阀关反馈"/>
    <s v="TETN"/>
    <s v="1812-B1132YKS07-001-045"/>
    <x v="2"/>
    <s v="DI211"/>
    <x v="28"/>
    <s v="2TEKC004AR210DI"/>
    <n v="2"/>
    <x v="8"/>
    <x v="3"/>
    <n v="20"/>
    <m/>
    <s v="TB222"/>
    <s v="210BN"/>
    <s v="4A"/>
    <s v="4B"/>
    <s v="--"/>
    <s v="--"/>
    <s v="NR"/>
    <s v="NA"/>
    <s v="DI"/>
    <n v="1"/>
    <s v="DCS"/>
    <s v="DI1"/>
    <m/>
    <m/>
    <m/>
    <m/>
    <m/>
    <m/>
    <m/>
    <m/>
    <m/>
    <m/>
    <s v="2TETN00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40"/>
    <s v="2TETN006HXT"/>
    <s v="2TETN-030VBE"/>
    <s v="KW"/>
    <s v="R2TETN030VBE_KW"/>
    <s v="气动截止阀开反馈"/>
    <s v="TETN"/>
    <s v="1812-B1132YKS07-001-026"/>
    <x v="2"/>
    <s v="DI211"/>
    <x v="28"/>
    <s v="2TEKC004AR210DI"/>
    <n v="2"/>
    <x v="8"/>
    <x v="4"/>
    <n v="20"/>
    <m/>
    <s v="TB222"/>
    <s v="210BN"/>
    <s v="5A"/>
    <s v="5B"/>
    <s v="--"/>
    <s v="--"/>
    <s v="NR"/>
    <s v="NA"/>
    <s v="DI"/>
    <n v="1"/>
    <s v="DCS"/>
    <s v="DI1"/>
    <m/>
    <m/>
    <m/>
    <m/>
    <m/>
    <m/>
    <m/>
    <m/>
    <m/>
    <m/>
    <s v="2TETN01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41"/>
    <s v="2TETN006HXT"/>
    <s v="2TETN-030VBE"/>
    <s v="GW"/>
    <s v="R2TETN030VBE_GW"/>
    <s v="气动截止阀关反馈"/>
    <s v="TETN"/>
    <s v="1812-B1132YKS07-001-026"/>
    <x v="2"/>
    <s v="DI211"/>
    <x v="28"/>
    <s v="2TEKC004AR210DI"/>
    <n v="2"/>
    <x v="8"/>
    <x v="5"/>
    <n v="20"/>
    <m/>
    <s v="TB222"/>
    <s v="210BN"/>
    <s v="6A"/>
    <s v="6B"/>
    <s v="--"/>
    <s v="--"/>
    <s v="NR"/>
    <s v="NA"/>
    <s v="DI"/>
    <n v="1"/>
    <s v="DCS"/>
    <s v="DI1"/>
    <m/>
    <m/>
    <m/>
    <m/>
    <m/>
    <m/>
    <m/>
    <m/>
    <m/>
    <m/>
    <s v="2TETN01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42"/>
    <s v="2TETN007HXT"/>
    <s v="2TETN-033VBE"/>
    <s v="KW"/>
    <s v="R2TETN033VBE_KW"/>
    <s v="气动截止阀开反馈"/>
    <s v="TETN"/>
    <s v="1812-B1132YKS07-001-029"/>
    <x v="2"/>
    <s v="DI211"/>
    <x v="28"/>
    <s v="2TEKC004AR210DI"/>
    <n v="2"/>
    <x v="8"/>
    <x v="6"/>
    <n v="20"/>
    <m/>
    <s v="TB222"/>
    <s v="210BN"/>
    <s v="7A"/>
    <s v="7B"/>
    <s v="--"/>
    <s v="--"/>
    <s v="NR"/>
    <s v="NA"/>
    <s v="DI"/>
    <n v="1"/>
    <s v="DCS"/>
    <s v="DI1"/>
    <m/>
    <m/>
    <m/>
    <m/>
    <m/>
    <m/>
    <m/>
    <m/>
    <m/>
    <m/>
    <s v="2TETN01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43"/>
    <s v="2TETN007HXT"/>
    <s v="2TETN-033VBE"/>
    <s v="GW"/>
    <s v="R2TETN033VBE_GW"/>
    <s v="气动截止阀关反馈"/>
    <s v="TETN"/>
    <s v="1812-B1132YKS07-001-029"/>
    <x v="2"/>
    <s v="DI211"/>
    <x v="28"/>
    <s v="2TEKC004AR210DI"/>
    <n v="2"/>
    <x v="8"/>
    <x v="7"/>
    <n v="20"/>
    <m/>
    <s v="TB222"/>
    <s v="210BN"/>
    <s v="8A"/>
    <s v="8B"/>
    <s v="--"/>
    <s v="--"/>
    <s v="NR"/>
    <s v="NA"/>
    <s v="DI"/>
    <n v="1"/>
    <s v="DCS"/>
    <s v="DI1"/>
    <m/>
    <m/>
    <m/>
    <m/>
    <m/>
    <m/>
    <m/>
    <m/>
    <m/>
    <m/>
    <s v="2TETN01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44"/>
    <s v="2TETN007HXT"/>
    <s v="2TETN-036VBE"/>
    <s v="KW"/>
    <s v="R2TETN036VBE_KW"/>
    <s v="气动截止阀开反馈"/>
    <s v="TETN"/>
    <s v="1812-B1132YKS07-001-032"/>
    <x v="2"/>
    <s v="DI211"/>
    <x v="28"/>
    <s v="2TEKC004AR210DI"/>
    <n v="2"/>
    <x v="8"/>
    <x v="8"/>
    <n v="20"/>
    <m/>
    <s v="TB222"/>
    <s v="210BN"/>
    <s v="9A"/>
    <s v="9B"/>
    <s v="--"/>
    <s v="--"/>
    <s v="NR"/>
    <s v="NA"/>
    <s v="DI"/>
    <n v="1"/>
    <s v="DCS"/>
    <s v="DI1"/>
    <m/>
    <m/>
    <m/>
    <m/>
    <m/>
    <m/>
    <m/>
    <m/>
    <m/>
    <m/>
    <s v="2TETN01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45"/>
    <s v="2TETN007HXT"/>
    <s v="2TETN-036VBE"/>
    <s v="GW"/>
    <s v="R2TETN036VBE_GW"/>
    <s v="气动截止阀关反馈"/>
    <s v="TETN"/>
    <s v="1812-B1132YKS07-001-032"/>
    <x v="2"/>
    <s v="DI211"/>
    <x v="28"/>
    <s v="2TEKC004AR210DI"/>
    <n v="2"/>
    <x v="8"/>
    <x v="9"/>
    <n v="20"/>
    <m/>
    <s v="TB222"/>
    <s v="210BN"/>
    <s v="10A"/>
    <s v="10B"/>
    <s v="--"/>
    <s v="--"/>
    <s v="NR"/>
    <s v="NA"/>
    <s v="DI"/>
    <n v="1"/>
    <s v="DCS"/>
    <s v="DI1"/>
    <m/>
    <m/>
    <m/>
    <m/>
    <m/>
    <m/>
    <m/>
    <m/>
    <m/>
    <m/>
    <s v="2TETN01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46"/>
    <s v="2TETN008HXT"/>
    <s v="2TETN-039VBE"/>
    <s v="KW"/>
    <s v="R2TETN039VBE_KW"/>
    <s v="气动截止阀开反馈"/>
    <s v="TETN"/>
    <s v="1812-B1132YKS07-001-035"/>
    <x v="2"/>
    <s v="DI211"/>
    <x v="28"/>
    <s v="2TEKC004AR210DI"/>
    <n v="2"/>
    <x v="8"/>
    <x v="10"/>
    <n v="20"/>
    <m/>
    <s v="TB222"/>
    <s v="210BN"/>
    <s v="11A"/>
    <s v="11B"/>
    <s v="--"/>
    <s v="--"/>
    <s v="NR"/>
    <s v="NA"/>
    <s v="DI"/>
    <n v="1"/>
    <s v="DCS"/>
    <s v="DI1"/>
    <m/>
    <m/>
    <m/>
    <m/>
    <m/>
    <m/>
    <m/>
    <m/>
    <m/>
    <m/>
    <s v="2TETN01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47"/>
    <s v="2TETN008HXT"/>
    <s v="2TETN-039VBE"/>
    <s v="GW"/>
    <s v="R2TETN039VBE_GW"/>
    <s v="气动截止阀关反馈"/>
    <s v="TETN"/>
    <s v="1812-B1132YKS07-001-035"/>
    <x v="2"/>
    <s v="DI211"/>
    <x v="28"/>
    <s v="2TEKC004AR210DI"/>
    <n v="2"/>
    <x v="8"/>
    <x v="11"/>
    <n v="20"/>
    <m/>
    <s v="TB222"/>
    <s v="210BN"/>
    <s v="12A"/>
    <s v="12B"/>
    <s v="--"/>
    <s v="--"/>
    <s v="NR"/>
    <s v="NA"/>
    <s v="DI"/>
    <n v="1"/>
    <s v="DCS"/>
    <s v="DI1"/>
    <m/>
    <m/>
    <m/>
    <m/>
    <m/>
    <m/>
    <m/>
    <m/>
    <m/>
    <m/>
    <s v="2TETN01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48"/>
    <s v="2TETN008HXT"/>
    <s v="2TETN-041VBE"/>
    <s v="KW"/>
    <s v="R2TETN041VBE_KW"/>
    <s v="气动截止阀开反馈"/>
    <s v="TETN"/>
    <s v="1812-B1132YKS07-001-037"/>
    <x v="2"/>
    <s v="DI211"/>
    <x v="28"/>
    <s v="2TEKC004AR210DI"/>
    <n v="2"/>
    <x v="8"/>
    <x v="12"/>
    <n v="20"/>
    <m/>
    <s v="TB222"/>
    <s v="210BN"/>
    <s v="13A"/>
    <s v="13B"/>
    <s v="--"/>
    <s v="--"/>
    <s v="NR"/>
    <s v="NA"/>
    <s v="DI"/>
    <n v="1"/>
    <s v="DCS"/>
    <s v="DI1"/>
    <m/>
    <m/>
    <m/>
    <m/>
    <m/>
    <m/>
    <m/>
    <m/>
    <m/>
    <m/>
    <s v="2TETN01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49"/>
    <s v="2TETN008HXT"/>
    <s v="2TETN-041VBE"/>
    <s v="GW"/>
    <s v="R2TETN041VBE_GW"/>
    <s v="气动截止阀关反馈"/>
    <s v="TETN"/>
    <s v="1812-B1132YKS07-001-037"/>
    <x v="2"/>
    <s v="DI211"/>
    <x v="28"/>
    <s v="2TEKC004AR210DI"/>
    <n v="2"/>
    <x v="8"/>
    <x v="13"/>
    <n v="20"/>
    <m/>
    <s v="TB222"/>
    <s v="210BN"/>
    <s v="14A"/>
    <s v="14B"/>
    <s v="--"/>
    <s v="--"/>
    <s v="NR"/>
    <s v="NA"/>
    <s v="DI"/>
    <n v="1"/>
    <s v="DCS"/>
    <s v="DI1"/>
    <m/>
    <m/>
    <m/>
    <m/>
    <m/>
    <m/>
    <m/>
    <m/>
    <m/>
    <m/>
    <s v="2TETN01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50"/>
    <s v="备用"/>
    <s v="2TEKC004AR210DICH15"/>
    <m/>
    <s v="R2TEKC004AR210DICH15"/>
    <s v="备用"/>
    <s v="TETN"/>
    <m/>
    <x v="2"/>
    <s v="DI211"/>
    <x v="28"/>
    <s v="2TEKC004AR210DI"/>
    <n v="2"/>
    <x v="8"/>
    <x v="14"/>
    <n v="20"/>
    <m/>
    <s v="TB222"/>
    <s v="210BN"/>
    <s v="15A"/>
    <s v="15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51"/>
    <s v="备用"/>
    <s v="2TEKC004AR210DICH16"/>
    <m/>
    <s v="R2TEKC004AR210DICH16"/>
    <s v="备用"/>
    <s v="TETN"/>
    <m/>
    <x v="2"/>
    <s v="DI211"/>
    <x v="28"/>
    <s v="2TEKC004AR210DI"/>
    <n v="2"/>
    <x v="8"/>
    <x v="15"/>
    <n v="20"/>
    <m/>
    <s v="TB222"/>
    <s v="210BN"/>
    <s v="16A"/>
    <s v="16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52"/>
    <s v="2TETN003HXT"/>
    <s v="2TETN-002VBE"/>
    <s v="KW"/>
    <s v="R2TETN002VBE_KW"/>
    <s v="气动截止阀开反馈"/>
    <s v="TETN"/>
    <s v="1812-B1132YKS07-001-003"/>
    <x v="2"/>
    <s v="DI211"/>
    <x v="29"/>
    <s v="2TEKC004AR301DI"/>
    <n v="3"/>
    <x v="5"/>
    <x v="0"/>
    <n v="21"/>
    <m/>
    <s v="TB222"/>
    <s v="301BN"/>
    <s v="1A"/>
    <s v="1B"/>
    <s v="--"/>
    <s v="--"/>
    <s v="NR"/>
    <s v="NA"/>
    <s v="DI"/>
    <n v="1"/>
    <s v="DCS"/>
    <s v="DI1"/>
    <m/>
    <m/>
    <m/>
    <m/>
    <m/>
    <m/>
    <m/>
    <m/>
    <m/>
    <m/>
    <s v="2TETN01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53"/>
    <s v="2TETN003HXT"/>
    <s v="2TETN-002VBE"/>
    <s v="GW"/>
    <s v="R2TETN002VBE_GW"/>
    <s v="气动截止阀关反馈"/>
    <s v="TETN"/>
    <s v="1812-B1132YKS07-001-003"/>
    <x v="2"/>
    <s v="DI211"/>
    <x v="29"/>
    <s v="2TEKC004AR301DI"/>
    <n v="3"/>
    <x v="5"/>
    <x v="1"/>
    <n v="21"/>
    <m/>
    <s v="TB222"/>
    <s v="301BN"/>
    <s v="2A"/>
    <s v="2B"/>
    <s v="--"/>
    <s v="--"/>
    <s v="NR"/>
    <s v="NA"/>
    <s v="DI"/>
    <n v="1"/>
    <s v="DCS"/>
    <s v="DI1"/>
    <m/>
    <m/>
    <m/>
    <m/>
    <m/>
    <m/>
    <m/>
    <m/>
    <m/>
    <m/>
    <s v="2TETN01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54"/>
    <s v="2TETN003HXT"/>
    <s v="2TETN-003VBE"/>
    <s v="KW"/>
    <s v="R2TETN003VBE_KW"/>
    <s v="气动截止阀开反馈"/>
    <s v="TETN"/>
    <s v="1812-B1132YKS07-001-004"/>
    <x v="2"/>
    <s v="DI211"/>
    <x v="29"/>
    <s v="2TEKC004AR301DI"/>
    <n v="3"/>
    <x v="5"/>
    <x v="2"/>
    <n v="21"/>
    <m/>
    <s v="TB222"/>
    <s v="301BN"/>
    <s v="3A"/>
    <s v="3B"/>
    <s v="--"/>
    <s v="--"/>
    <s v="NR"/>
    <s v="NA"/>
    <s v="DI"/>
    <n v="1"/>
    <s v="DCS"/>
    <s v="DI1"/>
    <m/>
    <m/>
    <m/>
    <m/>
    <m/>
    <m/>
    <m/>
    <m/>
    <m/>
    <m/>
    <s v="2TETN01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55"/>
    <s v="2TETN003HXT"/>
    <s v="2TETN-003VBE"/>
    <s v="GW"/>
    <s v="R2TETN003VBE_GW"/>
    <s v="气动截止阀关反馈"/>
    <s v="TETN"/>
    <s v="1812-B1132YKS07-001-004"/>
    <x v="2"/>
    <s v="DI211"/>
    <x v="29"/>
    <s v="2TEKC004AR301DI"/>
    <n v="3"/>
    <x v="5"/>
    <x v="3"/>
    <n v="21"/>
    <m/>
    <s v="TB222"/>
    <s v="301BN"/>
    <s v="4A"/>
    <s v="4B"/>
    <s v="--"/>
    <s v="--"/>
    <s v="NR"/>
    <s v="NA"/>
    <s v="DI"/>
    <n v="1"/>
    <s v="DCS"/>
    <s v="DI1"/>
    <m/>
    <m/>
    <m/>
    <m/>
    <m/>
    <m/>
    <m/>
    <m/>
    <m/>
    <m/>
    <s v="2TETN01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56"/>
    <s v="2TETN003HXT"/>
    <s v="2TETN-005VBE"/>
    <s v="KW"/>
    <s v="R2TETN005VBE_KW"/>
    <s v="气动截止阀开反馈"/>
    <s v="TETN"/>
    <s v="1812-B1132YKS07-001-006"/>
    <x v="2"/>
    <s v="DI211"/>
    <x v="29"/>
    <s v="2TEKC004AR301DI"/>
    <n v="3"/>
    <x v="5"/>
    <x v="4"/>
    <n v="21"/>
    <m/>
    <s v="TB222"/>
    <s v="301BN"/>
    <s v="5A"/>
    <s v="5B"/>
    <s v="--"/>
    <s v="--"/>
    <s v="NR"/>
    <s v="NA"/>
    <s v="DI"/>
    <n v="1"/>
    <s v="DCS"/>
    <s v="DI1"/>
    <m/>
    <m/>
    <m/>
    <m/>
    <m/>
    <m/>
    <m/>
    <m/>
    <m/>
    <m/>
    <s v="2TETN01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57"/>
    <s v="2TETN003HXT"/>
    <s v="2TETN-005VBE"/>
    <s v="GW"/>
    <s v="R2TETN005VBE_GW"/>
    <s v="气动截止阀关反馈"/>
    <s v="TETN"/>
    <s v="1812-B1132YKS07-001-006"/>
    <x v="2"/>
    <s v="DI211"/>
    <x v="29"/>
    <s v="2TEKC004AR301DI"/>
    <n v="3"/>
    <x v="5"/>
    <x v="5"/>
    <n v="21"/>
    <m/>
    <s v="TB222"/>
    <s v="301BN"/>
    <s v="6A"/>
    <s v="6B"/>
    <s v="--"/>
    <s v="--"/>
    <s v="NR"/>
    <s v="NA"/>
    <s v="DI"/>
    <n v="1"/>
    <s v="DCS"/>
    <s v="DI1"/>
    <m/>
    <m/>
    <m/>
    <m/>
    <m/>
    <m/>
    <m/>
    <m/>
    <m/>
    <m/>
    <s v="2TETN01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58"/>
    <s v="2TETN003HXT"/>
    <s v="2TETN-112VIE"/>
    <s v="KW"/>
    <s v="R2TETN112VIE_KW"/>
    <s v="气动截止阀开反馈"/>
    <s v="TETN"/>
    <s v="1812-B1132YKS07-001-047"/>
    <x v="2"/>
    <s v="DI211"/>
    <x v="29"/>
    <s v="2TEKC004AR301DI"/>
    <n v="3"/>
    <x v="5"/>
    <x v="6"/>
    <n v="21"/>
    <m/>
    <s v="TB222"/>
    <s v="301BN"/>
    <s v="7A"/>
    <s v="7B"/>
    <s v="--"/>
    <s v="--"/>
    <s v="NR"/>
    <s v="NA"/>
    <s v="DI"/>
    <n v="1"/>
    <s v="DCS"/>
    <s v="DI1"/>
    <m/>
    <m/>
    <m/>
    <m/>
    <m/>
    <m/>
    <m/>
    <m/>
    <m/>
    <m/>
    <s v="2TETN01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59"/>
    <s v="2TETN003HXT"/>
    <s v="2TETN-112VIE"/>
    <s v="GW"/>
    <s v="R2TETN112VIE_GW"/>
    <s v="气动截止阀关反馈"/>
    <s v="TETN"/>
    <s v="1812-B1132YKS07-001-047"/>
    <x v="2"/>
    <s v="DI211"/>
    <x v="29"/>
    <s v="2TEKC004AR301DI"/>
    <n v="3"/>
    <x v="5"/>
    <x v="7"/>
    <n v="21"/>
    <m/>
    <s v="TB222"/>
    <s v="301BN"/>
    <s v="8A"/>
    <s v="8B"/>
    <s v="--"/>
    <s v="--"/>
    <s v="NR"/>
    <s v="NA"/>
    <s v="DI"/>
    <n v="1"/>
    <s v="DCS"/>
    <s v="DI1"/>
    <m/>
    <m/>
    <m/>
    <m/>
    <m/>
    <m/>
    <m/>
    <m/>
    <m/>
    <m/>
    <s v="2TETN01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60"/>
    <s v="2TETN003HXT"/>
    <s v="2TETN-113VIE"/>
    <s v="KW"/>
    <s v="R2TETN113VIE_KW"/>
    <s v="气动截止阀开反馈"/>
    <s v="TETN"/>
    <s v="1812-B1132YKS07-001-048"/>
    <x v="2"/>
    <s v="DI211"/>
    <x v="29"/>
    <s v="2TEKC004AR301DI"/>
    <n v="3"/>
    <x v="5"/>
    <x v="8"/>
    <n v="21"/>
    <m/>
    <s v="TB222"/>
    <s v="301BN"/>
    <s v="9A"/>
    <s v="9B"/>
    <s v="--"/>
    <s v="--"/>
    <s v="NR"/>
    <s v="NA"/>
    <s v="DI"/>
    <n v="1"/>
    <s v="DCS"/>
    <s v="DI1"/>
    <m/>
    <m/>
    <m/>
    <m/>
    <m/>
    <m/>
    <m/>
    <m/>
    <m/>
    <m/>
    <s v="2TETN01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61"/>
    <s v="2TETN003HXT"/>
    <s v="2TETN-113VIE"/>
    <s v="GW"/>
    <s v="R2TETN113VIE_GW"/>
    <s v="气动截止阀关反馈"/>
    <s v="TETN"/>
    <s v="1812-B1132YKS07-001-048"/>
    <x v="2"/>
    <s v="DI211"/>
    <x v="29"/>
    <s v="2TEKC004AR301DI"/>
    <n v="3"/>
    <x v="5"/>
    <x v="9"/>
    <n v="21"/>
    <m/>
    <s v="TB222"/>
    <s v="301BN"/>
    <s v="10A"/>
    <s v="10B"/>
    <s v="--"/>
    <s v="--"/>
    <s v="NR"/>
    <s v="NA"/>
    <s v="DI"/>
    <n v="1"/>
    <s v="DCS"/>
    <s v="DI1"/>
    <m/>
    <m/>
    <m/>
    <m/>
    <m/>
    <m/>
    <m/>
    <m/>
    <m/>
    <m/>
    <s v="2TETN01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62"/>
    <s v="2TETN003HXT"/>
    <s v="2TETN-121VIE"/>
    <s v="KW"/>
    <s v="R2TETN121VIE_KW"/>
    <s v="气动截止阀开反馈"/>
    <s v="TETN"/>
    <s v="1812-B1132YKS07-001-050"/>
    <x v="2"/>
    <s v="DI211"/>
    <x v="29"/>
    <s v="2TEKC004AR301DI"/>
    <n v="3"/>
    <x v="5"/>
    <x v="10"/>
    <n v="21"/>
    <m/>
    <s v="TB222"/>
    <s v="301BN"/>
    <s v="11A"/>
    <s v="11B"/>
    <s v="--"/>
    <s v="--"/>
    <s v="NR"/>
    <s v="NA"/>
    <s v="DI"/>
    <n v="1"/>
    <s v="DCS"/>
    <s v="DI1"/>
    <m/>
    <m/>
    <m/>
    <m/>
    <m/>
    <m/>
    <m/>
    <m/>
    <m/>
    <m/>
    <s v="2TETN01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63"/>
    <s v="2TETN003HXT"/>
    <s v="2TETN-121VIE"/>
    <s v="GW"/>
    <s v="R2TETN121VIE_GW"/>
    <s v="气动截止阀关反馈"/>
    <s v="TETN"/>
    <s v="1812-B1132YKS07-001-050"/>
    <x v="2"/>
    <s v="DI211"/>
    <x v="29"/>
    <s v="2TEKC004AR301DI"/>
    <n v="3"/>
    <x v="5"/>
    <x v="11"/>
    <n v="21"/>
    <m/>
    <s v="TB222"/>
    <s v="301BN"/>
    <s v="12A"/>
    <s v="12B"/>
    <s v="--"/>
    <s v="--"/>
    <s v="NR"/>
    <s v="NA"/>
    <s v="DI"/>
    <n v="1"/>
    <s v="DCS"/>
    <s v="DI1"/>
    <m/>
    <m/>
    <m/>
    <m/>
    <m/>
    <m/>
    <m/>
    <m/>
    <m/>
    <m/>
    <s v="2TETN01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64"/>
    <s v="2TETN003HXT"/>
    <s v="2TETN-123VIE"/>
    <s v="KW"/>
    <s v="R2TETN123VIE_KW"/>
    <s v="气动截止阀开反馈"/>
    <s v="TETN"/>
    <s v="1812-B1132YKS07-001-051"/>
    <x v="2"/>
    <s v="DI211"/>
    <x v="29"/>
    <s v="2TEKC004AR301DI"/>
    <n v="3"/>
    <x v="5"/>
    <x v="12"/>
    <n v="21"/>
    <m/>
    <s v="TB222"/>
    <s v="301BN"/>
    <s v="13A"/>
    <s v="13B"/>
    <s v="--"/>
    <s v="--"/>
    <s v="NR"/>
    <s v="NA"/>
    <s v="DI"/>
    <n v="1"/>
    <s v="DCS"/>
    <s v="DI1"/>
    <m/>
    <m/>
    <m/>
    <m/>
    <m/>
    <m/>
    <m/>
    <m/>
    <m/>
    <m/>
    <s v="2TETN01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65"/>
    <s v="2TETN003HXT"/>
    <s v="2TETN-123VIE"/>
    <s v="GW"/>
    <s v="R2TETN123VIE_GW"/>
    <s v="气动截止阀关反馈"/>
    <s v="TETN"/>
    <s v="1812-B1132YKS07-001-051"/>
    <x v="2"/>
    <s v="DI211"/>
    <x v="29"/>
    <s v="2TEKC004AR301DI"/>
    <n v="3"/>
    <x v="5"/>
    <x v="13"/>
    <n v="21"/>
    <m/>
    <s v="TB222"/>
    <s v="301BN"/>
    <s v="14A"/>
    <s v="14B"/>
    <s v="--"/>
    <s v="--"/>
    <s v="NR"/>
    <s v="NA"/>
    <s v="DI"/>
    <n v="1"/>
    <s v="DCS"/>
    <s v="DI1"/>
    <m/>
    <m/>
    <m/>
    <m/>
    <m/>
    <m/>
    <m/>
    <m/>
    <m/>
    <m/>
    <s v="2TETN01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66"/>
    <s v="备用"/>
    <s v="2TEKC004AR301DICH15"/>
    <m/>
    <s v="R2TEKC004AR301DICH15"/>
    <s v="备用"/>
    <s v="TETN"/>
    <m/>
    <x v="2"/>
    <s v="DI211"/>
    <x v="29"/>
    <s v="2TEKC004AR301DI"/>
    <n v="3"/>
    <x v="5"/>
    <x v="14"/>
    <n v="21"/>
    <m/>
    <s v="TB222"/>
    <s v="301BN"/>
    <s v="15A"/>
    <s v="15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67"/>
    <s v="备用"/>
    <s v="2TEKC004AR301DICH16"/>
    <m/>
    <s v="R2TEKC004AR301DICH16"/>
    <s v="备用"/>
    <s v="TETN"/>
    <m/>
    <x v="2"/>
    <s v="DI211"/>
    <x v="29"/>
    <s v="2TEKC004AR301DI"/>
    <n v="3"/>
    <x v="5"/>
    <x v="15"/>
    <n v="21"/>
    <m/>
    <s v="TB222"/>
    <s v="301BN"/>
    <s v="16A"/>
    <s v="16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68"/>
    <s v="2TETN004HXT"/>
    <s v="2TETN-008VBE"/>
    <s v="KW"/>
    <s v="R2TETN008VBE_KW"/>
    <s v="气动截止阀开反馈"/>
    <s v="TETN"/>
    <s v="1812-B1132YKS07-001-009"/>
    <x v="2"/>
    <s v="DI211"/>
    <x v="30"/>
    <s v="2TEKC004AR302DI"/>
    <n v="3"/>
    <x v="9"/>
    <x v="0"/>
    <n v="22"/>
    <m/>
    <s v="TB222"/>
    <s v="302BN"/>
    <s v="1A"/>
    <s v="1B"/>
    <s v="--"/>
    <s v="--"/>
    <s v="NR"/>
    <s v="NA"/>
    <s v="DI"/>
    <n v="1"/>
    <s v="DCS"/>
    <s v="DI1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69"/>
    <s v="2TETN004HXT"/>
    <s v="2TETN-008VBE"/>
    <s v="GW"/>
    <s v="R2TETN008VBE_GW"/>
    <s v="气动截止阀关反馈"/>
    <s v="TETN"/>
    <s v="1812-B1132YKS07-001-009"/>
    <x v="2"/>
    <s v="DI211"/>
    <x v="30"/>
    <s v="2TEKC004AR302DI"/>
    <n v="3"/>
    <x v="9"/>
    <x v="1"/>
    <n v="22"/>
    <m/>
    <s v="TB222"/>
    <s v="302BN"/>
    <s v="2A"/>
    <s v="2B"/>
    <s v="--"/>
    <s v="--"/>
    <s v="NR"/>
    <s v="NA"/>
    <s v="DI"/>
    <n v="1"/>
    <s v="DCS"/>
    <s v="DI1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70"/>
    <s v="2TETN004HXT"/>
    <s v="2TETN-011VBE"/>
    <s v="KW"/>
    <s v="R2TETN011VBE_KW"/>
    <s v="气动截止阀开反馈"/>
    <s v="TETN"/>
    <s v="1812-B1132YKS07-001-012"/>
    <x v="2"/>
    <s v="DI211"/>
    <x v="30"/>
    <s v="2TEKC004AR302DI"/>
    <n v="3"/>
    <x v="9"/>
    <x v="2"/>
    <n v="22"/>
    <m/>
    <s v="TB222"/>
    <s v="302BN"/>
    <s v="3A"/>
    <s v="3B"/>
    <s v="--"/>
    <s v="--"/>
    <s v="NR"/>
    <s v="NA"/>
    <s v="DI"/>
    <n v="1"/>
    <s v="DCS"/>
    <s v="DI1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71"/>
    <s v="2TETN004HXT"/>
    <s v="2TETN-011VBE"/>
    <s v="GW"/>
    <s v="R2TETN011VBE_GW"/>
    <s v="气动截止阀关反馈"/>
    <s v="TETN"/>
    <s v="1812-B1132YKS07-001-012"/>
    <x v="2"/>
    <s v="DI211"/>
    <x v="30"/>
    <s v="2TEKC004AR302DI"/>
    <n v="3"/>
    <x v="9"/>
    <x v="3"/>
    <n v="22"/>
    <m/>
    <s v="TB222"/>
    <s v="302BN"/>
    <s v="4A"/>
    <s v="4B"/>
    <s v="--"/>
    <s v="--"/>
    <s v="NR"/>
    <s v="NA"/>
    <s v="DI"/>
    <n v="1"/>
    <s v="DCS"/>
    <s v="DI1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72"/>
    <s v="2TETN005HXT"/>
    <s v="2TETN-014VBE"/>
    <s v="KW"/>
    <s v="R2TETN014VBE_KW"/>
    <s v="气动截止阀开反馈"/>
    <s v="TETN"/>
    <s v="1812-B1132YKS07-001-015"/>
    <x v="2"/>
    <s v="DI211"/>
    <x v="30"/>
    <s v="2TEKC004AR302DI"/>
    <n v="3"/>
    <x v="9"/>
    <x v="4"/>
    <n v="22"/>
    <m/>
    <s v="TB222"/>
    <s v="302BN"/>
    <s v="5A"/>
    <s v="5B"/>
    <s v="--"/>
    <s v="--"/>
    <s v="NR"/>
    <s v="NA"/>
    <s v="DI"/>
    <n v="1"/>
    <s v="DCS"/>
    <s v="DI1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73"/>
    <s v="2TETN005HXT"/>
    <s v="2TETN-014VBE"/>
    <s v="GW"/>
    <s v="R2TETN014VBE_GW"/>
    <s v="气动截止阀关反馈"/>
    <s v="TETN"/>
    <s v="1812-B1132YKS07-001-015"/>
    <x v="2"/>
    <s v="DI211"/>
    <x v="30"/>
    <s v="2TEKC004AR302DI"/>
    <n v="3"/>
    <x v="9"/>
    <x v="5"/>
    <n v="22"/>
    <m/>
    <s v="TB222"/>
    <s v="302BN"/>
    <s v="6A"/>
    <s v="6B"/>
    <s v="--"/>
    <s v="--"/>
    <s v="NR"/>
    <s v="NA"/>
    <s v="DI"/>
    <n v="1"/>
    <s v="DCS"/>
    <s v="DI1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74"/>
    <s v="2TETN004HXT"/>
    <s v="2TETN-131VIE"/>
    <s v="KW"/>
    <s v="R2TETN131VIE_KW"/>
    <s v="气动截止阀开反馈"/>
    <s v="TETN"/>
    <s v="1812-B1132YKS07-001-053"/>
    <x v="2"/>
    <s v="DI211"/>
    <x v="30"/>
    <s v="2TEKC004AR302DI"/>
    <n v="3"/>
    <x v="9"/>
    <x v="6"/>
    <n v="22"/>
    <m/>
    <s v="TB222"/>
    <s v="302BN"/>
    <s v="7A"/>
    <s v="7B"/>
    <s v="--"/>
    <s v="--"/>
    <s v="NR"/>
    <s v="NA"/>
    <s v="DI"/>
    <n v="1"/>
    <s v="DCS"/>
    <s v="DI1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75"/>
    <s v="2TETN004HXT"/>
    <s v="2TETN-131VIE"/>
    <s v="GW"/>
    <s v="R2TETN131VIE_GW"/>
    <s v="气动截止阀关反馈"/>
    <s v="TETN"/>
    <s v="1812-B1132YKS07-001-053"/>
    <x v="2"/>
    <s v="DI211"/>
    <x v="30"/>
    <s v="2TEKC004AR302DI"/>
    <n v="3"/>
    <x v="9"/>
    <x v="7"/>
    <n v="22"/>
    <m/>
    <s v="TB222"/>
    <s v="302BN"/>
    <s v="8A"/>
    <s v="8B"/>
    <s v="--"/>
    <s v="--"/>
    <s v="NR"/>
    <s v="NA"/>
    <s v="DI"/>
    <n v="1"/>
    <s v="DCS"/>
    <s v="DI1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76"/>
    <s v="2TETN004HXT"/>
    <s v="2TETN-133VIE"/>
    <s v="KW"/>
    <s v="R2TETN133VIE_KW"/>
    <s v="气动截止阀开反馈"/>
    <s v="TETN"/>
    <s v="1812-B1132YKS07-001-054"/>
    <x v="2"/>
    <s v="DI211"/>
    <x v="30"/>
    <s v="2TEKC004AR302DI"/>
    <n v="3"/>
    <x v="9"/>
    <x v="8"/>
    <n v="22"/>
    <m/>
    <s v="TB222"/>
    <s v="302BN"/>
    <s v="9A"/>
    <s v="9B"/>
    <s v="--"/>
    <s v="--"/>
    <s v="NR"/>
    <s v="NA"/>
    <s v="DI"/>
    <n v="1"/>
    <s v="DCS"/>
    <s v="DI1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77"/>
    <s v="2TETN004HXT"/>
    <s v="2TETN-133VIE"/>
    <s v="GW"/>
    <s v="R2TETN133VIE_GW"/>
    <s v="气动截止阀关反馈"/>
    <s v="TETN"/>
    <s v="1812-B1132YKS07-001-054"/>
    <x v="2"/>
    <s v="DI211"/>
    <x v="30"/>
    <s v="2TEKC004AR302DI"/>
    <n v="3"/>
    <x v="9"/>
    <x v="9"/>
    <n v="22"/>
    <m/>
    <s v="TB222"/>
    <s v="302BN"/>
    <s v="10A"/>
    <s v="10B"/>
    <s v="--"/>
    <s v="--"/>
    <s v="NR"/>
    <s v="NA"/>
    <s v="DI"/>
    <n v="1"/>
    <s v="DCS"/>
    <s v="DI1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78"/>
    <s v="2TETN004HXT"/>
    <s v="2TETN-141VIE"/>
    <s v="KW"/>
    <s v="R2TETN141VIE_KW"/>
    <s v="气动截止阀开反馈"/>
    <s v="TETN"/>
    <s v="1812-B1132YKS07-001-056"/>
    <x v="2"/>
    <s v="DI211"/>
    <x v="30"/>
    <s v="2TEKC004AR302DI"/>
    <n v="3"/>
    <x v="9"/>
    <x v="10"/>
    <n v="22"/>
    <m/>
    <s v="TB222"/>
    <s v="302BN"/>
    <s v="11A"/>
    <s v="11B"/>
    <s v="--"/>
    <s v="--"/>
    <s v="NR"/>
    <s v="NA"/>
    <s v="DI"/>
    <n v="1"/>
    <s v="DCS"/>
    <s v="DI1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79"/>
    <s v="2TETN004HXT"/>
    <s v="2TETN-141VIE"/>
    <s v="GW"/>
    <s v="R2TETN141VIE_GW"/>
    <s v="气动截止阀关反馈"/>
    <s v="TETN"/>
    <s v="1812-B1132YKS07-001-056"/>
    <x v="2"/>
    <s v="DI211"/>
    <x v="30"/>
    <s v="2TEKC004AR302DI"/>
    <n v="3"/>
    <x v="9"/>
    <x v="11"/>
    <n v="22"/>
    <m/>
    <s v="TB222"/>
    <s v="302BN"/>
    <s v="12A"/>
    <s v="12B"/>
    <s v="--"/>
    <s v="--"/>
    <s v="NR"/>
    <s v="NA"/>
    <s v="DI"/>
    <n v="1"/>
    <s v="DCS"/>
    <s v="DI1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80"/>
    <s v="备用"/>
    <s v="2TEKC004AR302DICH13"/>
    <m/>
    <s v="R2TEKC004AR302DICH13"/>
    <s v="备用"/>
    <s v="TETN"/>
    <m/>
    <x v="2"/>
    <s v="DI211"/>
    <x v="30"/>
    <s v="2TEKC004AR302DI"/>
    <n v="3"/>
    <x v="9"/>
    <x v="12"/>
    <n v="22"/>
    <m/>
    <s v="TB222"/>
    <s v="302BN"/>
    <s v="13A"/>
    <s v="13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81"/>
    <s v="备用"/>
    <s v="2TEKC004AR302DICH14"/>
    <m/>
    <s v="R2TEKC004AR302DICH14"/>
    <s v="备用"/>
    <s v="TETN"/>
    <m/>
    <x v="2"/>
    <s v="DI211"/>
    <x v="30"/>
    <s v="2TEKC004AR302DI"/>
    <n v="3"/>
    <x v="9"/>
    <x v="13"/>
    <n v="22"/>
    <m/>
    <s v="TB222"/>
    <s v="302BN"/>
    <s v="14A"/>
    <s v="14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82"/>
    <s v="备用"/>
    <s v="2TEKC004AR302DICH15"/>
    <m/>
    <s v="R2TEKC004AR302DICH15"/>
    <s v="备用"/>
    <s v="TETN"/>
    <m/>
    <x v="2"/>
    <s v="DI211"/>
    <x v="30"/>
    <s v="2TEKC004AR302DI"/>
    <n v="3"/>
    <x v="9"/>
    <x v="14"/>
    <n v="22"/>
    <m/>
    <s v="TB222"/>
    <s v="302BN"/>
    <s v="15A"/>
    <s v="15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83"/>
    <s v="备用"/>
    <s v="2TEKC004AR302DICH16"/>
    <m/>
    <s v="R2TEKC004AR302DICH16"/>
    <s v="备用"/>
    <s v="TETN"/>
    <m/>
    <x v="2"/>
    <s v="DI211"/>
    <x v="30"/>
    <s v="2TEKC004AR302DI"/>
    <n v="3"/>
    <x v="9"/>
    <x v="15"/>
    <n v="22"/>
    <m/>
    <s v="TB222"/>
    <s v="302BN"/>
    <s v="16A"/>
    <s v="16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84"/>
    <s v="2TETN004HXT"/>
    <s v="2TETN-143VIE"/>
    <s v="KW"/>
    <s v="R2TETN143VIE_KW"/>
    <s v="气动截止阀开反馈"/>
    <s v="TETN"/>
    <s v="1812-B1132YKS07-001-057"/>
    <x v="2"/>
    <s v="DI211"/>
    <x v="10"/>
    <s v="2TEKC004AR303DI"/>
    <n v="3"/>
    <x v="0"/>
    <x v="0"/>
    <n v="23"/>
    <m/>
    <s v="TB222"/>
    <s v="303BN"/>
    <s v="1A"/>
    <s v="1B"/>
    <s v="--"/>
    <s v="--"/>
    <s v="NR"/>
    <s v="NA"/>
    <s v="DI"/>
    <n v="1"/>
    <s v="DCS"/>
    <s v="DI1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85"/>
    <s v="2TETN004HXT"/>
    <s v="2TETN-143VIE"/>
    <s v="GW"/>
    <s v="R2TETN143VIE_GW"/>
    <s v="气动截止阀关反馈"/>
    <s v="TETN"/>
    <s v="1812-B1132YKS07-001-057"/>
    <x v="2"/>
    <s v="DI211"/>
    <x v="10"/>
    <s v="2TEKC004AR303DI"/>
    <n v="3"/>
    <x v="0"/>
    <x v="1"/>
    <n v="23"/>
    <m/>
    <s v="TB222"/>
    <s v="303BN"/>
    <s v="2A"/>
    <s v="2B"/>
    <s v="--"/>
    <s v="--"/>
    <s v="NR"/>
    <s v="NA"/>
    <s v="DI"/>
    <n v="1"/>
    <s v="DCS"/>
    <s v="DI1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86"/>
    <s v="2TETN005HXT"/>
    <s v="2TETN-151VIE"/>
    <s v="KW"/>
    <s v="R2TETN151VIE_KW"/>
    <s v="气动截止阀开反馈"/>
    <s v="TETN"/>
    <s v="1812-B1132YKS07-001-060"/>
    <x v="2"/>
    <s v="DI211"/>
    <x v="10"/>
    <s v="2TEKC004AR303DI"/>
    <n v="3"/>
    <x v="0"/>
    <x v="2"/>
    <n v="23"/>
    <m/>
    <s v="TB222"/>
    <s v="303BN"/>
    <s v="3A"/>
    <s v="3B"/>
    <s v="--"/>
    <s v="--"/>
    <s v="NR"/>
    <s v="NA"/>
    <s v="DI"/>
    <n v="1"/>
    <s v="DCS"/>
    <s v="DI1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87"/>
    <s v="2TETN005HXT"/>
    <s v="2TETN-151VIE"/>
    <s v="GW"/>
    <s v="R2TETN151VIE_GW"/>
    <s v="气动截止阀关反馈"/>
    <s v="TETN"/>
    <s v="1812-B1132YKS07-001-060"/>
    <x v="2"/>
    <s v="DI211"/>
    <x v="10"/>
    <s v="2TEKC004AR303DI"/>
    <n v="3"/>
    <x v="0"/>
    <x v="3"/>
    <n v="23"/>
    <m/>
    <s v="TB222"/>
    <s v="303BN"/>
    <s v="4A"/>
    <s v="4B"/>
    <s v="--"/>
    <s v="--"/>
    <s v="NR"/>
    <s v="NA"/>
    <s v="DI"/>
    <n v="1"/>
    <s v="DCS"/>
    <s v="DI1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88"/>
    <s v="2TETN005HXT"/>
    <s v="2TETN-153VIE"/>
    <s v="KW"/>
    <s v="R2TETN153VIE_KW"/>
    <s v="气动截止阀开反馈"/>
    <s v="TETN"/>
    <s v="1812-B1132YKS07-001-061"/>
    <x v="2"/>
    <s v="DI211"/>
    <x v="10"/>
    <s v="2TEKC004AR303DI"/>
    <n v="3"/>
    <x v="0"/>
    <x v="4"/>
    <n v="23"/>
    <m/>
    <s v="TB222"/>
    <s v="303BN"/>
    <s v="5A"/>
    <s v="5B"/>
    <s v="--"/>
    <s v="--"/>
    <s v="NR"/>
    <s v="NA"/>
    <s v="DI"/>
    <n v="1"/>
    <s v="DCS"/>
    <s v="DI1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89"/>
    <s v="2TETN005HXT"/>
    <s v="2TETN-153VIE"/>
    <s v="GW"/>
    <s v="R2TETN153VIE_GW"/>
    <s v="气动截止阀关反馈"/>
    <s v="TETN"/>
    <s v="1812-B1132YKS07-001-061"/>
    <x v="2"/>
    <s v="DI211"/>
    <x v="10"/>
    <s v="2TEKC004AR303DI"/>
    <n v="3"/>
    <x v="0"/>
    <x v="5"/>
    <n v="23"/>
    <m/>
    <s v="TB222"/>
    <s v="303BN"/>
    <s v="6A"/>
    <s v="6B"/>
    <s v="--"/>
    <s v="--"/>
    <s v="NR"/>
    <s v="NA"/>
    <s v="DI"/>
    <n v="1"/>
    <s v="DCS"/>
    <s v="DI1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90"/>
    <s v="备用"/>
    <s v="2TEKC004AR303DICH07"/>
    <m/>
    <s v="R2TEKC004AR303DICH07"/>
    <s v="备用"/>
    <s v="TETN"/>
    <m/>
    <x v="2"/>
    <s v="DI211"/>
    <x v="10"/>
    <s v="2TEKC004AR303DI"/>
    <n v="3"/>
    <x v="0"/>
    <x v="6"/>
    <n v="23"/>
    <m/>
    <s v="TB222"/>
    <s v="303BN"/>
    <s v="7A"/>
    <s v="7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91"/>
    <s v="备用"/>
    <s v="2TEKC004AR303DICH08"/>
    <m/>
    <s v="R2TEKC004AR303DICH08"/>
    <s v="备用"/>
    <s v="TETN"/>
    <m/>
    <x v="2"/>
    <s v="DI211"/>
    <x v="10"/>
    <s v="2TEKC004AR303DI"/>
    <n v="3"/>
    <x v="0"/>
    <x v="7"/>
    <n v="23"/>
    <m/>
    <s v="TB222"/>
    <s v="303BN"/>
    <s v="8A"/>
    <s v="8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92"/>
    <s v="备用"/>
    <s v="2TEKC004AR303DICH09"/>
    <m/>
    <s v="R2TEKC004AR303DICH09"/>
    <s v="备用"/>
    <s v="TETN"/>
    <m/>
    <x v="2"/>
    <s v="DI211"/>
    <x v="10"/>
    <s v="2TEKC004AR303DI"/>
    <n v="3"/>
    <x v="0"/>
    <x v="8"/>
    <n v="23"/>
    <m/>
    <s v="TB222"/>
    <s v="303BN"/>
    <s v="9A"/>
    <s v="9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93"/>
    <s v="备用"/>
    <s v="2TEKC004AR303DICH10"/>
    <m/>
    <s v="R2TEKC004AR303DICH10"/>
    <s v="备用"/>
    <s v="TETN"/>
    <m/>
    <x v="2"/>
    <s v="DI211"/>
    <x v="10"/>
    <s v="2TEKC004AR303DI"/>
    <n v="3"/>
    <x v="0"/>
    <x v="9"/>
    <n v="23"/>
    <m/>
    <s v="TB222"/>
    <s v="303BN"/>
    <s v="10A"/>
    <s v="10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94"/>
    <s v="备用"/>
    <s v="2TEKC004AR303DICH11"/>
    <m/>
    <s v="R2TEKC004AR303DICH11"/>
    <s v="备用"/>
    <s v="TETN"/>
    <m/>
    <x v="2"/>
    <s v="DI211"/>
    <x v="10"/>
    <s v="2TEKC004AR303DI"/>
    <n v="3"/>
    <x v="0"/>
    <x v="10"/>
    <n v="23"/>
    <m/>
    <s v="TB222"/>
    <s v="303BN"/>
    <s v="11A"/>
    <s v="11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95"/>
    <s v="备用"/>
    <s v="2TEKC004AR303DICH12"/>
    <m/>
    <s v="R2TEKC004AR303DICH12"/>
    <s v="备用"/>
    <s v="TETN"/>
    <m/>
    <x v="2"/>
    <s v="DI211"/>
    <x v="10"/>
    <s v="2TEKC004AR303DI"/>
    <n v="3"/>
    <x v="0"/>
    <x v="11"/>
    <n v="23"/>
    <m/>
    <s v="TB222"/>
    <s v="303BN"/>
    <s v="12A"/>
    <s v="12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96"/>
    <s v="备用"/>
    <s v="2TEKC004AR303DICH13"/>
    <m/>
    <s v="R2TEKC004AR303DICH13"/>
    <s v="备用"/>
    <s v="TETN"/>
    <m/>
    <x v="2"/>
    <s v="DI211"/>
    <x v="10"/>
    <s v="2TEKC004AR303DI"/>
    <n v="3"/>
    <x v="0"/>
    <x v="12"/>
    <n v="23"/>
    <m/>
    <s v="TB222"/>
    <s v="303BN"/>
    <s v="13A"/>
    <s v="13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97"/>
    <s v="备用"/>
    <s v="2TEKC004AR303DICH14"/>
    <m/>
    <s v="R2TEKC004AR303DICH14"/>
    <s v="备用"/>
    <s v="TETN"/>
    <m/>
    <x v="2"/>
    <s v="DI211"/>
    <x v="10"/>
    <s v="2TEKC004AR303DI"/>
    <n v="3"/>
    <x v="0"/>
    <x v="13"/>
    <n v="23"/>
    <m/>
    <s v="TB222"/>
    <s v="303BN"/>
    <s v="14A"/>
    <s v="14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98"/>
    <s v="备用"/>
    <s v="2TEKC004AR303DICH15"/>
    <m/>
    <s v="R2TEKC004AR303DICH15"/>
    <s v="备用"/>
    <s v="TETN"/>
    <m/>
    <x v="2"/>
    <s v="DI211"/>
    <x v="10"/>
    <s v="2TEKC004AR303DI"/>
    <n v="3"/>
    <x v="0"/>
    <x v="14"/>
    <n v="23"/>
    <m/>
    <s v="TB222"/>
    <s v="303BN"/>
    <s v="15A"/>
    <s v="15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799"/>
    <s v="备用"/>
    <s v="2TEKC004AR303DICH16"/>
    <m/>
    <s v="R2TEKC004AR303DICH16"/>
    <s v="备用"/>
    <s v="TETN"/>
    <m/>
    <x v="2"/>
    <s v="DI211"/>
    <x v="10"/>
    <s v="2TEKC004AR303DI"/>
    <n v="3"/>
    <x v="0"/>
    <x v="15"/>
    <n v="23"/>
    <m/>
    <s v="TB222"/>
    <s v="303BN"/>
    <s v="16A"/>
    <s v="16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00"/>
    <s v="2TETN005HXT"/>
    <s v="2TENT-005ZV"/>
    <s v="Q"/>
    <s v="R2TENT005ZV_Q"/>
    <s v="风机2TENT-005ZV启动"/>
    <s v="TETN"/>
    <s v="1812-B1132YKS07-001-124"/>
    <x v="2"/>
    <s v="DO211"/>
    <x v="11"/>
    <s v="2TEKC004AR304DO"/>
    <n v="3"/>
    <x v="1"/>
    <x v="0"/>
    <n v="24"/>
    <m/>
    <s v="TB231"/>
    <s v="304BN"/>
    <s v="1C"/>
    <s v="1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01"/>
    <s v="2TETN005HXT"/>
    <s v="2TENT-005ZV"/>
    <s v="T"/>
    <s v="R2TENT005ZV_T"/>
    <s v="风机2TENT-005ZV停止"/>
    <s v="TETN"/>
    <s v="1812-B1132YKS07-001-124"/>
    <x v="2"/>
    <s v="DO211"/>
    <x v="11"/>
    <s v="2TEKC004AR304DO"/>
    <n v="3"/>
    <x v="1"/>
    <x v="1"/>
    <n v="24"/>
    <m/>
    <s v="TB231"/>
    <s v="304BN"/>
    <s v="2C"/>
    <s v="2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02"/>
    <s v="2TETN005HXT"/>
    <s v="2TENT-006ZV"/>
    <s v="Q"/>
    <s v="R2TENT006ZV_Q"/>
    <s v="风机2TENT-006ZV启动"/>
    <s v="TETN"/>
    <s v="1812-B1132YKS07-001-125"/>
    <x v="2"/>
    <s v="DO211"/>
    <x v="11"/>
    <s v="2TEKC004AR304DO"/>
    <n v="3"/>
    <x v="1"/>
    <x v="2"/>
    <n v="24"/>
    <m/>
    <s v="TB231"/>
    <s v="304BN"/>
    <s v="3C"/>
    <s v="3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03"/>
    <s v="2TETN005HXT"/>
    <s v="2TENT-006ZV"/>
    <s v="T"/>
    <s v="R2TENT006ZV_T"/>
    <s v="风机2TENT-006ZV停止"/>
    <s v="TETN"/>
    <s v="1812-B1132YKS07-001-125"/>
    <x v="2"/>
    <s v="DO211"/>
    <x v="11"/>
    <s v="2TEKC004AR304DO"/>
    <n v="3"/>
    <x v="1"/>
    <x v="3"/>
    <n v="24"/>
    <m/>
    <s v="TB231"/>
    <s v="304BN"/>
    <s v="4C"/>
    <s v="4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04"/>
    <s v="2TETN008HXT"/>
    <s v="2TENT-007ZV"/>
    <s v="Q"/>
    <s v="R2TENT007ZV_Q"/>
    <s v="风机2TENT-007ZV启动"/>
    <s v="TETN"/>
    <s v="1812-B1132YKS07-001-126"/>
    <x v="2"/>
    <s v="DO211"/>
    <x v="11"/>
    <s v="2TEKC004AR304DO"/>
    <n v="3"/>
    <x v="1"/>
    <x v="4"/>
    <n v="24"/>
    <m/>
    <s v="TB231"/>
    <s v="304BN"/>
    <s v="5C"/>
    <s v="5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05"/>
    <s v="2TETN008HXT"/>
    <s v="2TENT-007ZV"/>
    <s v="T"/>
    <s v="R2TENT007ZV_T"/>
    <s v="风机2TENT-007ZV停止"/>
    <s v="TETN"/>
    <s v="1812-B1132YKS07-001-126"/>
    <x v="2"/>
    <s v="DO211"/>
    <x v="11"/>
    <s v="2TEKC004AR304DO"/>
    <n v="3"/>
    <x v="1"/>
    <x v="5"/>
    <n v="24"/>
    <m/>
    <s v="TB231"/>
    <s v="304BN"/>
    <s v="6C"/>
    <s v="6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06"/>
    <s v="2TETN008HXT"/>
    <s v="2TENT-008ZV"/>
    <s v="Q"/>
    <s v="R2TENT008ZV_Q"/>
    <s v="风机2TENT-008ZV启动"/>
    <s v="TETN"/>
    <s v="1812-B1132YKS07-001-127"/>
    <x v="2"/>
    <s v="DO211"/>
    <x v="11"/>
    <s v="2TEKC004AR304DO"/>
    <n v="3"/>
    <x v="1"/>
    <x v="6"/>
    <n v="24"/>
    <m/>
    <s v="TB231"/>
    <s v="304BN"/>
    <s v="7C"/>
    <s v="7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07"/>
    <s v="2TETN008HXT"/>
    <s v="2TENT-008ZV"/>
    <s v="T"/>
    <s v="R2TENT008ZV_T"/>
    <s v="风机2TENT-008ZV停止"/>
    <s v="TETN"/>
    <s v="1812-B1132YKS07-001-127"/>
    <x v="2"/>
    <s v="DO211"/>
    <x v="11"/>
    <s v="2TEKC004AR304DO"/>
    <n v="3"/>
    <x v="1"/>
    <x v="7"/>
    <n v="24"/>
    <m/>
    <s v="TB231"/>
    <s v="304BN"/>
    <s v="8C"/>
    <s v="8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08"/>
    <s v="备用"/>
    <s v="2TEKC004AR304DOCH09"/>
    <m/>
    <s v="R2TEKC004AR304DOCH09"/>
    <s v="备用"/>
    <s v="TETN"/>
    <m/>
    <x v="2"/>
    <s v="DO211"/>
    <x v="11"/>
    <s v="2TEKC004AR304DO"/>
    <n v="3"/>
    <x v="1"/>
    <x v="8"/>
    <n v="24"/>
    <m/>
    <s v="TB231"/>
    <s v="304BN"/>
    <s v="9C"/>
    <s v="9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09"/>
    <s v="备用"/>
    <s v="2TEKC004AR304DOCH10"/>
    <m/>
    <s v="R2TEKC004AR304DOCH10"/>
    <s v="备用"/>
    <s v="TETN"/>
    <m/>
    <x v="2"/>
    <s v="DO211"/>
    <x v="11"/>
    <s v="2TEKC004AR304DO"/>
    <n v="3"/>
    <x v="1"/>
    <x v="9"/>
    <n v="24"/>
    <m/>
    <s v="TB231"/>
    <s v="304BN"/>
    <s v="10C"/>
    <s v="10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10"/>
    <s v="备用"/>
    <s v="2TEKC004AR304DOCH11"/>
    <m/>
    <s v="R2TEKC004AR304DOCH11"/>
    <s v="备用"/>
    <s v="TETN"/>
    <m/>
    <x v="2"/>
    <s v="DO211"/>
    <x v="11"/>
    <s v="2TEKC004AR304DO"/>
    <n v="3"/>
    <x v="1"/>
    <x v="10"/>
    <n v="24"/>
    <m/>
    <s v="TB231"/>
    <s v="304BN"/>
    <s v="11C"/>
    <s v="11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11"/>
    <s v="备用"/>
    <s v="2TEKC004AR304DOCH12"/>
    <m/>
    <s v="R2TEKC004AR304DOCH12"/>
    <s v="备用"/>
    <s v="TETN"/>
    <m/>
    <x v="2"/>
    <s v="DO211"/>
    <x v="11"/>
    <s v="2TEKC004AR304DO"/>
    <n v="3"/>
    <x v="1"/>
    <x v="11"/>
    <n v="24"/>
    <m/>
    <s v="TB231"/>
    <s v="304BN"/>
    <s v="12C"/>
    <s v="12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12"/>
    <s v="备用"/>
    <s v="2TEKC004AR304DOCH13"/>
    <m/>
    <s v="R2TEKC004AR304DOCH13"/>
    <s v="备用"/>
    <s v="TETN"/>
    <m/>
    <x v="2"/>
    <s v="DO211"/>
    <x v="11"/>
    <s v="2TEKC004AR304DO"/>
    <n v="3"/>
    <x v="1"/>
    <x v="12"/>
    <n v="24"/>
    <m/>
    <s v="TB231"/>
    <s v="304BN"/>
    <s v="13C"/>
    <s v="13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13"/>
    <s v="备用"/>
    <s v="2TEKC004AR304DOCH14"/>
    <m/>
    <s v="R2TEKC004AR304DOCH14"/>
    <s v="备用"/>
    <s v="TETN"/>
    <m/>
    <x v="2"/>
    <s v="DO211"/>
    <x v="11"/>
    <s v="2TEKC004AR304DO"/>
    <n v="3"/>
    <x v="1"/>
    <x v="13"/>
    <n v="24"/>
    <m/>
    <s v="TB231"/>
    <s v="304BN"/>
    <s v="14C"/>
    <s v="14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14"/>
    <s v="备用"/>
    <s v="2TEKC004AR304DOCH15"/>
    <m/>
    <s v="R2TEKC004AR304DOCH15"/>
    <s v="备用"/>
    <s v="TETN"/>
    <m/>
    <x v="2"/>
    <s v="DO211"/>
    <x v="11"/>
    <s v="2TEKC004AR304DO"/>
    <n v="3"/>
    <x v="1"/>
    <x v="14"/>
    <n v="24"/>
    <m/>
    <s v="TB231"/>
    <s v="304BN"/>
    <s v="15C"/>
    <s v="15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15"/>
    <s v="备用"/>
    <s v="2TEKC004AR304DOCH16"/>
    <m/>
    <s v="R2TEKC004AR304DOCH16"/>
    <s v="备用"/>
    <s v="TETN"/>
    <m/>
    <x v="2"/>
    <s v="DO211"/>
    <x v="11"/>
    <s v="2TEKC004AR304DO"/>
    <n v="3"/>
    <x v="1"/>
    <x v="15"/>
    <n v="24"/>
    <m/>
    <s v="TB231"/>
    <s v="304BN"/>
    <s v="16C"/>
    <s v="16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16"/>
    <s v="2TETN003HXT"/>
    <s v="2TETN-004VBE"/>
    <s v="KG"/>
    <s v="R2TETN004VBE_KG"/>
    <s v="气动截止阀开/关"/>
    <s v="TETN"/>
    <s v="1812-B1132YKS07-001-005"/>
    <x v="2"/>
    <s v="DO211"/>
    <x v="44"/>
    <s v="2TEKC004AR305DO"/>
    <n v="3"/>
    <x v="2"/>
    <x v="0"/>
    <n v="25"/>
    <m/>
    <s v="TB233"/>
    <s v="305BN"/>
    <s v="1B"/>
    <s v="1C"/>
    <s v="--"/>
    <s v="--"/>
    <s v="NR"/>
    <s v="NA"/>
    <s v="DO"/>
    <n v="1"/>
    <s v="DCS"/>
    <s v="DO2"/>
    <m/>
    <m/>
    <m/>
    <m/>
    <m/>
    <m/>
    <m/>
    <m/>
    <m/>
    <m/>
    <s v="2TETN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17"/>
    <s v="2TETN003HXT"/>
    <s v="2TETN-007VBE"/>
    <s v="KG"/>
    <s v="R2TETN007VBE_KG"/>
    <s v="气动截止阀开/关"/>
    <s v="TETN"/>
    <s v="1812-B1132YKS07-001-008"/>
    <x v="2"/>
    <s v="DO211"/>
    <x v="44"/>
    <s v="2TEKC004AR305DO"/>
    <n v="3"/>
    <x v="2"/>
    <x v="1"/>
    <n v="25"/>
    <m/>
    <s v="TB233"/>
    <s v="305BN"/>
    <s v="2B"/>
    <s v="2C"/>
    <s v="--"/>
    <s v="--"/>
    <s v="NR"/>
    <s v="NA"/>
    <s v="DO"/>
    <n v="1"/>
    <s v="DCS"/>
    <s v="DO2"/>
    <m/>
    <m/>
    <m/>
    <m/>
    <m/>
    <m/>
    <m/>
    <m/>
    <m/>
    <m/>
    <s v="2TETN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18"/>
    <s v="2TETN004HXT"/>
    <s v="2TETN-010VBE"/>
    <s v="KG"/>
    <s v="R2TETN010VBE_KG"/>
    <s v="气动截止阀开/关"/>
    <s v="TETN"/>
    <s v="1812-B1132YKS07-001-011"/>
    <x v="2"/>
    <s v="DO211"/>
    <x v="44"/>
    <s v="2TEKC004AR305DO"/>
    <n v="3"/>
    <x v="2"/>
    <x v="2"/>
    <n v="25"/>
    <m/>
    <s v="TB233"/>
    <s v="305BN"/>
    <s v="3B"/>
    <s v="3C"/>
    <s v="--"/>
    <s v="--"/>
    <s v="NR"/>
    <s v="NA"/>
    <s v="DO"/>
    <n v="1"/>
    <s v="DCS"/>
    <s v="DO2"/>
    <m/>
    <m/>
    <m/>
    <m/>
    <m/>
    <m/>
    <m/>
    <m/>
    <m/>
    <m/>
    <s v="2TETN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19"/>
    <s v="2TETN004HXT"/>
    <s v="2TETN-013VBE"/>
    <s v="KG"/>
    <s v="R2TETN013VBE_KG"/>
    <s v="气动截止阀开/关"/>
    <s v="TETN"/>
    <s v="1812-B1132YKS07-001-014"/>
    <x v="2"/>
    <s v="DO211"/>
    <x v="44"/>
    <s v="2TEKC004AR305DO"/>
    <n v="3"/>
    <x v="2"/>
    <x v="3"/>
    <n v="25"/>
    <m/>
    <s v="TB233"/>
    <s v="305BN"/>
    <s v="4B"/>
    <s v="4C"/>
    <s v="--"/>
    <s v="--"/>
    <s v="NR"/>
    <s v="NA"/>
    <s v="DO"/>
    <n v="1"/>
    <s v="DCS"/>
    <s v="DO2"/>
    <m/>
    <m/>
    <m/>
    <m/>
    <m/>
    <m/>
    <m/>
    <m/>
    <m/>
    <m/>
    <s v="2TETN00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20"/>
    <s v="2TETN005HXT"/>
    <s v="2TETN-016VBE"/>
    <s v="KG"/>
    <s v="R2TETN016VBE_KG"/>
    <s v="气动截止阀开/关"/>
    <s v="TETN"/>
    <s v="1812-B1132YKS07-001-017"/>
    <x v="2"/>
    <s v="DO211"/>
    <x v="44"/>
    <s v="2TEKC004AR305DO"/>
    <n v="3"/>
    <x v="2"/>
    <x v="4"/>
    <n v="25"/>
    <m/>
    <s v="TB233"/>
    <s v="305BN"/>
    <s v="5B"/>
    <s v="5C"/>
    <s v="--"/>
    <s v="--"/>
    <s v="NR"/>
    <s v="NA"/>
    <s v="DO"/>
    <n v="1"/>
    <s v="DCS"/>
    <s v="DO2"/>
    <m/>
    <m/>
    <m/>
    <m/>
    <m/>
    <m/>
    <m/>
    <m/>
    <m/>
    <m/>
    <s v="2TETN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21"/>
    <s v="2TETN005HXT"/>
    <s v="2TETN-021VBE"/>
    <s v="KG"/>
    <s v="R2TETN021VBE_KG"/>
    <s v="气动截止阀开/关"/>
    <s v="TETN"/>
    <s v="1812-B1132YKS07-001-019"/>
    <x v="2"/>
    <s v="DO211"/>
    <x v="44"/>
    <s v="2TEKC004AR305DO"/>
    <n v="3"/>
    <x v="2"/>
    <x v="5"/>
    <n v="25"/>
    <m/>
    <s v="TB233"/>
    <s v="305BN"/>
    <s v="6B"/>
    <s v="6C"/>
    <s v="--"/>
    <s v="--"/>
    <s v="NR"/>
    <s v="NA"/>
    <s v="DO"/>
    <n v="1"/>
    <s v="DCS"/>
    <s v="DO2"/>
    <m/>
    <m/>
    <m/>
    <m/>
    <m/>
    <m/>
    <m/>
    <m/>
    <m/>
    <m/>
    <s v="2TETN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22"/>
    <s v="2TETN005HXT"/>
    <s v="2TETN-022VBE"/>
    <s v="KG"/>
    <s v="R2TETN022VBE_KG"/>
    <s v="气动截止阀开/关"/>
    <s v="TETN"/>
    <s v="1812-B1132YKS07-001-020"/>
    <x v="2"/>
    <s v="DO211"/>
    <x v="44"/>
    <s v="2TEKC004AR305DO"/>
    <n v="3"/>
    <x v="2"/>
    <x v="6"/>
    <n v="25"/>
    <m/>
    <s v="TB233"/>
    <s v="305BN"/>
    <s v="7B"/>
    <s v="7C"/>
    <s v="--"/>
    <s v="--"/>
    <s v="NR"/>
    <s v="NA"/>
    <s v="DO"/>
    <n v="1"/>
    <s v="DCS"/>
    <s v="DO2"/>
    <m/>
    <m/>
    <m/>
    <m/>
    <m/>
    <m/>
    <m/>
    <m/>
    <m/>
    <m/>
    <s v="2TETN00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23"/>
    <s v="2TETN006HXT"/>
    <s v="2TETN-028VBE"/>
    <s v="KG"/>
    <s v="R2TETN028VBE_KG"/>
    <s v="气动截止阀开/关"/>
    <s v="TETN"/>
    <s v="1812-B1132YKS07-001-024"/>
    <x v="2"/>
    <s v="DO211"/>
    <x v="44"/>
    <s v="2TEKC004AR305DO"/>
    <n v="3"/>
    <x v="2"/>
    <x v="7"/>
    <n v="25"/>
    <m/>
    <s v="TB233"/>
    <s v="305BN"/>
    <s v="8B"/>
    <s v="8C"/>
    <s v="--"/>
    <s v="--"/>
    <s v="NR"/>
    <s v="NA"/>
    <s v="DO"/>
    <n v="1"/>
    <s v="DCS"/>
    <s v="DO2"/>
    <m/>
    <m/>
    <m/>
    <m/>
    <m/>
    <m/>
    <m/>
    <m/>
    <m/>
    <m/>
    <s v="2TETN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24"/>
    <s v="2TETN006HXT"/>
    <s v="2TETN-031VBE"/>
    <s v="KG"/>
    <s v="R2TETN031VBE_KG"/>
    <s v="气动截止阀开/关"/>
    <s v="TETN"/>
    <s v="1812-B1132YKS07-001-027"/>
    <x v="2"/>
    <s v="DO211"/>
    <x v="44"/>
    <s v="2TEKC004AR305DO"/>
    <n v="3"/>
    <x v="2"/>
    <x v="8"/>
    <n v="25"/>
    <m/>
    <s v="TB233"/>
    <s v="305BN"/>
    <s v="9B"/>
    <s v="9C"/>
    <s v="--"/>
    <s v="--"/>
    <s v="NR"/>
    <s v="NA"/>
    <s v="DO"/>
    <n v="1"/>
    <s v="DCS"/>
    <s v="DO2"/>
    <m/>
    <m/>
    <m/>
    <m/>
    <m/>
    <m/>
    <m/>
    <m/>
    <m/>
    <m/>
    <s v="2TETN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25"/>
    <s v="2TETN007HXT"/>
    <s v="2TETN-034VBE"/>
    <s v="KG"/>
    <s v="R2TETN034VBE_KG"/>
    <s v="气动截止阀开/关"/>
    <s v="TETN"/>
    <s v="1812-B1132YKS07-001-030"/>
    <x v="2"/>
    <s v="DO211"/>
    <x v="44"/>
    <s v="2TEKC004AR305DO"/>
    <n v="3"/>
    <x v="2"/>
    <x v="9"/>
    <n v="25"/>
    <m/>
    <s v="TB233"/>
    <s v="305BN"/>
    <s v="10B"/>
    <s v="10C"/>
    <s v="--"/>
    <s v="--"/>
    <s v="NR"/>
    <s v="NA"/>
    <s v="DO"/>
    <n v="1"/>
    <s v="DCS"/>
    <s v="DO2"/>
    <m/>
    <m/>
    <m/>
    <m/>
    <m/>
    <m/>
    <m/>
    <m/>
    <m/>
    <m/>
    <s v="2TETN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26"/>
    <m/>
    <s v="2TETN-037VBE"/>
    <s v="KG"/>
    <s v="R2TETN037VBE_KG"/>
    <s v="气动截止阀开/关"/>
    <s v="TETN"/>
    <s v="1812-B1132YKS07-001-033"/>
    <x v="2"/>
    <s v="DO211"/>
    <x v="44"/>
    <s v="2TEKC004AR305DO"/>
    <n v="3"/>
    <x v="2"/>
    <x v="10"/>
    <n v="25"/>
    <m/>
    <s v="TB233"/>
    <s v="305BN"/>
    <s v="11B"/>
    <s v="11C"/>
    <s v="--"/>
    <s v="--"/>
    <s v="NR"/>
    <s v="NA"/>
    <s v="DO"/>
    <n v="1"/>
    <s v="DCS"/>
    <s v="DO2"/>
    <m/>
    <m/>
    <m/>
    <m/>
    <m/>
    <m/>
    <m/>
    <m/>
    <m/>
    <m/>
    <s v="2TETN00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27"/>
    <s v="备用"/>
    <s v="2TEKC004AR305DOCH12"/>
    <m/>
    <s v="R2TEKC004AR305DOCH12"/>
    <s v="备用"/>
    <s v="TETN"/>
    <m/>
    <x v="2"/>
    <s v="DO211"/>
    <x v="44"/>
    <s v="2TEKC004AR305DO"/>
    <n v="3"/>
    <x v="2"/>
    <x v="11"/>
    <n v="25"/>
    <m/>
    <s v="TB233"/>
    <s v="305BN"/>
    <s v="12B"/>
    <s v="12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28"/>
    <s v="备用"/>
    <s v="2TEKC004AR305DOCH13"/>
    <m/>
    <s v="R2TEKC004AR305DOCH13"/>
    <s v="备用"/>
    <s v="TETN"/>
    <m/>
    <x v="2"/>
    <s v="DO211"/>
    <x v="44"/>
    <s v="2TEKC004AR305DO"/>
    <n v="3"/>
    <x v="2"/>
    <x v="12"/>
    <n v="25"/>
    <m/>
    <s v="TB233"/>
    <s v="305BN"/>
    <s v="13B"/>
    <s v="13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29"/>
    <s v="备用"/>
    <s v="2TEKC004AR305DOCH14"/>
    <m/>
    <s v="R2TEKC004AR305DOCH14"/>
    <s v="备用"/>
    <s v="TETN"/>
    <m/>
    <x v="2"/>
    <s v="DO211"/>
    <x v="44"/>
    <s v="2TEKC004AR305DO"/>
    <n v="3"/>
    <x v="2"/>
    <x v="13"/>
    <n v="25"/>
    <m/>
    <s v="TB233"/>
    <s v="305BN"/>
    <s v="14B"/>
    <s v="14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30"/>
    <s v="备用"/>
    <s v="2TEKC004AR305DOCH15"/>
    <m/>
    <s v="R2TEKC004AR305DOCH15"/>
    <s v="备用"/>
    <s v="TETN"/>
    <m/>
    <x v="2"/>
    <s v="DO211"/>
    <x v="44"/>
    <s v="2TEKC004AR305DO"/>
    <n v="3"/>
    <x v="2"/>
    <x v="14"/>
    <n v="25"/>
    <m/>
    <s v="TB233"/>
    <s v="305BN"/>
    <s v="15B"/>
    <s v="15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31"/>
    <s v="备用"/>
    <s v="2TEKC004AR305DOCH16"/>
    <m/>
    <s v="R2TEKC004AR305DOCH16"/>
    <s v="备用"/>
    <s v="TETN"/>
    <m/>
    <x v="2"/>
    <s v="DO211"/>
    <x v="44"/>
    <s v="2TEKC004AR305DO"/>
    <n v="3"/>
    <x v="2"/>
    <x v="15"/>
    <n v="25"/>
    <m/>
    <s v="TB233"/>
    <s v="305BN"/>
    <s v="16B"/>
    <s v="16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32"/>
    <s v="2TETN003HXT"/>
    <s v="2TETN-006VBE"/>
    <s v="KG"/>
    <s v="R2TETN006VBE_KG"/>
    <s v="气动截止阀开/关"/>
    <s v="TETN"/>
    <s v="1812-B1132YKS07-001-007"/>
    <x v="2"/>
    <s v="DO211"/>
    <x v="45"/>
    <s v="2TEKC004AR306DO"/>
    <n v="3"/>
    <x v="3"/>
    <x v="0"/>
    <n v="26"/>
    <m/>
    <s v="TB233"/>
    <s v="306BN"/>
    <s v="1B"/>
    <s v="1C"/>
    <s v="--"/>
    <s v="--"/>
    <s v="NR"/>
    <s v="NA"/>
    <s v="DO"/>
    <n v="1"/>
    <s v="DCS"/>
    <s v="DO2"/>
    <m/>
    <m/>
    <m/>
    <m/>
    <m/>
    <m/>
    <m/>
    <m/>
    <m/>
    <m/>
    <s v="2TETN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33"/>
    <s v="2TETN004HXT"/>
    <s v="2TETN-009VBE"/>
    <s v="KG"/>
    <s v="R2TETN009VBE_KG"/>
    <s v="气动截止阀开/关"/>
    <s v="TETN"/>
    <s v="1812-B1132YKS07-001-010"/>
    <x v="2"/>
    <s v="DO211"/>
    <x v="45"/>
    <s v="2TEKC004AR306DO"/>
    <n v="3"/>
    <x v="3"/>
    <x v="1"/>
    <n v="26"/>
    <m/>
    <s v="TB233"/>
    <s v="306BN"/>
    <s v="2B"/>
    <s v="2C"/>
    <s v="--"/>
    <s v="--"/>
    <s v="NR"/>
    <s v="NA"/>
    <s v="DO"/>
    <n v="1"/>
    <s v="DCS"/>
    <s v="DO2"/>
    <m/>
    <m/>
    <m/>
    <m/>
    <m/>
    <m/>
    <m/>
    <m/>
    <m/>
    <m/>
    <s v="2TETN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34"/>
    <s v="2TETN004HXT"/>
    <s v="2TETN-012VBE"/>
    <s v="KG"/>
    <s v="R2TETN012VBE_KG"/>
    <s v="气动截止阀开/关"/>
    <s v="TETN"/>
    <s v="1812-B1132YKS07-001-013"/>
    <x v="2"/>
    <s v="DO211"/>
    <x v="45"/>
    <s v="2TEKC004AR306DO"/>
    <n v="3"/>
    <x v="3"/>
    <x v="2"/>
    <n v="26"/>
    <m/>
    <s v="TB233"/>
    <s v="306BN"/>
    <s v="3B"/>
    <s v="3C"/>
    <s v="--"/>
    <s v="--"/>
    <s v="NR"/>
    <s v="NA"/>
    <s v="DO"/>
    <n v="1"/>
    <s v="DCS"/>
    <s v="DO2"/>
    <m/>
    <m/>
    <m/>
    <m/>
    <m/>
    <m/>
    <m/>
    <m/>
    <m/>
    <m/>
    <s v="2TETN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35"/>
    <s v="2TETN005HXT"/>
    <s v="2TETN-015VBE"/>
    <s v="KG"/>
    <s v="R2TETN015VBE_KG"/>
    <s v="气动截止阀开/关"/>
    <s v="TETN"/>
    <s v="1812-B1132YKS07-001-016"/>
    <x v="2"/>
    <s v="DO211"/>
    <x v="45"/>
    <s v="2TEKC004AR306DO"/>
    <n v="3"/>
    <x v="3"/>
    <x v="3"/>
    <n v="26"/>
    <m/>
    <s v="TB233"/>
    <s v="306BN"/>
    <s v="4B"/>
    <s v="4C"/>
    <s v="--"/>
    <s v="--"/>
    <s v="NR"/>
    <s v="NA"/>
    <s v="DO"/>
    <n v="1"/>
    <s v="DCS"/>
    <s v="DO2"/>
    <m/>
    <m/>
    <m/>
    <m/>
    <m/>
    <m/>
    <m/>
    <m/>
    <m/>
    <m/>
    <s v="2TETN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36"/>
    <s v="2TETN005HXT"/>
    <s v="2TETN-017VBE"/>
    <s v="KG"/>
    <s v="R2TETN017VBE_KG"/>
    <s v="气动截止阀开/关"/>
    <s v="TETN"/>
    <s v="1812-B1132YKS07-001-018"/>
    <x v="2"/>
    <s v="DO211"/>
    <x v="45"/>
    <s v="2TEKC004AR306DO"/>
    <n v="3"/>
    <x v="3"/>
    <x v="4"/>
    <n v="26"/>
    <m/>
    <s v="TB233"/>
    <s v="306BN"/>
    <s v="5B"/>
    <s v="5C"/>
    <s v="--"/>
    <s v="--"/>
    <s v="NR"/>
    <s v="NA"/>
    <s v="DO"/>
    <n v="1"/>
    <s v="DCS"/>
    <s v="DO2"/>
    <m/>
    <m/>
    <m/>
    <m/>
    <m/>
    <m/>
    <m/>
    <m/>
    <m/>
    <m/>
    <s v="2TETN00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37"/>
    <s v="2TETN002HXT"/>
    <s v="2TETN-001VBE"/>
    <s v="KG"/>
    <s v="R2TETN001VBE_KG"/>
    <s v="气动截止阀开/关"/>
    <s v="TETN"/>
    <s v="1812-B1132YKS07-001-002"/>
    <x v="2"/>
    <s v="DO211"/>
    <x v="45"/>
    <s v="2TEKC004AR306DO"/>
    <n v="3"/>
    <x v="3"/>
    <x v="5"/>
    <n v="26"/>
    <m/>
    <s v="TB233"/>
    <s v="306BN"/>
    <s v="6B"/>
    <s v="6C"/>
    <s v="--"/>
    <s v="--"/>
    <s v="NR"/>
    <s v="NA"/>
    <s v="DO"/>
    <n v="1"/>
    <s v="DCS"/>
    <s v="DO2"/>
    <m/>
    <m/>
    <m/>
    <m/>
    <m/>
    <m/>
    <m/>
    <m/>
    <m/>
    <m/>
    <s v="2TETN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38"/>
    <s v="2TETN008HXT"/>
    <s v="2TETN-049VBE"/>
    <s v="KG"/>
    <s v="R2TETN049VBE_KG"/>
    <s v="气动截止阀开/关"/>
    <s v="TETN"/>
    <s v="1812-B1132YKS07-001-040"/>
    <x v="2"/>
    <s v="DO211"/>
    <x v="45"/>
    <s v="2TEKC004AR306DO"/>
    <n v="3"/>
    <x v="3"/>
    <x v="6"/>
    <n v="26"/>
    <m/>
    <s v="TB233"/>
    <s v="306BN"/>
    <s v="7B"/>
    <s v="7C"/>
    <s v="--"/>
    <s v="--"/>
    <s v="NR"/>
    <s v="NA"/>
    <s v="DO"/>
    <n v="1"/>
    <s v="DCS"/>
    <s v="DO2"/>
    <m/>
    <m/>
    <m/>
    <m/>
    <m/>
    <m/>
    <m/>
    <m/>
    <m/>
    <m/>
    <s v="2TETN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39"/>
    <s v="2TETN008HXT"/>
    <s v="2TETN-050VBE"/>
    <s v="KG"/>
    <s v="R2TETN050VBE_KG"/>
    <s v="气动截止阀开/关"/>
    <s v="TETN"/>
    <s v="1812-B1132YKS07-001-041"/>
    <x v="2"/>
    <s v="DO211"/>
    <x v="45"/>
    <s v="2TEKC004AR306DO"/>
    <n v="3"/>
    <x v="3"/>
    <x v="7"/>
    <n v="26"/>
    <m/>
    <s v="TB233"/>
    <s v="306BN"/>
    <s v="8B"/>
    <s v="8C"/>
    <s v="--"/>
    <s v="--"/>
    <s v="NR"/>
    <s v="NA"/>
    <s v="DO"/>
    <n v="1"/>
    <s v="DCS"/>
    <s v="DO2"/>
    <m/>
    <m/>
    <m/>
    <m/>
    <m/>
    <m/>
    <m/>
    <m/>
    <m/>
    <m/>
    <s v="2TETN00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40"/>
    <s v="2TETN002HXT"/>
    <s v="2TETN-101VIE"/>
    <s v="KG"/>
    <s v="R2TETN101VIE_KG"/>
    <s v="气动截止阀开/关"/>
    <s v="TETN"/>
    <s v="1812-B1132YKS07-001-044"/>
    <x v="2"/>
    <s v="DO211"/>
    <x v="45"/>
    <s v="2TEKC004AR306DO"/>
    <n v="3"/>
    <x v="3"/>
    <x v="8"/>
    <n v="26"/>
    <m/>
    <s v="TB233"/>
    <s v="306BN"/>
    <s v="9B"/>
    <s v="9C"/>
    <s v="--"/>
    <s v="--"/>
    <s v="NR"/>
    <s v="NA"/>
    <s v="DO"/>
    <n v="1"/>
    <s v="DCS"/>
    <s v="DO2"/>
    <m/>
    <m/>
    <m/>
    <m/>
    <m/>
    <m/>
    <m/>
    <m/>
    <m/>
    <m/>
    <s v="2TETN00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41"/>
    <s v="2TETN002HXT"/>
    <s v="2TETN-102VIE"/>
    <s v="KG"/>
    <s v="R2TETN102VIE_KG"/>
    <s v="气动截止阀开/关"/>
    <s v="TETN"/>
    <s v="1812-B1132YKS07-001-045"/>
    <x v="2"/>
    <s v="DO211"/>
    <x v="45"/>
    <s v="2TEKC004AR306DO"/>
    <n v="3"/>
    <x v="3"/>
    <x v="9"/>
    <n v="26"/>
    <m/>
    <s v="TB233"/>
    <s v="306BN"/>
    <s v="10B"/>
    <s v="10C"/>
    <s v="--"/>
    <s v="--"/>
    <s v="NR"/>
    <s v="NA"/>
    <s v="DO"/>
    <n v="1"/>
    <s v="DCS"/>
    <s v="DO2"/>
    <m/>
    <m/>
    <m/>
    <m/>
    <m/>
    <m/>
    <m/>
    <m/>
    <m/>
    <m/>
    <s v="2TETN00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42"/>
    <s v="备用"/>
    <s v="2TEKC004AR306DOCH11"/>
    <m/>
    <s v="R2TEKC004AR306DOCH11"/>
    <s v="备用"/>
    <s v="TETN"/>
    <m/>
    <x v="2"/>
    <s v="DO211"/>
    <x v="45"/>
    <s v="2TEKC004AR306DO"/>
    <n v="3"/>
    <x v="3"/>
    <x v="10"/>
    <n v="26"/>
    <m/>
    <s v="TB233"/>
    <s v="306BN"/>
    <s v="11B"/>
    <s v="11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43"/>
    <s v="备用"/>
    <s v="2TEKC004AR306DOCH12"/>
    <m/>
    <s v="R2TEKC004AR306DOCH12"/>
    <s v="备用"/>
    <s v="TETN"/>
    <m/>
    <x v="2"/>
    <s v="DO211"/>
    <x v="45"/>
    <s v="2TEKC004AR306DO"/>
    <n v="3"/>
    <x v="3"/>
    <x v="11"/>
    <n v="26"/>
    <m/>
    <s v="TB233"/>
    <s v="306BN"/>
    <s v="12B"/>
    <s v="12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44"/>
    <s v="备用"/>
    <s v="2TEKC004AR306DOCH13"/>
    <m/>
    <s v="R2TEKC004AR306DOCH13"/>
    <s v="备用"/>
    <s v="TETN"/>
    <m/>
    <x v="2"/>
    <s v="DO211"/>
    <x v="45"/>
    <s v="2TEKC004AR306DO"/>
    <n v="3"/>
    <x v="3"/>
    <x v="12"/>
    <n v="26"/>
    <m/>
    <s v="TB233"/>
    <s v="306BN"/>
    <s v="13B"/>
    <s v="13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45"/>
    <s v="备用"/>
    <s v="2TEKC004AR306DOCH14"/>
    <m/>
    <s v="R2TEKC004AR306DOCH14"/>
    <s v="备用"/>
    <s v="TETN"/>
    <m/>
    <x v="2"/>
    <s v="DO211"/>
    <x v="45"/>
    <s v="2TEKC004AR306DO"/>
    <n v="3"/>
    <x v="3"/>
    <x v="13"/>
    <n v="26"/>
    <m/>
    <s v="TB233"/>
    <s v="306BN"/>
    <s v="14B"/>
    <s v="14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46"/>
    <s v="备用"/>
    <s v="2TEKC004AR306DOCH15"/>
    <m/>
    <s v="R2TEKC004AR306DOCH15"/>
    <s v="备用"/>
    <s v="TETN"/>
    <m/>
    <x v="2"/>
    <s v="DO211"/>
    <x v="45"/>
    <s v="2TEKC004AR306DO"/>
    <n v="3"/>
    <x v="3"/>
    <x v="14"/>
    <n v="26"/>
    <m/>
    <s v="TB233"/>
    <s v="306BN"/>
    <s v="15B"/>
    <s v="15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47"/>
    <s v="备用"/>
    <s v="2TEKC004AR306DOCH16"/>
    <m/>
    <s v="R2TEKC004AR306DOCH16"/>
    <s v="备用"/>
    <s v="TETN"/>
    <m/>
    <x v="2"/>
    <s v="DO211"/>
    <x v="45"/>
    <s v="2TEKC004AR306DO"/>
    <n v="3"/>
    <x v="3"/>
    <x v="15"/>
    <n v="26"/>
    <m/>
    <s v="TB233"/>
    <s v="306BN"/>
    <s v="16B"/>
    <s v="16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48"/>
    <s v="2TETN005HXT"/>
    <s v="2TETN-025VBE"/>
    <s v="KG"/>
    <s v="R2TETN025VBE_KG"/>
    <s v="气动截止阀开/关"/>
    <s v="TETN"/>
    <s v="1812-B1132YKS07-001-021"/>
    <x v="2"/>
    <s v="DO211"/>
    <x v="46"/>
    <s v="2TEKC004AR307DO"/>
    <n v="3"/>
    <x v="4"/>
    <x v="0"/>
    <n v="27"/>
    <m/>
    <s v="TB233"/>
    <s v="307BN"/>
    <s v="1B"/>
    <s v="1C"/>
    <s v="--"/>
    <s v="--"/>
    <s v="NR"/>
    <s v="NA"/>
    <s v="DO"/>
    <n v="1"/>
    <s v="DCS"/>
    <s v="DO2"/>
    <m/>
    <m/>
    <m/>
    <m/>
    <m/>
    <m/>
    <m/>
    <m/>
    <m/>
    <m/>
    <s v="2TETN01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49"/>
    <s v="2TETN008HXT"/>
    <s v="2TETN-040VBE"/>
    <s v="KG"/>
    <s v="R2TETN040VBE_KG"/>
    <s v="气动截止阀开/关"/>
    <s v="TETN"/>
    <s v="1812-B1132YKS07-001-036"/>
    <x v="2"/>
    <s v="DO211"/>
    <x v="46"/>
    <s v="2TEKC004AR307DO"/>
    <n v="3"/>
    <x v="4"/>
    <x v="1"/>
    <n v="27"/>
    <m/>
    <s v="TB233"/>
    <s v="307BN"/>
    <s v="2B"/>
    <s v="2C"/>
    <s v="--"/>
    <s v="--"/>
    <s v="NR"/>
    <s v="NA"/>
    <s v="DO"/>
    <n v="1"/>
    <s v="DCS"/>
    <s v="DO2"/>
    <m/>
    <m/>
    <m/>
    <m/>
    <m/>
    <m/>
    <m/>
    <m/>
    <m/>
    <m/>
    <s v="2TETN01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50"/>
    <s v="2TETN008HXT"/>
    <s v="2TETN-045VBE"/>
    <s v="KG"/>
    <s v="R2TETN045VBE_KG"/>
    <s v="气动截止阀开/关"/>
    <s v="TETN"/>
    <s v="1812-B1132YKS07-001-038"/>
    <x v="2"/>
    <s v="DO211"/>
    <x v="46"/>
    <s v="2TEKC004AR307DO"/>
    <n v="3"/>
    <x v="4"/>
    <x v="2"/>
    <n v="27"/>
    <m/>
    <s v="TB233"/>
    <s v="307BN"/>
    <s v="3B"/>
    <s v="3C"/>
    <s v="--"/>
    <s v="--"/>
    <s v="NR"/>
    <s v="NA"/>
    <s v="DO"/>
    <n v="1"/>
    <s v="DCS"/>
    <s v="DO2"/>
    <m/>
    <m/>
    <m/>
    <m/>
    <m/>
    <m/>
    <m/>
    <m/>
    <m/>
    <m/>
    <s v="2TETN01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51"/>
    <s v="2TETN008HXT"/>
    <s v="2TETN-046VBE"/>
    <s v="KG"/>
    <s v="R2TETN046VBE_KG"/>
    <s v="气动截止阀开/关"/>
    <s v="TETN"/>
    <s v="1812-B1132YKS07-001-039"/>
    <x v="2"/>
    <s v="DO211"/>
    <x v="46"/>
    <s v="2TEKC004AR307DO"/>
    <n v="3"/>
    <x v="4"/>
    <x v="3"/>
    <n v="27"/>
    <m/>
    <s v="TB233"/>
    <s v="307BN"/>
    <s v="4B"/>
    <s v="4C"/>
    <s v="--"/>
    <s v="--"/>
    <s v="NR"/>
    <s v="NA"/>
    <s v="DO"/>
    <n v="1"/>
    <s v="DCS"/>
    <s v="DO2"/>
    <m/>
    <m/>
    <m/>
    <m/>
    <m/>
    <m/>
    <m/>
    <m/>
    <m/>
    <m/>
    <s v="2TETN01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52"/>
    <s v="2TETN005HXT"/>
    <s v="2TETN-065VBE"/>
    <s v="KG"/>
    <s v="R2TETN065VBE_KG"/>
    <s v="气动截止阀开/关"/>
    <s v="TETN"/>
    <s v="1812-B1132YKS07-001-042"/>
    <x v="2"/>
    <s v="DO211"/>
    <x v="46"/>
    <s v="2TEKC004AR307DO"/>
    <n v="3"/>
    <x v="4"/>
    <x v="4"/>
    <n v="27"/>
    <m/>
    <s v="TB233"/>
    <s v="307BN"/>
    <s v="5B"/>
    <s v="5C"/>
    <s v="--"/>
    <s v="--"/>
    <s v="NR"/>
    <s v="NA"/>
    <s v="DO"/>
    <n v="1"/>
    <s v="DCS"/>
    <s v="DO2"/>
    <m/>
    <m/>
    <m/>
    <m/>
    <m/>
    <m/>
    <m/>
    <m/>
    <m/>
    <m/>
    <s v="2TETN01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53"/>
    <s v="2TETN005HXT"/>
    <s v="2TETN-066VBE"/>
    <s v="KG"/>
    <s v="R2TETN066VBE_KG"/>
    <s v="气动截止阀开/关"/>
    <s v="TETN"/>
    <s v="1812-B1132YKS07-001-043"/>
    <x v="2"/>
    <s v="DO211"/>
    <x v="46"/>
    <s v="2TEKC004AR307DO"/>
    <n v="3"/>
    <x v="4"/>
    <x v="5"/>
    <n v="27"/>
    <m/>
    <s v="TB233"/>
    <s v="307BN"/>
    <s v="6B"/>
    <s v="6C"/>
    <s v="--"/>
    <s v="--"/>
    <s v="NR"/>
    <s v="NA"/>
    <s v="DO"/>
    <n v="1"/>
    <s v="DCS"/>
    <s v="DO2"/>
    <m/>
    <m/>
    <m/>
    <m/>
    <m/>
    <m/>
    <m/>
    <m/>
    <m/>
    <m/>
    <s v="2TETN01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54"/>
    <s v="2TETN006HXT"/>
    <s v="2TETN-030VBE"/>
    <s v="KG"/>
    <s v="R2TETN030VBE_KG"/>
    <s v="气动截止阀开/关"/>
    <s v="TETN"/>
    <s v="1812-B1132YKS07-001-026"/>
    <x v="2"/>
    <s v="DO211"/>
    <x v="46"/>
    <s v="2TEKC004AR307DO"/>
    <n v="3"/>
    <x v="4"/>
    <x v="6"/>
    <n v="27"/>
    <m/>
    <s v="TB233"/>
    <s v="307BN"/>
    <s v="7B"/>
    <s v="7C"/>
    <s v="--"/>
    <s v="--"/>
    <s v="NR"/>
    <s v="NA"/>
    <s v="DO"/>
    <n v="1"/>
    <s v="DCS"/>
    <s v="DO2"/>
    <m/>
    <m/>
    <m/>
    <m/>
    <m/>
    <m/>
    <m/>
    <m/>
    <m/>
    <m/>
    <s v="2TETN01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55"/>
    <s v="2TETN007HXT"/>
    <s v="2TETN-033VBE"/>
    <s v="KG"/>
    <s v="R2TETN033VBE_KG"/>
    <s v="气动截止阀开/关"/>
    <s v="TETN"/>
    <s v="1812-B1132YKS07-001-029"/>
    <x v="2"/>
    <s v="DO211"/>
    <x v="46"/>
    <s v="2TEKC004AR307DO"/>
    <n v="3"/>
    <x v="4"/>
    <x v="7"/>
    <n v="27"/>
    <m/>
    <s v="TB233"/>
    <s v="307BN"/>
    <s v="8B"/>
    <s v="8C"/>
    <s v="--"/>
    <s v="--"/>
    <s v="NR"/>
    <s v="NA"/>
    <s v="DO"/>
    <n v="1"/>
    <s v="DCS"/>
    <s v="DO2"/>
    <m/>
    <m/>
    <m/>
    <m/>
    <m/>
    <m/>
    <m/>
    <m/>
    <m/>
    <m/>
    <s v="2TETN01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56"/>
    <s v="2TETN007HXT"/>
    <s v="2TETN-036VBE"/>
    <s v="KG"/>
    <s v="R2TETN036VBE_KG"/>
    <s v="气动截止阀开/关"/>
    <s v="TETN"/>
    <s v="1812-B1132YKS07-001-032"/>
    <x v="2"/>
    <s v="DO211"/>
    <x v="46"/>
    <s v="2TEKC004AR307DO"/>
    <n v="3"/>
    <x v="4"/>
    <x v="8"/>
    <n v="27"/>
    <m/>
    <s v="TB233"/>
    <s v="307BN"/>
    <s v="9B"/>
    <s v="9C"/>
    <s v="--"/>
    <s v="--"/>
    <s v="NR"/>
    <s v="NA"/>
    <s v="DO"/>
    <n v="1"/>
    <s v="DCS"/>
    <s v="DO2"/>
    <m/>
    <m/>
    <m/>
    <m/>
    <m/>
    <m/>
    <m/>
    <m/>
    <m/>
    <m/>
    <s v="2TETN01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57"/>
    <s v="2TETN008HXT"/>
    <s v="2TETN-039VBE"/>
    <s v="KG"/>
    <s v="R2TETN039VBE_KG"/>
    <s v="气动截止阀开/关"/>
    <s v="TETN"/>
    <s v="1812-B1132YKS07-001-035"/>
    <x v="2"/>
    <s v="DO211"/>
    <x v="46"/>
    <s v="2TEKC004AR307DO"/>
    <n v="3"/>
    <x v="4"/>
    <x v="9"/>
    <n v="27"/>
    <m/>
    <s v="TB233"/>
    <s v="307BN"/>
    <s v="10B"/>
    <s v="10C"/>
    <s v="--"/>
    <s v="--"/>
    <s v="NR"/>
    <s v="NA"/>
    <s v="DO"/>
    <n v="1"/>
    <s v="DCS"/>
    <s v="DO2"/>
    <m/>
    <m/>
    <m/>
    <m/>
    <m/>
    <m/>
    <m/>
    <m/>
    <m/>
    <m/>
    <s v="2TETN01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58"/>
    <s v="2TETN008HXT"/>
    <s v="2TETN-041VBE"/>
    <s v="KG"/>
    <s v="R2TETN041VBE_KG"/>
    <s v="气动截止阀开/关"/>
    <s v="TETN"/>
    <s v="1812-B1132YKS07-001-037"/>
    <x v="2"/>
    <s v="DO211"/>
    <x v="46"/>
    <s v="2TEKC004AR307DO"/>
    <n v="3"/>
    <x v="4"/>
    <x v="10"/>
    <n v="27"/>
    <m/>
    <s v="TB233"/>
    <s v="307BN"/>
    <s v="11B"/>
    <s v="11C"/>
    <s v="--"/>
    <s v="--"/>
    <s v="NR"/>
    <s v="NA"/>
    <s v="DO"/>
    <n v="1"/>
    <s v="DCS"/>
    <s v="DO2"/>
    <m/>
    <m/>
    <m/>
    <m/>
    <m/>
    <m/>
    <m/>
    <m/>
    <m/>
    <m/>
    <s v="2TETN014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59"/>
    <s v="备用"/>
    <s v="2TEKC004AR307DOCH12"/>
    <m/>
    <s v="R2TEKC004AR307DOCH12"/>
    <s v="备用"/>
    <s v="TETN"/>
    <m/>
    <x v="2"/>
    <s v="DO211"/>
    <x v="46"/>
    <s v="2TEKC004AR307DO"/>
    <n v="3"/>
    <x v="4"/>
    <x v="11"/>
    <n v="27"/>
    <m/>
    <s v="TB233"/>
    <s v="307BN"/>
    <s v="12B"/>
    <s v="12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60"/>
    <s v="备用"/>
    <s v="2TEKC004AR307DOCH13"/>
    <m/>
    <s v="R2TEKC004AR307DOCH13"/>
    <s v="备用"/>
    <s v="TETN"/>
    <m/>
    <x v="2"/>
    <s v="DO211"/>
    <x v="46"/>
    <s v="2TEKC004AR307DO"/>
    <n v="3"/>
    <x v="4"/>
    <x v="12"/>
    <n v="27"/>
    <m/>
    <s v="TB233"/>
    <s v="307BN"/>
    <s v="13B"/>
    <s v="13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61"/>
    <s v="备用"/>
    <s v="2TEKC004AR307DOCH14"/>
    <m/>
    <s v="R2TEKC004AR307DOCH14"/>
    <s v="备用"/>
    <s v="TETN"/>
    <m/>
    <x v="2"/>
    <s v="DO211"/>
    <x v="46"/>
    <s v="2TEKC004AR307DO"/>
    <n v="3"/>
    <x v="4"/>
    <x v="13"/>
    <n v="27"/>
    <m/>
    <s v="TB233"/>
    <s v="307BN"/>
    <s v="14B"/>
    <s v="14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62"/>
    <s v="备用"/>
    <s v="2TEKC004AR307DOCH15"/>
    <m/>
    <s v="R2TEKC004AR307DOCH15"/>
    <s v="备用"/>
    <s v="TETN"/>
    <m/>
    <x v="2"/>
    <s v="DO211"/>
    <x v="46"/>
    <s v="2TEKC004AR307DO"/>
    <n v="3"/>
    <x v="4"/>
    <x v="14"/>
    <n v="27"/>
    <m/>
    <s v="TB233"/>
    <s v="307BN"/>
    <s v="15B"/>
    <s v="15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63"/>
    <s v="备用"/>
    <s v="2TEKC004AR307DOCH16"/>
    <m/>
    <s v="R2TEKC004AR307DOCH16"/>
    <s v="备用"/>
    <s v="TETN"/>
    <m/>
    <x v="2"/>
    <s v="DO211"/>
    <x v="46"/>
    <s v="2TEKC004AR307DO"/>
    <n v="3"/>
    <x v="4"/>
    <x v="15"/>
    <n v="27"/>
    <m/>
    <s v="TB233"/>
    <s v="307BN"/>
    <s v="16B"/>
    <s v="16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64"/>
    <s v="2TETN003HXT"/>
    <s v="2TETN-002VBE"/>
    <s v="KG"/>
    <s v="R2TETN002VBE_KG"/>
    <s v="气动截止阀开/关"/>
    <s v="TETN"/>
    <s v="1812-B1132YKS07-001-003"/>
    <x v="2"/>
    <s v="DO211"/>
    <x v="35"/>
    <s v="2TEKC004AR308DO"/>
    <n v="3"/>
    <x v="7"/>
    <x v="0"/>
    <n v="28"/>
    <m/>
    <s v="TB233"/>
    <s v="308BN"/>
    <s v="1B"/>
    <s v="1C"/>
    <s v="--"/>
    <s v="--"/>
    <s v="NR"/>
    <s v="NA"/>
    <s v="DO"/>
    <n v="1"/>
    <s v="DCS"/>
    <s v="DO2"/>
    <m/>
    <m/>
    <m/>
    <m/>
    <m/>
    <m/>
    <m/>
    <m/>
    <m/>
    <m/>
    <s v="2TETN01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65"/>
    <s v="2TETN003HXT"/>
    <s v="2TETN-003VBE"/>
    <s v="KG"/>
    <s v="R2TETN003VBE_KG"/>
    <s v="气动截止阀开/关"/>
    <s v="TETN"/>
    <s v="1812-B1132YKS07-001-004"/>
    <x v="2"/>
    <s v="DO211"/>
    <x v="35"/>
    <s v="2TEKC004AR308DO"/>
    <n v="3"/>
    <x v="7"/>
    <x v="1"/>
    <n v="28"/>
    <m/>
    <s v="TB233"/>
    <s v="308BN"/>
    <s v="2B"/>
    <s v="2C"/>
    <s v="--"/>
    <s v="--"/>
    <s v="NR"/>
    <s v="NA"/>
    <s v="DO"/>
    <n v="1"/>
    <s v="DCS"/>
    <s v="DO2"/>
    <m/>
    <m/>
    <m/>
    <m/>
    <m/>
    <m/>
    <m/>
    <m/>
    <m/>
    <m/>
    <s v="2TETN01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66"/>
    <s v="2TETN003HXT"/>
    <s v="2TETN-005VBE"/>
    <s v="KG"/>
    <s v="R2TETN005VBE_KG"/>
    <s v="气动截止阀开/关"/>
    <s v="TETN"/>
    <s v="1812-B1132YKS07-001-006"/>
    <x v="2"/>
    <s v="DO211"/>
    <x v="35"/>
    <s v="2TEKC004AR308DO"/>
    <n v="3"/>
    <x v="7"/>
    <x v="2"/>
    <n v="28"/>
    <m/>
    <s v="TB233"/>
    <s v="308BN"/>
    <s v="3B"/>
    <s v="3C"/>
    <s v="--"/>
    <s v="--"/>
    <s v="NR"/>
    <s v="NA"/>
    <s v="DO"/>
    <n v="1"/>
    <s v="DCS"/>
    <s v="DO2"/>
    <m/>
    <m/>
    <m/>
    <m/>
    <m/>
    <m/>
    <m/>
    <m/>
    <m/>
    <m/>
    <s v="2TETN01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67"/>
    <s v="2TETN003HXT"/>
    <s v="2TETN-112VIE"/>
    <s v="KG"/>
    <s v="R2TETN112VIE_KG"/>
    <s v="气动截止阀开/关"/>
    <s v="TETN"/>
    <s v="1812-B1132YKS07-001-047"/>
    <x v="2"/>
    <s v="DO211"/>
    <x v="35"/>
    <s v="2TEKC004AR308DO"/>
    <n v="3"/>
    <x v="7"/>
    <x v="3"/>
    <n v="28"/>
    <m/>
    <s v="TB233"/>
    <s v="308BN"/>
    <s v="4B"/>
    <s v="4C"/>
    <s v="--"/>
    <s v="--"/>
    <s v="NR"/>
    <s v="NA"/>
    <s v="DO"/>
    <n v="1"/>
    <s v="DCS"/>
    <s v="DO2"/>
    <m/>
    <m/>
    <m/>
    <m/>
    <m/>
    <m/>
    <m/>
    <m/>
    <m/>
    <m/>
    <s v="2TETN01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68"/>
    <s v="2TETN003HXT"/>
    <s v="2TETN-113VIE"/>
    <s v="KG"/>
    <s v="R2TETN113VIE_KG"/>
    <s v="气动截止阀开/关"/>
    <s v="TETN"/>
    <s v="1812-B1132YKS07-001-048"/>
    <x v="2"/>
    <s v="DO211"/>
    <x v="35"/>
    <s v="2TEKC004AR308DO"/>
    <n v="3"/>
    <x v="7"/>
    <x v="4"/>
    <n v="28"/>
    <m/>
    <s v="TB233"/>
    <s v="308BN"/>
    <s v="5B"/>
    <s v="5C"/>
    <s v="--"/>
    <s v="--"/>
    <s v="NR"/>
    <s v="NA"/>
    <s v="DO"/>
    <n v="1"/>
    <s v="DCS"/>
    <s v="DO2"/>
    <m/>
    <m/>
    <m/>
    <m/>
    <m/>
    <m/>
    <m/>
    <m/>
    <m/>
    <m/>
    <s v="2TETN01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69"/>
    <s v="2TETN003HXT"/>
    <s v="2TETN-121VIE"/>
    <s v="KG"/>
    <s v="R2TETN121VIE_KG"/>
    <s v="气动截止阀开/关"/>
    <s v="TETN"/>
    <s v="1812-B1132YKS07-001-050"/>
    <x v="2"/>
    <s v="DO211"/>
    <x v="35"/>
    <s v="2TEKC004AR308DO"/>
    <n v="3"/>
    <x v="7"/>
    <x v="5"/>
    <n v="28"/>
    <m/>
    <s v="TB233"/>
    <s v="308BN"/>
    <s v="6B"/>
    <s v="6C"/>
    <s v="--"/>
    <s v="--"/>
    <s v="NR"/>
    <s v="NA"/>
    <s v="DO"/>
    <n v="1"/>
    <s v="DCS"/>
    <s v="DO2"/>
    <m/>
    <m/>
    <m/>
    <m/>
    <m/>
    <m/>
    <m/>
    <m/>
    <m/>
    <m/>
    <s v="2TETN01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70"/>
    <s v="2TETN003HXT"/>
    <s v="2TETN-123VIE"/>
    <s v="KG"/>
    <s v="R2TETN123VIE_KG"/>
    <s v="气动截止阀开/关"/>
    <s v="TETN"/>
    <s v="1812-B1132YKS07-001-051"/>
    <x v="2"/>
    <s v="DO211"/>
    <x v="35"/>
    <s v="2TEKC004AR308DO"/>
    <n v="3"/>
    <x v="7"/>
    <x v="6"/>
    <n v="28"/>
    <m/>
    <s v="TB233"/>
    <s v="308BN"/>
    <s v="7B"/>
    <s v="7C"/>
    <s v="--"/>
    <s v="--"/>
    <s v="NR"/>
    <s v="NA"/>
    <s v="DO"/>
    <n v="1"/>
    <s v="DCS"/>
    <s v="DO2"/>
    <m/>
    <m/>
    <m/>
    <m/>
    <m/>
    <m/>
    <m/>
    <m/>
    <m/>
    <m/>
    <s v="2TETN016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71"/>
    <s v="备用"/>
    <s v="2TEKC004AR308DOCH08"/>
    <m/>
    <s v="R2TEKC004AR308DOCH08"/>
    <s v="备用"/>
    <s v="TETN"/>
    <m/>
    <x v="2"/>
    <s v="DO211"/>
    <x v="35"/>
    <s v="2TEKC004AR308DO"/>
    <n v="3"/>
    <x v="7"/>
    <x v="7"/>
    <n v="28"/>
    <m/>
    <s v="TB233"/>
    <s v="308BN"/>
    <s v="8B"/>
    <s v="8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72"/>
    <s v="备用"/>
    <s v="2TEKC004AR308DOCH09"/>
    <m/>
    <s v="R2TEKC004AR308DOCH09"/>
    <s v="备用"/>
    <s v="TETN"/>
    <m/>
    <x v="2"/>
    <s v="DO211"/>
    <x v="35"/>
    <s v="2TEKC004AR308DO"/>
    <n v="3"/>
    <x v="7"/>
    <x v="8"/>
    <n v="28"/>
    <m/>
    <s v="TB233"/>
    <s v="308BN"/>
    <s v="9B"/>
    <s v="9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73"/>
    <s v="备用"/>
    <s v="2TEKC004AR308DOCH10"/>
    <m/>
    <s v="R2TEKC004AR308DOCH10"/>
    <s v="备用"/>
    <s v="TETN"/>
    <m/>
    <x v="2"/>
    <s v="DO211"/>
    <x v="35"/>
    <s v="2TEKC004AR308DO"/>
    <n v="3"/>
    <x v="7"/>
    <x v="9"/>
    <n v="28"/>
    <m/>
    <s v="TB233"/>
    <s v="308BN"/>
    <s v="10B"/>
    <s v="10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74"/>
    <m/>
    <s v="2TEKC004AR"/>
    <s v="PWFA"/>
    <s v="R2TEKC004AR_PWFA"/>
    <s v="控制柜2TEKC004AR机柜电源A故障报警"/>
    <s v="TETN"/>
    <m/>
    <x v="2"/>
    <s v="DO211"/>
    <x v="35"/>
    <s v="2TEKC004AR308DO"/>
    <n v="3"/>
    <x v="7"/>
    <x v="10"/>
    <n v="28"/>
    <m/>
    <s v="TB233"/>
    <s v="308BN"/>
    <s v="11B"/>
    <s v="11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75"/>
    <m/>
    <s v="2TEKC004AR"/>
    <s v="PWFB"/>
    <s v="R2TEKC004AR_PWFB"/>
    <s v="控制柜2TEKC004AR机柜电源B故障报警"/>
    <s v="TETN"/>
    <m/>
    <x v="2"/>
    <s v="DO211"/>
    <x v="35"/>
    <s v="2TEKC004AR308DO"/>
    <n v="3"/>
    <x v="7"/>
    <x v="11"/>
    <n v="28"/>
    <m/>
    <s v="TB233"/>
    <s v="308BN"/>
    <s v="12B"/>
    <s v="12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76"/>
    <m/>
    <s v="2TEKC004AR"/>
    <s v="DROP"/>
    <s v="R2TEKC004AR_DROP"/>
    <s v="控制柜2TEKC004AR机柜门开报警"/>
    <s v="TETN"/>
    <m/>
    <x v="2"/>
    <s v="DO211"/>
    <x v="35"/>
    <s v="2TEKC004AR308DO"/>
    <n v="3"/>
    <x v="7"/>
    <x v="12"/>
    <n v="28"/>
    <m/>
    <s v="TB233"/>
    <s v="308BN"/>
    <s v="13B"/>
    <s v="13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77"/>
    <m/>
    <s v="2TEKC004AR"/>
    <s v="TEPH"/>
    <s v="R2TEKC004AR_TEPH"/>
    <s v="控制柜2TEKC004AR机柜温度高报警"/>
    <s v="TETN"/>
    <m/>
    <x v="2"/>
    <s v="DO211"/>
    <x v="35"/>
    <s v="2TEKC004AR308DO"/>
    <n v="3"/>
    <x v="7"/>
    <x v="13"/>
    <n v="28"/>
    <m/>
    <s v="TB233"/>
    <s v="308BN"/>
    <s v="14B"/>
    <s v="14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78"/>
    <m/>
    <s v="2TEKC004AR"/>
    <s v="FAN"/>
    <s v="R2TEKC004AR_FAN"/>
    <s v="控制柜2TEKC004AR机柜风扇故障"/>
    <s v="TETN"/>
    <m/>
    <x v="2"/>
    <s v="DO211"/>
    <x v="35"/>
    <s v="2TEKC004AR308DO"/>
    <n v="3"/>
    <x v="7"/>
    <x v="14"/>
    <n v="28"/>
    <m/>
    <s v="TB233"/>
    <s v="308BN"/>
    <s v="15B"/>
    <s v="15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79"/>
    <m/>
    <s v="2TEKC004AR"/>
    <s v="SWF"/>
    <s v="R2TEKC004AR_SWF"/>
    <s v="控制柜2TEKC004AR机柜网络故障"/>
    <s v="TETN"/>
    <m/>
    <x v="2"/>
    <s v="DO211"/>
    <x v="35"/>
    <s v="2TEKC004AR308DO"/>
    <n v="3"/>
    <x v="7"/>
    <x v="15"/>
    <n v="28"/>
    <m/>
    <s v="TB233"/>
    <s v="308BN"/>
    <s v="16B"/>
    <s v="16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80"/>
    <s v="2TETN004HXT"/>
    <s v="2TETN-008VBE"/>
    <s v="KG"/>
    <s v="R2TETN008VBE_KG"/>
    <s v="气动截止阀开/关"/>
    <s v="TETN"/>
    <s v="1812-B1132YKS07-001-009"/>
    <x v="2"/>
    <s v="DO211"/>
    <x v="36"/>
    <s v="2TEKC004AR309DO"/>
    <n v="3"/>
    <x v="6"/>
    <x v="0"/>
    <n v="29"/>
    <m/>
    <s v="TB233"/>
    <s v="309BN"/>
    <s v="1B"/>
    <s v="1C"/>
    <s v="--"/>
    <s v="--"/>
    <s v="NR"/>
    <s v="NA"/>
    <s v="DO"/>
    <n v="1"/>
    <s v="DCS"/>
    <s v="DO2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81"/>
    <s v="2TETN004HXT"/>
    <s v="2TETN-011VBE"/>
    <s v="KG"/>
    <s v="R2TETN011VBE_KG"/>
    <s v="气动截止阀开/关"/>
    <s v="TETN"/>
    <s v="1812-B1132YKS07-001-012"/>
    <x v="2"/>
    <s v="DO211"/>
    <x v="36"/>
    <s v="2TEKC004AR309DO"/>
    <n v="3"/>
    <x v="6"/>
    <x v="1"/>
    <n v="29"/>
    <m/>
    <s v="TB233"/>
    <s v="309BN"/>
    <s v="2B"/>
    <s v="2C"/>
    <s v="--"/>
    <s v="--"/>
    <s v="NR"/>
    <s v="NA"/>
    <s v="DO"/>
    <n v="1"/>
    <s v="DCS"/>
    <s v="DO2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82"/>
    <s v="2TETN005HXT"/>
    <s v="2TETN-014VBE"/>
    <s v="KG"/>
    <s v="R2TETN014VBE_KG"/>
    <s v="气动截止阀开/关"/>
    <s v="TETN"/>
    <s v="1812-B1132YKS07-001-015"/>
    <x v="2"/>
    <s v="DO211"/>
    <x v="36"/>
    <s v="2TEKC004AR309DO"/>
    <n v="3"/>
    <x v="6"/>
    <x v="2"/>
    <n v="29"/>
    <m/>
    <s v="TB233"/>
    <s v="309BN"/>
    <s v="3B"/>
    <s v="3C"/>
    <s v="--"/>
    <s v="--"/>
    <s v="NR"/>
    <s v="NA"/>
    <s v="DO"/>
    <n v="1"/>
    <s v="DCS"/>
    <s v="DO2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83"/>
    <s v="2TETN004HXT"/>
    <s v="2TETN-131VIE"/>
    <s v="KG"/>
    <s v="R2TETN131VIE_KG"/>
    <s v="气动截止阀开/关"/>
    <s v="TETN"/>
    <s v="1812-B1132YKS07-001-053"/>
    <x v="2"/>
    <s v="DO211"/>
    <x v="36"/>
    <s v="2TEKC004AR309DO"/>
    <n v="3"/>
    <x v="6"/>
    <x v="3"/>
    <n v="29"/>
    <m/>
    <s v="TB233"/>
    <s v="309BN"/>
    <s v="4B"/>
    <s v="4C"/>
    <s v="--"/>
    <s v="--"/>
    <s v="NR"/>
    <s v="NA"/>
    <s v="DO"/>
    <n v="1"/>
    <s v="DCS"/>
    <s v="DO2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84"/>
    <s v="2TETN004HXT"/>
    <s v="2TETN-133VIE"/>
    <s v="KG"/>
    <s v="R2TETN133VIE_KG"/>
    <s v="气动截止阀开/关"/>
    <s v="TETN"/>
    <s v="1812-B1132YKS07-001-054"/>
    <x v="2"/>
    <s v="DO211"/>
    <x v="36"/>
    <s v="2TEKC004AR309DO"/>
    <n v="3"/>
    <x v="6"/>
    <x v="4"/>
    <n v="29"/>
    <m/>
    <s v="TB233"/>
    <s v="309BN"/>
    <s v="5B"/>
    <s v="5C"/>
    <s v="--"/>
    <s v="--"/>
    <s v="NR"/>
    <s v="NA"/>
    <s v="DO"/>
    <n v="1"/>
    <s v="DCS"/>
    <s v="DO2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85"/>
    <s v="2TETN004HXT"/>
    <s v="2TETN-141VIE"/>
    <s v="KG"/>
    <s v="R2TETN141VIE_KG"/>
    <s v="气动截止阀开/关"/>
    <s v="TETN"/>
    <s v="1812-B1132YKS07-001-056"/>
    <x v="2"/>
    <s v="DO211"/>
    <x v="36"/>
    <s v="2TEKC004AR309DO"/>
    <n v="3"/>
    <x v="6"/>
    <x v="5"/>
    <n v="29"/>
    <m/>
    <s v="TB233"/>
    <s v="309BN"/>
    <s v="6B"/>
    <s v="6C"/>
    <s v="--"/>
    <s v="--"/>
    <s v="NR"/>
    <s v="NA"/>
    <s v="DO"/>
    <n v="1"/>
    <s v="DCS"/>
    <s v="DO2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86"/>
    <s v="2TETN004HXT"/>
    <s v="2TETN-143VIE"/>
    <s v="KG"/>
    <s v="R2TETN143VIE_KG"/>
    <s v="气动截止阀开/关"/>
    <s v="TETN"/>
    <s v="1812-B1132YKS07-001-057"/>
    <x v="2"/>
    <s v="DO211"/>
    <x v="36"/>
    <s v="2TEKC004AR309DO"/>
    <n v="3"/>
    <x v="6"/>
    <x v="6"/>
    <n v="29"/>
    <m/>
    <s v="TB233"/>
    <s v="309BN"/>
    <s v="7B"/>
    <s v="7C"/>
    <s v="--"/>
    <s v="--"/>
    <s v="NR"/>
    <s v="NA"/>
    <s v="DO"/>
    <n v="1"/>
    <s v="DCS"/>
    <s v="DO2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87"/>
    <s v="2TETN005HXT"/>
    <s v="2TETN-151VIE"/>
    <s v="KG"/>
    <s v="R2TETN151VIE_KG"/>
    <s v="气动截止阀开/关"/>
    <s v="TETN"/>
    <s v="1812-B1132YKS07-001-060"/>
    <x v="2"/>
    <s v="DO211"/>
    <x v="36"/>
    <s v="2TEKC004AR309DO"/>
    <n v="3"/>
    <x v="6"/>
    <x v="7"/>
    <n v="29"/>
    <m/>
    <s v="TB233"/>
    <s v="309BN"/>
    <s v="8B"/>
    <s v="8C"/>
    <s v="--"/>
    <s v="--"/>
    <s v="NR"/>
    <s v="NA"/>
    <s v="DO"/>
    <n v="1"/>
    <s v="DCS"/>
    <s v="DO2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88"/>
    <s v="2TETN005HXT"/>
    <s v="2TETN-153VIE"/>
    <s v="KG"/>
    <s v="R2TETN153VIE_KG"/>
    <s v="气动截止阀开/关"/>
    <s v="TETN"/>
    <s v="1812-B1132YKS07-001-061"/>
    <x v="2"/>
    <s v="DO211"/>
    <x v="36"/>
    <s v="2TEKC004AR309DO"/>
    <n v="3"/>
    <x v="6"/>
    <x v="8"/>
    <n v="29"/>
    <m/>
    <s v="TB233"/>
    <s v="309BN"/>
    <s v="9B"/>
    <s v="9C"/>
    <s v="--"/>
    <s v="--"/>
    <s v="NR"/>
    <s v="NA"/>
    <s v="DO"/>
    <n v="1"/>
    <s v="DCS"/>
    <s v="DO2"/>
    <m/>
    <m/>
    <m/>
    <m/>
    <m/>
    <m/>
    <m/>
    <m/>
    <m/>
    <m/>
    <s v="2TETN021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89"/>
    <s v="备用"/>
    <s v="2TEKC004AR309DOCH10"/>
    <m/>
    <s v="R2TEKC004AR309DOCH10"/>
    <s v="备用"/>
    <s v="TETN"/>
    <m/>
    <x v="2"/>
    <s v="DO211"/>
    <x v="36"/>
    <s v="2TEKC004AR309DO"/>
    <n v="3"/>
    <x v="6"/>
    <x v="9"/>
    <n v="29"/>
    <m/>
    <s v="TB233"/>
    <s v="309BN"/>
    <s v="10B"/>
    <s v="10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90"/>
    <s v="备用"/>
    <s v="2TEKC004AR309DOCH11"/>
    <m/>
    <s v="R2TEKC004AR309DOCH11"/>
    <s v="备用"/>
    <s v="TETN"/>
    <m/>
    <x v="2"/>
    <s v="DO211"/>
    <x v="36"/>
    <s v="2TEKC004AR309DO"/>
    <n v="3"/>
    <x v="6"/>
    <x v="10"/>
    <n v="29"/>
    <m/>
    <s v="TB233"/>
    <s v="309BN"/>
    <s v="11B"/>
    <s v="11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91"/>
    <s v="备用"/>
    <s v="2TEKC004AR309DOCH12"/>
    <m/>
    <s v="R2TEKC004AR309DOCH12"/>
    <s v="备用"/>
    <s v="TETN"/>
    <m/>
    <x v="2"/>
    <s v="DO211"/>
    <x v="36"/>
    <s v="2TEKC004AR309DO"/>
    <n v="3"/>
    <x v="6"/>
    <x v="11"/>
    <n v="29"/>
    <m/>
    <s v="TB233"/>
    <s v="309BN"/>
    <s v="12B"/>
    <s v="12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92"/>
    <s v="备用"/>
    <s v="2TEKC004AR309DOCH13"/>
    <m/>
    <s v="R2TEKC004AR309DOCH13"/>
    <s v="备用"/>
    <s v="TETN"/>
    <m/>
    <x v="2"/>
    <s v="DO211"/>
    <x v="36"/>
    <s v="2TEKC004AR309DO"/>
    <n v="3"/>
    <x v="6"/>
    <x v="12"/>
    <n v="29"/>
    <m/>
    <s v="TB233"/>
    <s v="309BN"/>
    <s v="13B"/>
    <s v="13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93"/>
    <s v="备用"/>
    <s v="2TEKC004AR309DOCH14"/>
    <m/>
    <s v="R2TEKC004AR309DOCH14"/>
    <s v="备用"/>
    <s v="TETN"/>
    <m/>
    <x v="2"/>
    <s v="DO211"/>
    <x v="36"/>
    <s v="2TEKC004AR309DO"/>
    <n v="3"/>
    <x v="6"/>
    <x v="13"/>
    <n v="29"/>
    <m/>
    <s v="TB233"/>
    <s v="309BN"/>
    <s v="14B"/>
    <s v="14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94"/>
    <s v="备用"/>
    <s v="2TEKC004AR309DOCH15"/>
    <m/>
    <s v="R2TEKC004AR309DOCH15"/>
    <s v="备用"/>
    <s v="TETN"/>
    <m/>
    <x v="2"/>
    <s v="DO211"/>
    <x v="36"/>
    <s v="2TEKC004AR309DO"/>
    <n v="3"/>
    <x v="6"/>
    <x v="14"/>
    <n v="29"/>
    <m/>
    <s v="TB233"/>
    <s v="309BN"/>
    <s v="15B"/>
    <s v="15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95"/>
    <m/>
    <s v="2TEKC004AR"/>
    <s v="ALM"/>
    <s v="R2TEKC004AR_ALM"/>
    <s v="控制柜2TEKC004AR机柜报警灯"/>
    <s v="TETN"/>
    <m/>
    <x v="2"/>
    <s v="DO211"/>
    <x v="36"/>
    <s v="2TEKC004AR309DO"/>
    <n v="3"/>
    <x v="6"/>
    <x v="15"/>
    <n v="29"/>
    <m/>
    <s v="TB233"/>
    <s v="309BN"/>
    <s v="16B"/>
    <s v="16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4"/>
    <n v="1"/>
    <m/>
    <s v=""/>
    <m/>
  </r>
  <r>
    <n v="896"/>
    <s v="2TETN002HXT"/>
    <s v="2AT-TETN001BA-2"/>
    <m/>
    <s v="R2ATTETN001BA2"/>
    <s v="尿素溶解槽(001BA)pH值"/>
    <s v="TETN"/>
    <s v="1812-B1132YKS08-001_030"/>
    <x v="3"/>
    <s v="AI216"/>
    <x v="0"/>
    <s v="2TEKC005AR103AI"/>
    <n v="1"/>
    <x v="0"/>
    <x v="0"/>
    <n v="3"/>
    <m/>
    <s v="TB241"/>
    <s v="103BN"/>
    <s v="1B"/>
    <s v="1A"/>
    <s v="--"/>
    <s v="--"/>
    <s v="NR"/>
    <s v="NA"/>
    <s v="AI"/>
    <s v="4~20mA"/>
    <s v="DCS"/>
    <s v="AI1"/>
    <s v="两线制"/>
    <s v="pH值"/>
    <n v="0"/>
    <n v="14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897"/>
    <s v="2TETN002HXT"/>
    <s v="2AT-TETN002BA-2"/>
    <m/>
    <s v="R2ATTETN002BA2"/>
    <s v="废液中转槽(002BA)pH值"/>
    <s v="TETN"/>
    <s v="1812-B1132YKS08-001_030"/>
    <x v="3"/>
    <s v="AI216"/>
    <x v="0"/>
    <s v="2TEKC005AR103AI"/>
    <n v="1"/>
    <x v="0"/>
    <x v="1"/>
    <n v="3"/>
    <m/>
    <s v="TB241"/>
    <s v="103BN"/>
    <s v="2B"/>
    <s v="2A"/>
    <s v="--"/>
    <s v="--"/>
    <s v="NR"/>
    <s v="NA"/>
    <s v="AI"/>
    <s v="4~20mA"/>
    <s v="DCS"/>
    <s v="AI1"/>
    <s v="两线制"/>
    <s v="pH值"/>
    <n v="0"/>
    <n v="14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898"/>
    <s v="2TETN001HXT"/>
    <s v="2AT-TETN003BA-2"/>
    <m/>
    <s v="R2ATTETN003BA2"/>
    <s v="废液储槽(003BA)pH值"/>
    <s v="TETN"/>
    <s v="1812-B1132YKS08-001_030"/>
    <x v="3"/>
    <s v="AI216"/>
    <x v="0"/>
    <s v="2TEKC005AR103AI"/>
    <n v="1"/>
    <x v="0"/>
    <x v="2"/>
    <n v="3"/>
    <m/>
    <s v="TB241"/>
    <s v="103BN"/>
    <s v="3B"/>
    <s v="3A"/>
    <s v="--"/>
    <s v="--"/>
    <s v="NR"/>
    <s v="NA"/>
    <s v="AI"/>
    <s v="4~20mA"/>
    <s v="DCS"/>
    <s v="AI1"/>
    <s v="两线制"/>
    <s v="pH值"/>
    <n v="0"/>
    <n v="14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899"/>
    <s v="2TETN001HXT"/>
    <s v="2AT-TETN004BA-2"/>
    <m/>
    <s v="R2ATTETN004BA2"/>
    <s v="废液储槽(004BA)pH值"/>
    <s v="TETN"/>
    <s v="1812-B1132YKS08-001_030"/>
    <x v="3"/>
    <s v="AI216"/>
    <x v="0"/>
    <s v="2TEKC005AR103AI"/>
    <n v="1"/>
    <x v="0"/>
    <x v="3"/>
    <n v="3"/>
    <m/>
    <s v="TB241"/>
    <s v="103BN"/>
    <s v="4B"/>
    <s v="4A"/>
    <s v="--"/>
    <s v="--"/>
    <s v="NR"/>
    <s v="NA"/>
    <s v="AI"/>
    <s v="4~20mA"/>
    <s v="DCS"/>
    <s v="AI1"/>
    <s v="两线制"/>
    <s v="pH值"/>
    <n v="0"/>
    <n v="14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00"/>
    <s v="2TETN003HXT"/>
    <s v="2AT-TETN001TH-2"/>
    <m/>
    <s v="R2ATTETN001TH2"/>
    <s v="筛板吸收塔(001TH)pH值"/>
    <s v="TETN"/>
    <s v="1812-B1132YKS08-001_031"/>
    <x v="3"/>
    <s v="AI216"/>
    <x v="0"/>
    <s v="2TEKC005AR103AI"/>
    <n v="1"/>
    <x v="0"/>
    <x v="4"/>
    <n v="3"/>
    <m/>
    <s v="TB241"/>
    <s v="103BN"/>
    <s v="5B"/>
    <s v="5A"/>
    <s v="--"/>
    <s v="--"/>
    <s v="NR"/>
    <s v="NA"/>
    <s v="AI"/>
    <s v="4~20mA"/>
    <s v="DCS"/>
    <s v="AI1"/>
    <s v="两线制"/>
    <s v="pH值"/>
    <n v="0"/>
    <n v="14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01"/>
    <s v="2TETN003HXT"/>
    <s v="2AT-TETN002TH-2"/>
    <m/>
    <s v="R2ATTETN002TH2"/>
    <s v="筛板吸收塔(002TH)pH值"/>
    <s v="TETN"/>
    <s v="1812-B1132YKS08-001_031"/>
    <x v="3"/>
    <s v="AI216"/>
    <x v="0"/>
    <s v="2TEKC005AR103AI"/>
    <n v="1"/>
    <x v="0"/>
    <x v="5"/>
    <n v="3"/>
    <m/>
    <s v="TB241"/>
    <s v="103BN"/>
    <s v="6B"/>
    <s v="6A"/>
    <s v="--"/>
    <s v="--"/>
    <s v="NR"/>
    <s v="NA"/>
    <s v="AI"/>
    <s v="4~20mA"/>
    <s v="DCS"/>
    <s v="AI1"/>
    <s v="两线制"/>
    <s v="pH值"/>
    <n v="0"/>
    <n v="14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02"/>
    <s v="备用"/>
    <s v="2TEKC005AR103AICH07"/>
    <m/>
    <s v="R2TEKC005AR103AICH07"/>
    <s v="备用"/>
    <s v="TETN"/>
    <m/>
    <x v="3"/>
    <s v="AI216"/>
    <x v="0"/>
    <s v="2TEKC005AR103AI"/>
    <n v="1"/>
    <x v="0"/>
    <x v="6"/>
    <n v="3"/>
    <m/>
    <s v="TB241"/>
    <s v="103BN"/>
    <s v="7B"/>
    <s v="7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03"/>
    <s v="备用"/>
    <s v="2TEKC005AR103AICH08"/>
    <m/>
    <s v="R2TEKC005AR103AICH08"/>
    <s v="备用"/>
    <s v="TETN"/>
    <m/>
    <x v="3"/>
    <s v="AI216"/>
    <x v="0"/>
    <s v="2TEKC005AR103AI"/>
    <n v="1"/>
    <x v="0"/>
    <x v="7"/>
    <n v="3"/>
    <m/>
    <s v="TB241"/>
    <s v="103BN"/>
    <s v="8B"/>
    <s v="8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04"/>
    <s v="2TETN004HXT"/>
    <s v="2AT-TETN003TH-2"/>
    <m/>
    <s v="R2ATTETN003TH2"/>
    <s v="筛板吸收塔(003TH)pH值"/>
    <s v="TETN"/>
    <s v="1812-B1132YKS08-001_031"/>
    <x v="3"/>
    <s v="AI216"/>
    <x v="12"/>
    <s v="2TEKC005AR104AI"/>
    <n v="1"/>
    <x v="1"/>
    <x v="0"/>
    <n v="4"/>
    <m/>
    <s v="TB241"/>
    <s v="104BN"/>
    <s v="1B"/>
    <s v="1A"/>
    <s v="--"/>
    <s v="--"/>
    <s v="NR"/>
    <s v="NA"/>
    <s v="AI"/>
    <s v="4~20mA"/>
    <s v="DCS"/>
    <s v="AI1"/>
    <s v="两线制"/>
    <s v="pH值"/>
    <n v="0"/>
    <n v="14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05"/>
    <s v="2TETN004HXT"/>
    <s v="2AT-TETN004TH-2"/>
    <m/>
    <s v="R2ATTETN004TH2"/>
    <s v="筛板吸收塔(004TH)pH值"/>
    <s v="TETN"/>
    <s v="1812-B1132YKS08-001_031"/>
    <x v="3"/>
    <s v="AI216"/>
    <x v="12"/>
    <s v="2TEKC005AR104AI"/>
    <n v="1"/>
    <x v="1"/>
    <x v="1"/>
    <n v="4"/>
    <m/>
    <s v="TB241"/>
    <s v="104BN"/>
    <s v="2B"/>
    <s v="2A"/>
    <s v="--"/>
    <s v="--"/>
    <s v="NR"/>
    <s v="NA"/>
    <s v="AI"/>
    <s v="4~20mA"/>
    <s v="DCS"/>
    <s v="AI1"/>
    <s v="两线制"/>
    <s v="pH值"/>
    <n v="0"/>
    <n v="14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06"/>
    <s v="2TETN005HXT"/>
    <s v="2AT-TETN005TH-2"/>
    <m/>
    <s v="R2ATTETN005TH2"/>
    <s v="筛板吸收塔(005TH)pH值"/>
    <s v="TETN"/>
    <s v="1812-B1132YKS08-001_031"/>
    <x v="3"/>
    <s v="AI216"/>
    <x v="12"/>
    <s v="2TEKC005AR104AI"/>
    <n v="1"/>
    <x v="1"/>
    <x v="2"/>
    <n v="4"/>
    <m/>
    <s v="TB241"/>
    <s v="104BN"/>
    <s v="3B"/>
    <s v="3A"/>
    <s v="--"/>
    <s v="--"/>
    <s v="NR"/>
    <s v="NA"/>
    <s v="AI"/>
    <s v="4~20mA"/>
    <s v="DCS"/>
    <s v="AI1"/>
    <s v="两线制"/>
    <s v="pH值"/>
    <n v="0"/>
    <n v="14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07"/>
    <s v="2TETN006HXT"/>
    <s v="2AT-TETN006TH-2"/>
    <m/>
    <s v="R2ATTETN006TH2"/>
    <s v="筛板吸收塔(006TH)pH值"/>
    <s v="TETN"/>
    <s v="1812-B1132YKS08-001_031"/>
    <x v="3"/>
    <s v="AI216"/>
    <x v="12"/>
    <s v="2TEKC005AR104AI"/>
    <n v="1"/>
    <x v="1"/>
    <x v="3"/>
    <n v="4"/>
    <m/>
    <s v="TB241"/>
    <s v="104BN"/>
    <s v="4B"/>
    <s v="4A"/>
    <s v="--"/>
    <s v="--"/>
    <s v="NR"/>
    <s v="NA"/>
    <s v="AI"/>
    <s v="4~20mA"/>
    <s v="DCS"/>
    <s v="AI1"/>
    <s v="两线制"/>
    <s v="pH值"/>
    <n v="0"/>
    <n v="14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08"/>
    <s v="2TETN006HXT"/>
    <s v="2AT-TETN007TH-2"/>
    <m/>
    <s v="R2ATTETN007TH2"/>
    <s v="筛板吸收塔(007TH)pH值"/>
    <s v="TETN"/>
    <s v="1812-B1132YKS08-001_031"/>
    <x v="3"/>
    <s v="AI216"/>
    <x v="12"/>
    <s v="2TEKC005AR104AI"/>
    <n v="1"/>
    <x v="1"/>
    <x v="4"/>
    <n v="4"/>
    <m/>
    <s v="TB241"/>
    <s v="104BN"/>
    <s v="5B"/>
    <s v="5A"/>
    <s v="--"/>
    <s v="--"/>
    <s v="NR"/>
    <s v="NA"/>
    <s v="AI"/>
    <s v="4~20mA"/>
    <s v="DCS"/>
    <s v="AI1"/>
    <s v="两线制"/>
    <s v="pH值"/>
    <n v="0"/>
    <n v="14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09"/>
    <s v="2TETN007HXT"/>
    <s v="2AT-TETN008TH-2"/>
    <m/>
    <s v="R2ATTETN008TH2"/>
    <s v="筛板吸收塔(008TH)pH值"/>
    <s v="TETN"/>
    <s v="1812-B1132YKS08-001_031"/>
    <x v="3"/>
    <s v="AI216"/>
    <x v="12"/>
    <s v="2TEKC005AR104AI"/>
    <n v="1"/>
    <x v="1"/>
    <x v="5"/>
    <n v="4"/>
    <m/>
    <s v="TB241"/>
    <s v="104BN"/>
    <s v="6B"/>
    <s v="6A"/>
    <s v="--"/>
    <s v="--"/>
    <s v="NR"/>
    <s v="NA"/>
    <s v="AI"/>
    <s v="4~20mA"/>
    <s v="DCS"/>
    <s v="AI1"/>
    <s v="两线制"/>
    <s v="pH值"/>
    <n v="0"/>
    <n v="14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10"/>
    <s v="备用"/>
    <s v="2TEKC005AR104AICH07"/>
    <m/>
    <s v="R2TEKC005AR104AICH07"/>
    <s v="备用"/>
    <s v="TETN"/>
    <m/>
    <x v="3"/>
    <s v="AI216"/>
    <x v="12"/>
    <s v="2TEKC005AR104AI"/>
    <n v="1"/>
    <x v="1"/>
    <x v="6"/>
    <n v="4"/>
    <m/>
    <s v="TB241"/>
    <s v="104BN"/>
    <s v="7B"/>
    <s v="7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11"/>
    <s v="备用"/>
    <s v="2TEKC005AR104AICH08"/>
    <m/>
    <s v="R2TEKC005AR104AICH08"/>
    <s v="备用"/>
    <s v="TETN"/>
    <m/>
    <x v="3"/>
    <s v="AI216"/>
    <x v="12"/>
    <s v="2TEKC005AR104AI"/>
    <n v="1"/>
    <x v="1"/>
    <x v="7"/>
    <n v="4"/>
    <m/>
    <s v="TB241"/>
    <s v="104BN"/>
    <s v="8B"/>
    <s v="8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12"/>
    <s v="2TETN007HXT"/>
    <s v="2AT-TETN009TH-2"/>
    <m/>
    <s v="R2ATTETN009TH2"/>
    <s v="筛板吸收塔(009TH)pH值"/>
    <s v="TETN"/>
    <s v="1812-B1132YKS08-001_031"/>
    <x v="3"/>
    <s v="AI216"/>
    <x v="13"/>
    <s v="2TEKC005AR105AI"/>
    <n v="1"/>
    <x v="2"/>
    <x v="0"/>
    <n v="5"/>
    <m/>
    <s v="TB241"/>
    <s v="105BN"/>
    <s v="1B"/>
    <s v="1A"/>
    <s v="--"/>
    <s v="--"/>
    <s v="NR"/>
    <s v="NA"/>
    <s v="AI"/>
    <s v="4~20mA"/>
    <s v="DCS"/>
    <s v="AI1"/>
    <s v="两线制"/>
    <s v="pH值"/>
    <n v="0"/>
    <n v="14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13"/>
    <s v="2TETN008HXT"/>
    <s v="2AT-TETN010TH-2"/>
    <m/>
    <s v="R2ATTETN010TH2"/>
    <s v="筛板吸收塔(010TH)pH值"/>
    <s v="TETN"/>
    <s v="1812-B1132YKS08-001_031"/>
    <x v="3"/>
    <s v="AI216"/>
    <x v="13"/>
    <s v="2TEKC005AR105AI"/>
    <n v="1"/>
    <x v="2"/>
    <x v="1"/>
    <n v="5"/>
    <m/>
    <s v="TB241"/>
    <s v="105BN"/>
    <s v="2B"/>
    <s v="2A"/>
    <s v="--"/>
    <s v="--"/>
    <s v="NR"/>
    <s v="NA"/>
    <s v="AI"/>
    <s v="4~20mA"/>
    <s v="DCS"/>
    <s v="AI1"/>
    <s v="两线制"/>
    <s v="pH值"/>
    <n v="0"/>
    <n v="14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14"/>
    <s v="2TETN004HXT"/>
    <s v="2TETN-606VAM"/>
    <s v="FW"/>
    <s v="R2TETN606VAM_FW"/>
    <s v="气动调节阀0-100%开度反馈"/>
    <s v="TETN"/>
    <s v="1812-B1132YKS08-001_037"/>
    <x v="3"/>
    <s v="AI216"/>
    <x v="13"/>
    <s v="2TEKC005AR105AI"/>
    <n v="1"/>
    <x v="2"/>
    <x v="2"/>
    <n v="5"/>
    <m/>
    <s v="TB241"/>
    <s v="105BN"/>
    <s v="3B"/>
    <s v="3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15"/>
    <s v="2TETN005HXT"/>
    <s v="2TETN-608VAM"/>
    <s v="FW"/>
    <s v="R2TETN608VAM_FW"/>
    <s v="气动调节阀0-100%开度反馈"/>
    <s v="TETN"/>
    <s v="1812-B1132YKS08-001_037"/>
    <x v="3"/>
    <s v="AI216"/>
    <x v="13"/>
    <s v="2TEKC005AR105AI"/>
    <n v="1"/>
    <x v="2"/>
    <x v="3"/>
    <n v="5"/>
    <m/>
    <s v="TB241"/>
    <s v="105BN"/>
    <s v="4B"/>
    <s v="4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16"/>
    <s v="2TETN006HXT"/>
    <s v="2TETN-610VAM"/>
    <s v="FW"/>
    <s v="R2TETN610VAM_FW"/>
    <s v="气动调节阀0-100%开度反馈"/>
    <s v="TETN"/>
    <s v="1812-B1132YKS08-001_037"/>
    <x v="3"/>
    <s v="AI216"/>
    <x v="13"/>
    <s v="2TEKC005AR105AI"/>
    <n v="1"/>
    <x v="2"/>
    <x v="4"/>
    <n v="5"/>
    <m/>
    <s v="TB241"/>
    <s v="105BN"/>
    <s v="5B"/>
    <s v="5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17"/>
    <s v="2TETN007HXT"/>
    <s v="2TETN-612VAM"/>
    <s v="FW"/>
    <s v="R2TETN612VAM_FW"/>
    <s v="气动调节阀0-100%开度反馈"/>
    <s v="TETN"/>
    <s v="1812-B1132YKS08-001_038"/>
    <x v="3"/>
    <s v="AI216"/>
    <x v="13"/>
    <s v="2TEKC005AR105AI"/>
    <n v="1"/>
    <x v="2"/>
    <x v="5"/>
    <n v="5"/>
    <m/>
    <s v="TB241"/>
    <s v="105BN"/>
    <s v="6B"/>
    <s v="6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18"/>
    <s v="备用"/>
    <s v="2TEKC005AR105AICH07"/>
    <m/>
    <s v="R2TEKC005AR105AICH07"/>
    <s v="备用"/>
    <s v="TETN"/>
    <m/>
    <x v="3"/>
    <s v="AI216"/>
    <x v="13"/>
    <s v="2TEKC005AR105AI"/>
    <n v="1"/>
    <x v="2"/>
    <x v="6"/>
    <n v="5"/>
    <m/>
    <s v="TB241"/>
    <s v="105BN"/>
    <s v="7B"/>
    <s v="7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19"/>
    <s v="备用"/>
    <s v="2TEKC005AR105AICH08"/>
    <m/>
    <s v="R2TEKC005AR105AICH08"/>
    <s v="备用"/>
    <s v="TETN"/>
    <m/>
    <x v="3"/>
    <s v="AI216"/>
    <x v="13"/>
    <s v="2TEKC005AR105AI"/>
    <n v="1"/>
    <x v="2"/>
    <x v="7"/>
    <n v="5"/>
    <m/>
    <s v="TB241"/>
    <s v="105BN"/>
    <s v="8B"/>
    <s v="8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20"/>
    <s v="2TETN007HXT"/>
    <s v="2TETN-614VAM"/>
    <s v="FW"/>
    <s v="R2TETN614VAM_FW"/>
    <s v="气动调节阀0-100%开度反馈"/>
    <s v="TETN"/>
    <s v="1812-B1132YKS08-001_038"/>
    <x v="3"/>
    <s v="AI216"/>
    <x v="14"/>
    <s v="2TEKC005AR106AI"/>
    <n v="1"/>
    <x v="3"/>
    <x v="0"/>
    <n v="6"/>
    <m/>
    <s v="TB241"/>
    <s v="106BN"/>
    <s v="1B"/>
    <s v="1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21"/>
    <s v="2TETN008HXT"/>
    <s v="2TETN-616VAM"/>
    <s v="FW"/>
    <s v="R2TETN616VAM_FW"/>
    <s v="气动调节阀0-100%开度反馈"/>
    <s v="TETN"/>
    <s v="1812-B1132YKS08-001_038"/>
    <x v="3"/>
    <s v="AI216"/>
    <x v="14"/>
    <s v="2TEKC005AR106AI"/>
    <n v="1"/>
    <x v="3"/>
    <x v="1"/>
    <n v="6"/>
    <m/>
    <s v="TB241"/>
    <s v="106BN"/>
    <s v="2B"/>
    <s v="2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22"/>
    <s v="2TETN003HXT"/>
    <s v="2TETN-664VAM"/>
    <s v="FW"/>
    <s v="R2TETN664VAM_FW"/>
    <s v="气动调节阀0-100%开度反馈"/>
    <s v="TETN"/>
    <s v="1812-B1132YKS08-001_039"/>
    <x v="3"/>
    <s v="AI216"/>
    <x v="14"/>
    <s v="2TEKC005AR106AI"/>
    <n v="1"/>
    <x v="3"/>
    <x v="2"/>
    <n v="6"/>
    <m/>
    <s v="TB241"/>
    <s v="106BN"/>
    <s v="3B"/>
    <s v="3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23"/>
    <s v="2TETN006HXT"/>
    <s v="2TETN-666VAM"/>
    <s v="FW"/>
    <s v="R2TETN666VAM_FW"/>
    <s v="气动调节阀0-100%开度反馈"/>
    <s v="TETN"/>
    <s v="1812-B1132YKS08-001_039"/>
    <x v="3"/>
    <s v="AI216"/>
    <x v="14"/>
    <s v="2TEKC005AR106AI"/>
    <n v="1"/>
    <x v="3"/>
    <x v="3"/>
    <n v="6"/>
    <m/>
    <s v="TB241"/>
    <s v="106BN"/>
    <s v="4B"/>
    <s v="4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24"/>
    <m/>
    <s v="2TETN-600VAM"/>
    <s v="FW"/>
    <s v="R2TETN600VAM_FW"/>
    <s v="气动调节阀0-100%开度反馈"/>
    <s v="TETN"/>
    <s v="1812-B1132YKS08-001_039"/>
    <x v="3"/>
    <s v="AI216"/>
    <x v="14"/>
    <s v="2TEKC005AR106AI"/>
    <n v="1"/>
    <x v="3"/>
    <x v="4"/>
    <n v="6"/>
    <m/>
    <s v="TB241"/>
    <s v="106BN"/>
    <s v="5B"/>
    <s v="5A"/>
    <s v="--"/>
    <s v="--"/>
    <s v="NR"/>
    <s v="NA"/>
    <s v="AI"/>
    <s v="4~20mA"/>
    <s v="DCS"/>
    <s v="AI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25"/>
    <s v="备用"/>
    <s v="2TEKC005AR106AICH06"/>
    <m/>
    <s v="R2TEKC005AR106AICH06"/>
    <s v="备用"/>
    <s v="TETN"/>
    <m/>
    <x v="3"/>
    <s v="AI216"/>
    <x v="14"/>
    <s v="2TEKC005AR106AI"/>
    <n v="1"/>
    <x v="3"/>
    <x v="5"/>
    <n v="6"/>
    <m/>
    <s v="TB241"/>
    <s v="106BN"/>
    <s v="6B"/>
    <s v="6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26"/>
    <s v="备用"/>
    <s v="2TEKC005AR106AICH07"/>
    <m/>
    <s v="R2TEKC005AR106AICH07"/>
    <s v="备用"/>
    <s v="TETN"/>
    <m/>
    <x v="3"/>
    <s v="AI216"/>
    <x v="14"/>
    <s v="2TEKC005AR106AI"/>
    <n v="1"/>
    <x v="3"/>
    <x v="6"/>
    <n v="6"/>
    <m/>
    <s v="TB241"/>
    <s v="106BN"/>
    <s v="7B"/>
    <s v="7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27"/>
    <s v="备用"/>
    <s v="2TEKC005AR106AICH08"/>
    <m/>
    <s v="R2TEKC005AR106AICH08"/>
    <s v="备用"/>
    <s v="TETN"/>
    <m/>
    <x v="3"/>
    <s v="AI216"/>
    <x v="14"/>
    <s v="2TEKC005AR106AI"/>
    <n v="1"/>
    <x v="3"/>
    <x v="7"/>
    <n v="6"/>
    <m/>
    <s v="TB241"/>
    <s v="106BN"/>
    <s v="8B"/>
    <s v="8A"/>
    <s v="--"/>
    <s v="--"/>
    <s v="NR"/>
    <s v="NA"/>
    <s v="AI"/>
    <s v="4~20mA"/>
    <s v="DCS"/>
    <s v="A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28"/>
    <s v="2TETN003HXT"/>
    <s v="2AT-TETN001TH-1"/>
    <m/>
    <s v="R2ATTETN001TH1"/>
    <s v="筛板吸收塔(001TH)尿素浓度"/>
    <s v="TETN"/>
    <s v="1812-B1132YKS08-001_029"/>
    <x v="3"/>
    <s v="AI216"/>
    <x v="15"/>
    <s v="2TEKC005AR107AI"/>
    <n v="1"/>
    <x v="4"/>
    <x v="0"/>
    <n v="7"/>
    <m/>
    <s v="TB241"/>
    <s v="107BN"/>
    <s v="1A"/>
    <s v="1C"/>
    <s v="--"/>
    <s v="--"/>
    <s v="NR"/>
    <s v="NA"/>
    <s v="AI"/>
    <s v="4~20mA"/>
    <s v="USER(提供24VDC)"/>
    <s v="AI2"/>
    <s v="四线制"/>
    <s v="g/cm3"/>
    <n v="0"/>
    <n v="2"/>
    <m/>
    <m/>
    <m/>
    <m/>
    <m/>
    <m/>
    <m/>
    <s v="A"/>
    <m/>
    <m/>
    <s v="15W"/>
    <m/>
    <m/>
    <m/>
    <m/>
    <m/>
    <m/>
    <m/>
    <m/>
    <m/>
    <m/>
    <m/>
    <m/>
    <m/>
    <m/>
    <m/>
    <m/>
    <m/>
    <m/>
    <n v="10"/>
    <s v="R"/>
    <s v="R2TETN096KA"/>
    <s v="筛板吸收塔(001TH)尿素浓度低于10%低报警"/>
    <m/>
    <m/>
    <m/>
    <m/>
    <m/>
    <m/>
    <m/>
    <m/>
    <m/>
    <m/>
    <m/>
    <m/>
    <n v="5"/>
    <n v="1"/>
    <m/>
    <n v="3"/>
    <m/>
  </r>
  <r>
    <n v="929"/>
    <s v="2TETN003HXT"/>
    <s v="2AT-TETN002TH-1"/>
    <m/>
    <s v="R2ATTETN002TH1"/>
    <s v="筛板吸收塔(002TH)尿素浓度"/>
    <s v="TETN"/>
    <s v="1812-B1132YKS08-001_029"/>
    <x v="3"/>
    <s v="AI216"/>
    <x v="15"/>
    <s v="2TEKC005AR107AI"/>
    <n v="1"/>
    <x v="4"/>
    <x v="1"/>
    <n v="7"/>
    <m/>
    <s v="TB241"/>
    <s v="107BN"/>
    <s v="2A"/>
    <s v="2C"/>
    <s v="--"/>
    <s v="--"/>
    <s v="NR"/>
    <s v="NA"/>
    <s v="AI"/>
    <s v="4~20mA"/>
    <s v="USER(提供24VDC)"/>
    <s v="AI2"/>
    <s v="四线制"/>
    <s v="g/cm3"/>
    <n v="0"/>
    <n v="2"/>
    <m/>
    <m/>
    <m/>
    <m/>
    <m/>
    <m/>
    <m/>
    <s v="A"/>
    <m/>
    <m/>
    <s v="15W"/>
    <m/>
    <m/>
    <m/>
    <m/>
    <m/>
    <m/>
    <m/>
    <m/>
    <m/>
    <m/>
    <m/>
    <m/>
    <m/>
    <m/>
    <m/>
    <m/>
    <m/>
    <m/>
    <n v="10"/>
    <s v="R"/>
    <s v="R2TETN097KA"/>
    <s v="筛板吸收塔(002TH)尿素浓度低于10%低报警"/>
    <m/>
    <m/>
    <m/>
    <m/>
    <m/>
    <m/>
    <m/>
    <m/>
    <m/>
    <m/>
    <m/>
    <m/>
    <n v="5"/>
    <n v="1"/>
    <m/>
    <n v="3"/>
    <m/>
  </r>
  <r>
    <n v="930"/>
    <s v="2TETN004HXT"/>
    <s v="2AT-TETN003TH-1"/>
    <m/>
    <s v="R2ATTETN003TH1"/>
    <s v="筛板吸收塔(003TH)尿素浓度"/>
    <s v="TETN"/>
    <s v="1812-B1132YKS08-001_029"/>
    <x v="3"/>
    <s v="AI216"/>
    <x v="15"/>
    <s v="2TEKC005AR107AI"/>
    <n v="1"/>
    <x v="4"/>
    <x v="2"/>
    <n v="7"/>
    <m/>
    <s v="TB241"/>
    <s v="107BN"/>
    <s v="3A"/>
    <s v="3C"/>
    <s v="--"/>
    <s v="--"/>
    <s v="NR"/>
    <s v="NA"/>
    <s v="AI"/>
    <s v="4~20mA"/>
    <s v="USER(提供24VDC)"/>
    <s v="AI2"/>
    <s v="四线制"/>
    <s v="g/cm3"/>
    <n v="0"/>
    <n v="2"/>
    <m/>
    <m/>
    <m/>
    <m/>
    <m/>
    <m/>
    <m/>
    <s v="A"/>
    <m/>
    <m/>
    <s v="15W"/>
    <m/>
    <m/>
    <m/>
    <m/>
    <m/>
    <m/>
    <m/>
    <m/>
    <m/>
    <m/>
    <m/>
    <m/>
    <m/>
    <m/>
    <m/>
    <m/>
    <m/>
    <m/>
    <n v="10"/>
    <s v="R"/>
    <s v="R2TETN098KA"/>
    <s v="筛板吸收塔(003TH)尿素浓度低于10%低报警"/>
    <m/>
    <m/>
    <m/>
    <m/>
    <m/>
    <m/>
    <m/>
    <m/>
    <m/>
    <m/>
    <m/>
    <m/>
    <n v="5"/>
    <n v="1"/>
    <m/>
    <n v="3"/>
    <m/>
  </r>
  <r>
    <n v="931"/>
    <s v="2TETN004HXT"/>
    <s v="2AT-TETN004TH-1"/>
    <m/>
    <s v="R2ATTETN004TH1"/>
    <s v="筛板吸收塔(004TH)尿素浓度"/>
    <s v="TETN"/>
    <s v="1812-B1132YKS08-001_029"/>
    <x v="3"/>
    <s v="AI216"/>
    <x v="15"/>
    <s v="2TEKC005AR107AI"/>
    <n v="1"/>
    <x v="4"/>
    <x v="3"/>
    <n v="7"/>
    <m/>
    <s v="TB241"/>
    <s v="107BN"/>
    <s v="4A"/>
    <s v="4C"/>
    <s v="--"/>
    <s v="--"/>
    <s v="NR"/>
    <s v="NA"/>
    <s v="AI"/>
    <s v="4~20mA"/>
    <s v="USER(提供24VDC)"/>
    <s v="AI2"/>
    <s v="四线制"/>
    <s v="g/cm3"/>
    <n v="0"/>
    <n v="2"/>
    <m/>
    <m/>
    <m/>
    <m/>
    <m/>
    <m/>
    <m/>
    <s v="A"/>
    <m/>
    <m/>
    <s v="15W"/>
    <m/>
    <m/>
    <m/>
    <m/>
    <m/>
    <m/>
    <m/>
    <m/>
    <m/>
    <m/>
    <m/>
    <m/>
    <m/>
    <m/>
    <m/>
    <m/>
    <m/>
    <m/>
    <n v="10"/>
    <s v="R"/>
    <s v="R2TETN099KA"/>
    <s v="筛板吸收塔(004TH)尿素浓度低于10%低报警"/>
    <m/>
    <m/>
    <m/>
    <m/>
    <m/>
    <m/>
    <m/>
    <m/>
    <m/>
    <m/>
    <m/>
    <m/>
    <n v="5"/>
    <n v="1"/>
    <m/>
    <n v="3"/>
    <m/>
  </r>
  <r>
    <n v="932"/>
    <s v="2TETN005HXT"/>
    <s v="2AT-TETN005TH-1"/>
    <m/>
    <s v="R2ATTETN005TH1"/>
    <s v="筛板吸收塔(005TH)尿素浓度"/>
    <s v="TETN"/>
    <s v="1812-B1132YKS08-001_029"/>
    <x v="3"/>
    <s v="AI216"/>
    <x v="15"/>
    <s v="2TEKC005AR107AI"/>
    <n v="1"/>
    <x v="4"/>
    <x v="4"/>
    <n v="7"/>
    <m/>
    <s v="TB241"/>
    <s v="107BN"/>
    <s v="5A"/>
    <s v="5C"/>
    <s v="--"/>
    <s v="--"/>
    <s v="NR"/>
    <s v="NA"/>
    <s v="AI"/>
    <s v="4~20mA"/>
    <s v="USER(提供24VDC)"/>
    <s v="AI2"/>
    <s v="四线制"/>
    <s v="g/cm3"/>
    <n v="0"/>
    <n v="2"/>
    <m/>
    <m/>
    <m/>
    <m/>
    <m/>
    <m/>
    <m/>
    <s v="A"/>
    <m/>
    <m/>
    <s v="15W"/>
    <m/>
    <m/>
    <m/>
    <m/>
    <m/>
    <m/>
    <m/>
    <m/>
    <m/>
    <m/>
    <m/>
    <m/>
    <m/>
    <m/>
    <m/>
    <m/>
    <m/>
    <m/>
    <n v="10"/>
    <s v="R"/>
    <s v="R2TETN100KA"/>
    <s v="筛板吸收塔(005TH)尿素浓度低于10%低报警"/>
    <m/>
    <m/>
    <m/>
    <m/>
    <m/>
    <m/>
    <m/>
    <m/>
    <m/>
    <m/>
    <m/>
    <m/>
    <n v="5"/>
    <n v="1"/>
    <m/>
    <n v="3"/>
    <m/>
  </r>
  <r>
    <n v="933"/>
    <s v="2TETN006HXT"/>
    <s v="2AT-TETN006TH-1"/>
    <m/>
    <s v="R2ATTETN006TH1"/>
    <s v="筛板吸收塔(006TH)尿素浓度"/>
    <s v="TETN"/>
    <s v="1812-B1132YKS08-001_029"/>
    <x v="3"/>
    <s v="AI216"/>
    <x v="15"/>
    <s v="2TEKC005AR107AI"/>
    <n v="1"/>
    <x v="4"/>
    <x v="5"/>
    <n v="7"/>
    <m/>
    <s v="TB241"/>
    <s v="107BN"/>
    <s v="6A"/>
    <s v="6C"/>
    <s v="--"/>
    <s v="--"/>
    <s v="NR"/>
    <s v="NA"/>
    <s v="AI"/>
    <s v="4~20mA"/>
    <s v="USER(提供24VDC)"/>
    <s v="AI2"/>
    <s v="四线制"/>
    <s v="g/cm3"/>
    <n v="0"/>
    <n v="2"/>
    <m/>
    <m/>
    <m/>
    <m/>
    <m/>
    <m/>
    <m/>
    <s v="A"/>
    <m/>
    <m/>
    <s v="15W"/>
    <m/>
    <m/>
    <m/>
    <m/>
    <m/>
    <m/>
    <m/>
    <m/>
    <m/>
    <m/>
    <m/>
    <m/>
    <m/>
    <m/>
    <m/>
    <m/>
    <m/>
    <m/>
    <n v="10"/>
    <s v="R"/>
    <s v="R2TETN101KA"/>
    <s v="筛板吸收塔(006TH)尿素浓度低于10%低报警"/>
    <m/>
    <m/>
    <m/>
    <m/>
    <m/>
    <m/>
    <m/>
    <m/>
    <m/>
    <m/>
    <m/>
    <m/>
    <n v="5"/>
    <n v="1"/>
    <m/>
    <n v="3"/>
    <m/>
  </r>
  <r>
    <n v="934"/>
    <s v="备用"/>
    <s v="2TEKC005AR107AICH07"/>
    <m/>
    <s v="R2TEKC005AR107AICH07"/>
    <s v="备用"/>
    <s v="TETN"/>
    <m/>
    <x v="3"/>
    <s v="AI216"/>
    <x v="15"/>
    <s v="2TEKC005AR107AI"/>
    <n v="1"/>
    <x v="4"/>
    <x v="6"/>
    <n v="7"/>
    <m/>
    <s v="TB241"/>
    <s v="107BN"/>
    <s v="7A"/>
    <s v="7C"/>
    <s v="--"/>
    <s v="--"/>
    <s v="NR"/>
    <s v="NA"/>
    <s v="AI"/>
    <s v="4~20mA"/>
    <s v="USER(提供24VDC)"/>
    <s v="AI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35"/>
    <s v="备用"/>
    <s v="2TEKC005AR107AICH08"/>
    <m/>
    <s v="R2TEKC005AR107AICH08"/>
    <s v="备用"/>
    <s v="TETN"/>
    <m/>
    <x v="3"/>
    <s v="AI216"/>
    <x v="15"/>
    <s v="2TEKC005AR107AI"/>
    <n v="1"/>
    <x v="4"/>
    <x v="7"/>
    <n v="7"/>
    <m/>
    <s v="TB241"/>
    <s v="107BN"/>
    <s v="8A"/>
    <s v="8C"/>
    <s v="--"/>
    <s v="--"/>
    <s v="NR"/>
    <s v="NA"/>
    <s v="AI"/>
    <s v="4~20mA"/>
    <s v="USER(提供24VDC)"/>
    <s v="AI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36"/>
    <s v="2TETN006HXT"/>
    <s v="2AT-TETN007TH-1"/>
    <m/>
    <s v="R2ATTETN007TH1"/>
    <s v="筛板吸收塔(007TH)尿素浓度"/>
    <s v="TETN"/>
    <s v="1812-B1132YKS08-001_029"/>
    <x v="3"/>
    <s v="AI216"/>
    <x v="16"/>
    <s v="2TEKC005AR108AI"/>
    <n v="1"/>
    <x v="7"/>
    <x v="0"/>
    <n v="8"/>
    <m/>
    <s v="TB241"/>
    <s v="108BN"/>
    <s v="1A"/>
    <s v="1C"/>
    <s v="--"/>
    <s v="--"/>
    <s v="NR"/>
    <s v="NA"/>
    <s v="AI"/>
    <s v="4~20mA"/>
    <s v="USER(提供24VDC)"/>
    <s v="AI2"/>
    <s v="四线制"/>
    <s v="g/cm3"/>
    <n v="0"/>
    <n v="2"/>
    <m/>
    <m/>
    <m/>
    <m/>
    <m/>
    <m/>
    <m/>
    <s v="A"/>
    <m/>
    <m/>
    <s v="15W"/>
    <m/>
    <m/>
    <m/>
    <m/>
    <m/>
    <m/>
    <m/>
    <m/>
    <m/>
    <m/>
    <m/>
    <m/>
    <m/>
    <m/>
    <m/>
    <m/>
    <m/>
    <m/>
    <n v="10"/>
    <s v="R"/>
    <s v="R2TETN102KA"/>
    <s v="筛板吸收塔(007TH)尿素浓度低于10%低报警"/>
    <m/>
    <m/>
    <m/>
    <m/>
    <m/>
    <m/>
    <m/>
    <m/>
    <m/>
    <m/>
    <m/>
    <m/>
    <n v="5"/>
    <n v="1"/>
    <m/>
    <n v="3"/>
    <m/>
  </r>
  <r>
    <n v="937"/>
    <s v="2TETN007HXT"/>
    <s v="2AT-TETN008TH-1"/>
    <m/>
    <s v="R2ATTETN008TH1"/>
    <s v="筛板吸收塔(008TH)尿素浓度"/>
    <s v="TETN"/>
    <s v="1812-B1132YKS08-001_029"/>
    <x v="3"/>
    <s v="AI216"/>
    <x v="16"/>
    <s v="2TEKC005AR108AI"/>
    <n v="1"/>
    <x v="7"/>
    <x v="1"/>
    <n v="8"/>
    <m/>
    <s v="TB241"/>
    <s v="108BN"/>
    <s v="2A"/>
    <s v="2C"/>
    <s v="--"/>
    <s v="--"/>
    <s v="NR"/>
    <s v="NA"/>
    <s v="AI"/>
    <s v="4~20mA"/>
    <s v="USER(提供24VDC)"/>
    <s v="AI2"/>
    <s v="四线制"/>
    <s v="g/cm3"/>
    <n v="0"/>
    <n v="2"/>
    <m/>
    <m/>
    <m/>
    <m/>
    <m/>
    <m/>
    <m/>
    <s v="A"/>
    <m/>
    <m/>
    <s v="15W"/>
    <m/>
    <m/>
    <m/>
    <m/>
    <m/>
    <m/>
    <m/>
    <m/>
    <m/>
    <m/>
    <m/>
    <m/>
    <m/>
    <m/>
    <m/>
    <m/>
    <m/>
    <m/>
    <n v="10"/>
    <s v="R"/>
    <s v="R2TETN103KA"/>
    <s v="筛板吸收塔(008TH)尿素浓度低于10%低报警"/>
    <m/>
    <m/>
    <m/>
    <m/>
    <m/>
    <m/>
    <m/>
    <m/>
    <m/>
    <m/>
    <m/>
    <m/>
    <n v="5"/>
    <n v="1"/>
    <m/>
    <n v="3"/>
    <m/>
  </r>
  <r>
    <n v="938"/>
    <s v="2TETN007HXT"/>
    <s v="2AT-TETN009TH-1"/>
    <m/>
    <s v="R2ATTETN009TH1"/>
    <s v="筛板吸收塔(009TH)尿素浓度"/>
    <s v="TETN"/>
    <s v="1812-B1132YKS08-001_030"/>
    <x v="3"/>
    <s v="AI216"/>
    <x v="16"/>
    <s v="2TEKC005AR108AI"/>
    <n v="1"/>
    <x v="7"/>
    <x v="2"/>
    <n v="8"/>
    <m/>
    <s v="TB241"/>
    <s v="108BN"/>
    <s v="3A"/>
    <s v="3C"/>
    <s v="--"/>
    <s v="--"/>
    <s v="NR"/>
    <s v="NA"/>
    <s v="AI"/>
    <s v="4~20mA"/>
    <s v="USER(提供24VDC)"/>
    <s v="AI2"/>
    <s v="四线制"/>
    <s v="g/cm3"/>
    <n v="0"/>
    <n v="2"/>
    <m/>
    <m/>
    <m/>
    <m/>
    <m/>
    <m/>
    <m/>
    <s v="A"/>
    <m/>
    <m/>
    <s v="15W"/>
    <m/>
    <m/>
    <m/>
    <m/>
    <m/>
    <m/>
    <m/>
    <m/>
    <m/>
    <m/>
    <m/>
    <m/>
    <m/>
    <m/>
    <m/>
    <m/>
    <m/>
    <m/>
    <n v="10"/>
    <s v="R"/>
    <s v="R2TETN104KA"/>
    <s v="筛板吸收塔(009TH)尿素浓度低于10%低报警"/>
    <m/>
    <m/>
    <m/>
    <m/>
    <m/>
    <m/>
    <m/>
    <m/>
    <m/>
    <m/>
    <m/>
    <m/>
    <n v="5"/>
    <n v="1"/>
    <m/>
    <n v="3"/>
    <m/>
  </r>
  <r>
    <n v="939"/>
    <s v="2TETN008HXT"/>
    <s v="2AT-TETN010TH-1"/>
    <m/>
    <s v="R2ATTETN010TH1"/>
    <s v="筛板吸收塔(010TH)尿素浓度"/>
    <s v="TETN"/>
    <s v="1812-B1132YKS08-001_030"/>
    <x v="3"/>
    <s v="AI216"/>
    <x v="16"/>
    <s v="2TEKC005AR108AI"/>
    <n v="1"/>
    <x v="7"/>
    <x v="3"/>
    <n v="8"/>
    <m/>
    <s v="TB241"/>
    <s v="108BN"/>
    <s v="4A"/>
    <s v="4C"/>
    <s v="--"/>
    <s v="--"/>
    <s v="NR"/>
    <s v="NA"/>
    <s v="AI"/>
    <s v="4~20mA"/>
    <s v="USER(提供24VDC)"/>
    <s v="AI2"/>
    <s v="四线制"/>
    <s v="g/cm3"/>
    <n v="0"/>
    <n v="2"/>
    <m/>
    <m/>
    <m/>
    <m/>
    <m/>
    <m/>
    <m/>
    <s v="A"/>
    <m/>
    <m/>
    <s v="15W"/>
    <m/>
    <m/>
    <m/>
    <m/>
    <m/>
    <m/>
    <m/>
    <m/>
    <m/>
    <m/>
    <m/>
    <m/>
    <m/>
    <m/>
    <m/>
    <m/>
    <m/>
    <m/>
    <n v="10"/>
    <s v="R"/>
    <s v="R2TETN105KA"/>
    <s v="筛板吸收塔(010TH)尿素浓度低于10%低报警"/>
    <m/>
    <m/>
    <m/>
    <m/>
    <m/>
    <m/>
    <m/>
    <m/>
    <m/>
    <m/>
    <m/>
    <m/>
    <n v="5"/>
    <n v="1"/>
    <m/>
    <n v="3"/>
    <m/>
  </r>
  <r>
    <n v="940"/>
    <s v="2TETN003HXT"/>
    <s v="2AT-TETN003OG"/>
    <m/>
    <s v="R2ATTETN003OG"/>
    <s v="氮氧化物尾气处理间（1）NOX浓度"/>
    <s v="TETN"/>
    <s v="1812-B1132YKS08-001_032"/>
    <x v="3"/>
    <s v="AI216"/>
    <x v="16"/>
    <s v="2TEKC005AR108AI"/>
    <n v="1"/>
    <x v="7"/>
    <x v="4"/>
    <n v="8"/>
    <m/>
    <s v="TB241"/>
    <s v="108BN"/>
    <s v="5A"/>
    <s v="5C"/>
    <s v="--"/>
    <s v="--"/>
    <s v="NR"/>
    <s v="NA"/>
    <s v="AI"/>
    <s v="4~20mA"/>
    <s v="USER(提供24VDC)"/>
    <s v="AI2"/>
    <s v="四线制"/>
    <s v="mg/m3"/>
    <n v="0"/>
    <n v="20"/>
    <m/>
    <m/>
    <m/>
    <m/>
    <m/>
    <m/>
    <m/>
    <s v="A"/>
    <m/>
    <m/>
    <s v="15W"/>
    <m/>
    <m/>
    <m/>
    <m/>
    <m/>
    <m/>
    <m/>
    <m/>
    <m/>
    <m/>
    <n v="10"/>
    <s v="R"/>
    <s v="R2TETN107KA"/>
    <s v="氮氧化物尾气处理间（1）NOX浓度高于10mg/m3高高报警"/>
    <n v="5"/>
    <s v="R"/>
    <s v="R2TETN106KA"/>
    <s v="氮氧化物尾气处理间（1）NOX浓度高于5mg/m3高报警"/>
    <m/>
    <m/>
    <m/>
    <m/>
    <m/>
    <m/>
    <m/>
    <m/>
    <m/>
    <m/>
    <m/>
    <m/>
    <m/>
    <m/>
    <m/>
    <m/>
    <n v="5"/>
    <n v="1"/>
    <m/>
    <n v="2"/>
    <m/>
  </r>
  <r>
    <n v="941"/>
    <s v="2TETN003HXT"/>
    <s v="2AT-TETN004OG"/>
    <m/>
    <s v="R2ATTETN004OG"/>
    <s v="氮氧化物尾气处理间（1）NOX浓度"/>
    <s v="TETN"/>
    <s v="1812-B1132YKS08-001_032"/>
    <x v="3"/>
    <s v="AI216"/>
    <x v="16"/>
    <s v="2TEKC005AR108AI"/>
    <n v="1"/>
    <x v="7"/>
    <x v="5"/>
    <n v="8"/>
    <m/>
    <s v="TB241"/>
    <s v="108BN"/>
    <s v="6A"/>
    <s v="6C"/>
    <s v="--"/>
    <s v="--"/>
    <s v="NR"/>
    <s v="NA"/>
    <s v="AI"/>
    <s v="4~20mA"/>
    <s v="USER(提供24VDC)"/>
    <s v="AI2"/>
    <s v="四线制"/>
    <s v="mg/m3"/>
    <n v="0"/>
    <n v="20"/>
    <m/>
    <m/>
    <m/>
    <m/>
    <m/>
    <m/>
    <m/>
    <s v="A"/>
    <m/>
    <m/>
    <s v="15W"/>
    <m/>
    <m/>
    <m/>
    <m/>
    <m/>
    <m/>
    <m/>
    <m/>
    <m/>
    <m/>
    <n v="10"/>
    <s v="R"/>
    <s v="R2TETN109KA"/>
    <s v="氮氧化物尾气处理间（1）NOX浓度高于10mg/m3高高报警"/>
    <n v="5"/>
    <s v="R"/>
    <s v="R2TETN108KA"/>
    <s v="氮氧化物尾气处理间（1）NOX浓度高于5mg/m3高报警"/>
    <m/>
    <m/>
    <m/>
    <m/>
    <m/>
    <m/>
    <m/>
    <m/>
    <m/>
    <m/>
    <m/>
    <m/>
    <m/>
    <m/>
    <m/>
    <m/>
    <n v="5"/>
    <n v="1"/>
    <m/>
    <n v="2"/>
    <m/>
  </r>
  <r>
    <n v="942"/>
    <s v="备用"/>
    <s v="2TEKC005AR108AICH07"/>
    <m/>
    <s v="R2TEKC005AR108AICH07"/>
    <s v="备用"/>
    <s v="TETN"/>
    <m/>
    <x v="3"/>
    <s v="AI216"/>
    <x v="16"/>
    <s v="2TEKC005AR108AI"/>
    <n v="1"/>
    <x v="7"/>
    <x v="6"/>
    <n v="8"/>
    <m/>
    <s v="TB241"/>
    <s v="108BN"/>
    <s v="7A"/>
    <s v="7C"/>
    <s v="--"/>
    <s v="--"/>
    <s v="NR"/>
    <s v="NA"/>
    <s v="AI"/>
    <s v="4~20mA"/>
    <s v="USER(提供24VDC)"/>
    <s v="AI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43"/>
    <s v="备用"/>
    <s v="2TEKC005AR108AICH08"/>
    <m/>
    <s v="R2TEKC005AR108AICH08"/>
    <s v="备用"/>
    <s v="TETN"/>
    <m/>
    <x v="3"/>
    <s v="AI216"/>
    <x v="16"/>
    <s v="2TEKC005AR108AI"/>
    <n v="1"/>
    <x v="7"/>
    <x v="7"/>
    <n v="8"/>
    <m/>
    <s v="TB241"/>
    <s v="108BN"/>
    <s v="8A"/>
    <s v="8C"/>
    <s v="--"/>
    <s v="--"/>
    <s v="NR"/>
    <s v="NA"/>
    <s v="AI"/>
    <s v="4~20mA"/>
    <s v="USER(提供24VDC)"/>
    <s v="AI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44"/>
    <s v="2TETN003HXT"/>
    <s v="2AT-TETN005OG"/>
    <m/>
    <s v="R2ATTETN005OG"/>
    <s v="氮氧化物尾气处理间（1）NOX浓度"/>
    <s v="TETN"/>
    <s v="1812-B1132YKS08-001_032"/>
    <x v="3"/>
    <s v="AI216"/>
    <x v="17"/>
    <s v="2TEKC005AR109AI"/>
    <n v="1"/>
    <x v="6"/>
    <x v="0"/>
    <n v="9"/>
    <m/>
    <s v="TB241"/>
    <s v="109BN"/>
    <s v="1A"/>
    <s v="1C"/>
    <s v="--"/>
    <s v="--"/>
    <s v="NR"/>
    <s v="NA"/>
    <s v="AI"/>
    <s v="4~20mA"/>
    <s v="USER(提供24VDC)"/>
    <s v="AI2"/>
    <s v="四线制"/>
    <s v="mg/m3"/>
    <n v="0"/>
    <n v="20"/>
    <m/>
    <m/>
    <m/>
    <m/>
    <m/>
    <m/>
    <m/>
    <s v="A"/>
    <m/>
    <m/>
    <s v="15W"/>
    <m/>
    <m/>
    <m/>
    <m/>
    <m/>
    <m/>
    <m/>
    <m/>
    <m/>
    <m/>
    <n v="10"/>
    <s v="R"/>
    <s v="R2TETN111KA"/>
    <s v="氮氧化物尾气处理间（1）NOX浓度高于10mg/m3高高报警"/>
    <n v="5"/>
    <s v="R"/>
    <s v="R2TETN110KA"/>
    <s v="氮氧化物尾气处理间（1）NOX浓度高于5mg/m3高报警"/>
    <m/>
    <m/>
    <m/>
    <m/>
    <m/>
    <m/>
    <m/>
    <m/>
    <m/>
    <m/>
    <m/>
    <m/>
    <m/>
    <m/>
    <m/>
    <m/>
    <n v="5"/>
    <n v="1"/>
    <m/>
    <n v="2"/>
    <m/>
  </r>
  <r>
    <n v="945"/>
    <s v="2TETN003HXT"/>
    <s v="2AT-TETN006OG"/>
    <m/>
    <s v="R2ATTETN006OG"/>
    <s v="氮氧化物尾气处理间（1）NOX浓度"/>
    <s v="TETN"/>
    <s v="1812-B1132YKS08-001_033"/>
    <x v="3"/>
    <s v="AI216"/>
    <x v="17"/>
    <s v="2TEKC005AR109AI"/>
    <n v="1"/>
    <x v="6"/>
    <x v="1"/>
    <n v="9"/>
    <m/>
    <s v="TB241"/>
    <s v="109BN"/>
    <s v="2A"/>
    <s v="2C"/>
    <s v="--"/>
    <s v="--"/>
    <s v="NR"/>
    <s v="NA"/>
    <s v="AI"/>
    <s v="4~20mA"/>
    <s v="USER(提供24VDC)"/>
    <s v="AI2"/>
    <s v="四线制"/>
    <s v="mg/m3"/>
    <n v="0"/>
    <n v="20"/>
    <m/>
    <m/>
    <m/>
    <m/>
    <m/>
    <m/>
    <m/>
    <s v="A"/>
    <m/>
    <m/>
    <s v="15W"/>
    <m/>
    <m/>
    <m/>
    <m/>
    <m/>
    <m/>
    <m/>
    <m/>
    <m/>
    <m/>
    <n v="10"/>
    <s v="R"/>
    <s v="R2TETN113KA"/>
    <s v="氮氧化物尾气处理间（1）NOX浓度高于10mg/m3高高报警"/>
    <n v="5"/>
    <s v="R"/>
    <s v="R2TETN112KA"/>
    <s v="氮氧化物尾气处理间（1）NOX浓度高于5mg/m3高报警"/>
    <m/>
    <m/>
    <m/>
    <m/>
    <m/>
    <m/>
    <m/>
    <m/>
    <m/>
    <m/>
    <m/>
    <m/>
    <m/>
    <m/>
    <m/>
    <m/>
    <n v="5"/>
    <n v="1"/>
    <m/>
    <n v="2"/>
    <m/>
  </r>
  <r>
    <n v="946"/>
    <s v="2TETN003HXT"/>
    <s v="2AT-TETN007OG"/>
    <m/>
    <s v="R2ATTETN007OG"/>
    <s v="氮氧化物尾气处理间（1）NOX浓度"/>
    <s v="TETN"/>
    <s v="1812-B1132YKS08-001_033"/>
    <x v="3"/>
    <s v="AI216"/>
    <x v="17"/>
    <s v="2TEKC005AR109AI"/>
    <n v="1"/>
    <x v="6"/>
    <x v="2"/>
    <n v="9"/>
    <m/>
    <s v="TB241"/>
    <s v="109BN"/>
    <s v="3A"/>
    <s v="3C"/>
    <s v="--"/>
    <s v="--"/>
    <s v="NR"/>
    <s v="NA"/>
    <s v="AI"/>
    <s v="4~20mA"/>
    <s v="USER(提供24VDC)"/>
    <s v="AI2"/>
    <s v="四线制"/>
    <s v="mg/m3"/>
    <n v="0"/>
    <n v="20"/>
    <m/>
    <m/>
    <m/>
    <m/>
    <m/>
    <m/>
    <m/>
    <s v="A"/>
    <m/>
    <m/>
    <s v="15W"/>
    <m/>
    <m/>
    <m/>
    <m/>
    <m/>
    <m/>
    <m/>
    <m/>
    <m/>
    <m/>
    <n v="10"/>
    <s v="R"/>
    <s v="R2TETN115KA"/>
    <s v="氮氧化物尾气处理间（1）NOX浓度高于10mg/m3高高报警"/>
    <n v="5"/>
    <s v="R"/>
    <s v="R2TETN114KA"/>
    <s v="氮氧化物尾气处理间（1）NOX浓度高于5mg/m3高报警"/>
    <m/>
    <m/>
    <m/>
    <m/>
    <m/>
    <m/>
    <m/>
    <m/>
    <m/>
    <m/>
    <m/>
    <m/>
    <m/>
    <m/>
    <m/>
    <m/>
    <n v="5"/>
    <n v="1"/>
    <m/>
    <n v="2"/>
    <m/>
  </r>
  <r>
    <n v="947"/>
    <s v="2TETN004HXT"/>
    <s v="2AT-TETN008OG"/>
    <m/>
    <s v="R2ATTETN008OG"/>
    <s v="氮氧化物尾气处理间（2）NOX浓度"/>
    <s v="TETN"/>
    <s v="1812-B1132YKS08-001_033"/>
    <x v="3"/>
    <s v="AI216"/>
    <x v="17"/>
    <s v="2TEKC005AR109AI"/>
    <n v="1"/>
    <x v="6"/>
    <x v="3"/>
    <n v="9"/>
    <m/>
    <s v="TB241"/>
    <s v="109BN"/>
    <s v="4A"/>
    <s v="4C"/>
    <s v="--"/>
    <s v="--"/>
    <s v="NR"/>
    <s v="NA"/>
    <s v="AI"/>
    <s v="4~20mA"/>
    <s v="USER(提供24VDC)"/>
    <s v="AI2"/>
    <s v="四线制"/>
    <s v="mg/m3"/>
    <n v="0"/>
    <n v="20"/>
    <m/>
    <m/>
    <m/>
    <m/>
    <m/>
    <m/>
    <m/>
    <s v="A"/>
    <m/>
    <m/>
    <s v="15W"/>
    <m/>
    <m/>
    <m/>
    <m/>
    <m/>
    <m/>
    <m/>
    <m/>
    <m/>
    <m/>
    <n v="10"/>
    <s v="R"/>
    <s v="R2TETN117KA"/>
    <s v="氮氧化物尾气处理间（2）NOX浓度高于10mg/m3高高报警"/>
    <n v="5"/>
    <s v="R"/>
    <s v="R2TETN116KA"/>
    <s v="氮氧化物尾气处理间（2）NOX浓度高于5mg/m3高报警"/>
    <m/>
    <m/>
    <m/>
    <m/>
    <m/>
    <m/>
    <m/>
    <m/>
    <m/>
    <m/>
    <m/>
    <m/>
    <m/>
    <m/>
    <m/>
    <m/>
    <n v="5"/>
    <n v="1"/>
    <m/>
    <n v="2"/>
    <m/>
  </r>
  <r>
    <n v="948"/>
    <s v="2TETN004HXT"/>
    <s v="2AT-TETN009OG"/>
    <m/>
    <s v="R2ATTETN009OG"/>
    <s v="氮氧化物尾气处理间（2）NOX浓度"/>
    <s v="TETN"/>
    <s v="1812-B1132YKS08-001_034"/>
    <x v="3"/>
    <s v="AI216"/>
    <x v="17"/>
    <s v="2TEKC005AR109AI"/>
    <n v="1"/>
    <x v="6"/>
    <x v="4"/>
    <n v="9"/>
    <m/>
    <s v="TB241"/>
    <s v="109BN"/>
    <s v="5A"/>
    <s v="5C"/>
    <s v="--"/>
    <s v="--"/>
    <s v="NR"/>
    <s v="NA"/>
    <s v="AI"/>
    <s v="4~20mA"/>
    <s v="USER(提供24VDC)"/>
    <s v="AI2"/>
    <s v="四线制"/>
    <s v="mg/m3"/>
    <n v="0"/>
    <n v="20"/>
    <m/>
    <m/>
    <m/>
    <m/>
    <m/>
    <m/>
    <m/>
    <s v="A"/>
    <m/>
    <m/>
    <s v="15W"/>
    <m/>
    <m/>
    <m/>
    <m/>
    <m/>
    <m/>
    <m/>
    <m/>
    <m/>
    <m/>
    <n v="10"/>
    <s v="R"/>
    <s v="R2TETN119KA"/>
    <s v="氮氧化物尾气处理间（2）NOX浓度高于10mg/m3高高报警"/>
    <n v="5"/>
    <s v="R"/>
    <s v="R2TETN118KA"/>
    <s v="氮氧化物尾气处理间（2）NOX浓度高于5mg/m3高报警"/>
    <m/>
    <m/>
    <m/>
    <m/>
    <m/>
    <m/>
    <m/>
    <m/>
    <m/>
    <m/>
    <m/>
    <m/>
    <m/>
    <m/>
    <m/>
    <m/>
    <n v="5"/>
    <n v="1"/>
    <m/>
    <n v="2"/>
    <m/>
  </r>
  <r>
    <n v="949"/>
    <s v="2TETN004HXT"/>
    <s v="2AT-TETN010OG"/>
    <m/>
    <s v="R2ATTETN010OG"/>
    <s v="氮氧化物尾气处理间（2）NOX浓度"/>
    <s v="TETN"/>
    <s v="1812-B1132YKS08-001_034"/>
    <x v="3"/>
    <s v="AI216"/>
    <x v="17"/>
    <s v="2TEKC005AR109AI"/>
    <n v="1"/>
    <x v="6"/>
    <x v="5"/>
    <n v="9"/>
    <m/>
    <s v="TB241"/>
    <s v="109BN"/>
    <s v="6A"/>
    <s v="6C"/>
    <s v="--"/>
    <s v="--"/>
    <s v="NR"/>
    <s v="NA"/>
    <s v="AI"/>
    <s v="4~20mA"/>
    <s v="USER(提供24VDC)"/>
    <s v="AI2"/>
    <s v="四线制"/>
    <s v="mg/m3"/>
    <n v="0"/>
    <n v="20"/>
    <m/>
    <m/>
    <m/>
    <m/>
    <m/>
    <m/>
    <m/>
    <s v="A"/>
    <m/>
    <m/>
    <s v="15W"/>
    <m/>
    <m/>
    <m/>
    <m/>
    <m/>
    <m/>
    <m/>
    <m/>
    <m/>
    <m/>
    <n v="10"/>
    <s v="R"/>
    <s v="R2TETN121KA"/>
    <s v="氮氧化物尾气处理间（2）NOX浓度高于10mg/m3高高报警"/>
    <n v="5"/>
    <s v="R"/>
    <s v="R2TETN120KA"/>
    <s v="氮氧化物尾气处理间（2）NOX浓度高于5mg/m3高报警"/>
    <m/>
    <m/>
    <m/>
    <m/>
    <m/>
    <m/>
    <m/>
    <m/>
    <m/>
    <m/>
    <m/>
    <m/>
    <m/>
    <m/>
    <m/>
    <m/>
    <n v="5"/>
    <n v="1"/>
    <m/>
    <n v="2"/>
    <m/>
  </r>
  <r>
    <n v="950"/>
    <s v="备用"/>
    <s v="2TEKC005AR109AICH07"/>
    <m/>
    <s v="R2TEKC005AR109AICH07"/>
    <s v="备用"/>
    <s v="TETN"/>
    <m/>
    <x v="3"/>
    <s v="AI216"/>
    <x v="17"/>
    <s v="2TEKC005AR109AI"/>
    <n v="1"/>
    <x v="6"/>
    <x v="6"/>
    <n v="9"/>
    <m/>
    <s v="TB241"/>
    <s v="109BN"/>
    <s v="7A"/>
    <s v="7C"/>
    <s v="--"/>
    <s v="--"/>
    <s v="NR"/>
    <s v="NA"/>
    <s v="AI"/>
    <s v="4~20mA"/>
    <s v="USER(提供24VDC)"/>
    <s v="AI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51"/>
    <s v="备用"/>
    <s v="2TEKC005AR109AICH08"/>
    <m/>
    <s v="R2TEKC005AR109AICH08"/>
    <s v="备用"/>
    <s v="TETN"/>
    <m/>
    <x v="3"/>
    <s v="AI216"/>
    <x v="17"/>
    <s v="2TEKC005AR109AI"/>
    <n v="1"/>
    <x v="6"/>
    <x v="7"/>
    <n v="9"/>
    <m/>
    <s v="TB241"/>
    <s v="109BN"/>
    <s v="8A"/>
    <s v="8C"/>
    <s v="--"/>
    <s v="--"/>
    <s v="NR"/>
    <s v="NA"/>
    <s v="AI"/>
    <s v="4~20mA"/>
    <s v="USER(提供24VDC)"/>
    <s v="AI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52"/>
    <s v="2TETN004HXT"/>
    <s v="2AT-TETN011OG"/>
    <m/>
    <s v="R2ATTETN011OG"/>
    <s v="氮氧化物尾气处理间（2）NOX浓度"/>
    <s v="TETN"/>
    <s v="1812-B1132YKS08-001_034"/>
    <x v="3"/>
    <s v="AI216"/>
    <x v="38"/>
    <s v="2TEKC005AR110AI"/>
    <n v="1"/>
    <x v="8"/>
    <x v="0"/>
    <n v="10"/>
    <m/>
    <s v="TB241"/>
    <s v="110BN"/>
    <s v="1A"/>
    <s v="1C"/>
    <s v="--"/>
    <s v="--"/>
    <s v="NR"/>
    <s v="NA"/>
    <s v="AI"/>
    <s v="4~20mA"/>
    <s v="USER(提供24VDC)"/>
    <s v="AI2"/>
    <s v="四线制"/>
    <s v="mg/m3"/>
    <n v="0"/>
    <n v="20"/>
    <m/>
    <m/>
    <m/>
    <m/>
    <m/>
    <m/>
    <m/>
    <s v="A"/>
    <m/>
    <m/>
    <s v="15W"/>
    <m/>
    <m/>
    <m/>
    <m/>
    <m/>
    <m/>
    <m/>
    <m/>
    <m/>
    <m/>
    <n v="10"/>
    <s v="R"/>
    <s v="R2TETN123KA"/>
    <s v="氮氧化物尾气处理间（2）NOX浓度高于10mg/m3高高报警"/>
    <n v="5"/>
    <s v="R"/>
    <s v="R2TETN122KA"/>
    <s v="氮氧化物尾气处理间（2）NOX浓度高于5mg/m3高报警"/>
    <m/>
    <m/>
    <m/>
    <m/>
    <m/>
    <m/>
    <m/>
    <m/>
    <m/>
    <m/>
    <m/>
    <m/>
    <m/>
    <m/>
    <m/>
    <m/>
    <n v="5"/>
    <n v="1"/>
    <m/>
    <n v="2"/>
    <m/>
  </r>
  <r>
    <n v="953"/>
    <s v="2TETN004HXT"/>
    <s v="2AT-TETN012OG"/>
    <m/>
    <s v="R2ATTETN012OG"/>
    <s v="氮氧化物尾气处理间（2）NOX浓度"/>
    <s v="TETN"/>
    <s v="1812-B1132YKS08-001_035"/>
    <x v="3"/>
    <s v="AI216"/>
    <x v="38"/>
    <s v="2TEKC005AR110AI"/>
    <n v="1"/>
    <x v="8"/>
    <x v="1"/>
    <n v="10"/>
    <m/>
    <s v="TB241"/>
    <s v="110BN"/>
    <s v="2A"/>
    <s v="2C"/>
    <s v="--"/>
    <s v="--"/>
    <s v="NR"/>
    <s v="NA"/>
    <s v="AI"/>
    <s v="4~20mA"/>
    <s v="USER(提供24VDC)"/>
    <s v="AI2"/>
    <s v="四线制"/>
    <s v="mg/m3"/>
    <n v="0"/>
    <n v="20"/>
    <m/>
    <m/>
    <m/>
    <m/>
    <m/>
    <m/>
    <m/>
    <s v="A"/>
    <m/>
    <m/>
    <s v="15W"/>
    <m/>
    <m/>
    <m/>
    <m/>
    <m/>
    <m/>
    <m/>
    <m/>
    <m/>
    <m/>
    <n v="10"/>
    <s v="R"/>
    <s v="R2TETN125KA"/>
    <s v="氮氧化物尾气处理间（2）NOX浓度高于10mg/m3高高报警"/>
    <n v="5"/>
    <s v="R"/>
    <s v="R2TETN124KA"/>
    <s v="氮氧化物尾气处理间（2）NOX浓度高于5mg/m3高报警"/>
    <m/>
    <m/>
    <m/>
    <m/>
    <m/>
    <m/>
    <m/>
    <m/>
    <m/>
    <m/>
    <m/>
    <m/>
    <m/>
    <m/>
    <m/>
    <m/>
    <n v="5"/>
    <n v="1"/>
    <m/>
    <n v="2"/>
    <m/>
  </r>
  <r>
    <n v="954"/>
    <s v="2TETN004HXT"/>
    <s v="2AT-TETN013OG"/>
    <m/>
    <s v="R2ATTETN013OG"/>
    <s v="工艺引风机房NOX浓度"/>
    <s v="TETN"/>
    <s v="1812-B1132YKS08-001_035"/>
    <x v="3"/>
    <s v="AI216"/>
    <x v="38"/>
    <s v="2TEKC005AR110AI"/>
    <n v="1"/>
    <x v="8"/>
    <x v="2"/>
    <n v="10"/>
    <m/>
    <s v="TB241"/>
    <s v="110BN"/>
    <s v="3A"/>
    <s v="3C"/>
    <s v="--"/>
    <s v="--"/>
    <s v="NR"/>
    <s v="NA"/>
    <s v="AI"/>
    <s v="4~20mA"/>
    <s v="USER(提供24VDC)"/>
    <s v="AI2"/>
    <s v="四线制"/>
    <s v="mg/m3"/>
    <n v="0"/>
    <n v="20"/>
    <m/>
    <m/>
    <m/>
    <m/>
    <m/>
    <m/>
    <m/>
    <s v="A"/>
    <m/>
    <m/>
    <s v="15W"/>
    <m/>
    <m/>
    <m/>
    <m/>
    <m/>
    <m/>
    <m/>
    <m/>
    <m/>
    <m/>
    <n v="10"/>
    <s v="R"/>
    <s v="R2TETN127KA"/>
    <s v="工艺引风机房NOX浓度高于10mg/m3高高报警"/>
    <n v="5"/>
    <s v="R"/>
    <s v="R2TETN126KA"/>
    <s v="工艺引风机房NOX浓度高于5mg/m3高报警"/>
    <m/>
    <m/>
    <m/>
    <m/>
    <m/>
    <m/>
    <m/>
    <m/>
    <m/>
    <m/>
    <m/>
    <m/>
    <m/>
    <m/>
    <m/>
    <m/>
    <n v="5"/>
    <n v="1"/>
    <m/>
    <n v="2"/>
    <m/>
  </r>
  <r>
    <n v="955"/>
    <s v="2TETN002HXT"/>
    <s v="2AT-TETN001OG"/>
    <m/>
    <s v="R2ATTETN001OG"/>
    <s v="氮氧化物尾气进口管线NOX浓度"/>
    <s v="TETN"/>
    <s v="1812-B1132YKS08-001_032"/>
    <x v="3"/>
    <s v="AI216"/>
    <x v="38"/>
    <s v="2TEKC005AR110AI"/>
    <n v="1"/>
    <x v="8"/>
    <x v="3"/>
    <n v="10"/>
    <m/>
    <s v="TB241"/>
    <s v="110BN"/>
    <s v="4A"/>
    <s v="4C"/>
    <s v="--"/>
    <s v="--"/>
    <s v="NR"/>
    <s v="NA"/>
    <s v="AI"/>
    <s v="4~20mA"/>
    <s v="USER(提供220VAC)"/>
    <s v="AI3"/>
    <s v="四线制"/>
    <s v="g/m3"/>
    <n v="0"/>
    <n v="300"/>
    <m/>
    <m/>
    <m/>
    <m/>
    <m/>
    <m/>
    <m/>
    <s v="A"/>
    <m/>
    <m/>
    <s v="800W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1"/>
    <m/>
  </r>
  <r>
    <n v="956"/>
    <s v="2TETN005HXT"/>
    <s v="2AT-TETN002OG"/>
    <m/>
    <s v="R2ATTETN002OG"/>
    <s v="2TETN001/002ZV出口管线NOX浓度"/>
    <s v="TETN"/>
    <s v="1812-B1132YKS08-001_032"/>
    <x v="3"/>
    <s v="AI216"/>
    <x v="38"/>
    <s v="2TEKC005AR110AI"/>
    <n v="1"/>
    <x v="8"/>
    <x v="4"/>
    <n v="10"/>
    <m/>
    <s v="TB241"/>
    <s v="110BN"/>
    <s v="5A"/>
    <s v="5C"/>
    <s v="--"/>
    <s v="--"/>
    <s v="NR"/>
    <s v="NA"/>
    <s v="AI"/>
    <s v="4~20mA"/>
    <s v="USER(提供220VAC)"/>
    <s v="AI3"/>
    <s v="四线制"/>
    <s v="mg/m3"/>
    <n v="0"/>
    <n v="3000"/>
    <m/>
    <m/>
    <m/>
    <m/>
    <m/>
    <m/>
    <m/>
    <s v="A"/>
    <m/>
    <m/>
    <s v="800W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1"/>
    <m/>
  </r>
  <r>
    <n v="957"/>
    <s v="2TETN008HXT"/>
    <s v="2AT-TETN014OG"/>
    <m/>
    <s v="R2ATTETN014OG"/>
    <s v="2TETN003/004ZV出口管线NOX浓度"/>
    <s v="TETN"/>
    <s v="1812-B1132YKS08-001-030"/>
    <x v="3"/>
    <s v="AI216"/>
    <x v="38"/>
    <s v="2TEKC005AR110AI"/>
    <n v="1"/>
    <x v="8"/>
    <x v="5"/>
    <n v="10"/>
    <m/>
    <s v="TB241"/>
    <s v="110BN"/>
    <s v="6A"/>
    <s v="6C"/>
    <s v="--"/>
    <s v="--"/>
    <s v="NR"/>
    <s v="NA"/>
    <s v="AI"/>
    <s v="4~20mA"/>
    <s v="USER(提供220VAC)"/>
    <s v="AI3"/>
    <s v="四线制"/>
    <s v="mg/m3"/>
    <n v="0"/>
    <n v="3000"/>
    <m/>
    <m/>
    <m/>
    <m/>
    <m/>
    <m/>
    <m/>
    <s v="A"/>
    <m/>
    <m/>
    <s v="800W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1"/>
    <m/>
  </r>
  <r>
    <n v="958"/>
    <s v="备用"/>
    <s v="2TEKC005AR110AICH07"/>
    <m/>
    <s v="R2TEKC005AR110AICH07"/>
    <s v="备用"/>
    <s v="TETN"/>
    <m/>
    <x v="3"/>
    <s v="AI216"/>
    <x v="38"/>
    <s v="2TEKC005AR110AI"/>
    <n v="1"/>
    <x v="8"/>
    <x v="6"/>
    <n v="10"/>
    <m/>
    <s v="TB241"/>
    <s v="110BN"/>
    <s v="7A"/>
    <s v="7C"/>
    <s v="--"/>
    <s v="--"/>
    <s v="NR"/>
    <s v="NA"/>
    <s v="AI"/>
    <s v="4~20mA"/>
    <s v="USER(提供220VAC)"/>
    <s v="AI3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59"/>
    <s v="备用"/>
    <s v="2TEKC005AR110AICH08"/>
    <m/>
    <s v="R2TEKC005AR110AICH08"/>
    <s v="备用"/>
    <s v="TETN"/>
    <m/>
    <x v="3"/>
    <s v="AI216"/>
    <x v="38"/>
    <s v="2TEKC005AR110AI"/>
    <n v="1"/>
    <x v="8"/>
    <x v="7"/>
    <n v="10"/>
    <m/>
    <s v="TB241"/>
    <s v="110BN"/>
    <s v="8A"/>
    <s v="8C"/>
    <s v="--"/>
    <s v="--"/>
    <s v="NR"/>
    <s v="NA"/>
    <s v="AI"/>
    <s v="4~20mA"/>
    <s v="USER(提供220VAC)"/>
    <s v="AI3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60"/>
    <m/>
    <s v="2TETN-001BA-JBQ"/>
    <s v="FW"/>
    <s v="R2TETN001BAJBQ_FW"/>
    <s v="2TETN-001BA-搅拌器转速反馈"/>
    <s v="TETN"/>
    <s v="1812-B1132YKS08-001_040"/>
    <x v="3"/>
    <s v="AI216"/>
    <x v="19"/>
    <s v="2TEKC005AR201AI"/>
    <n v="2"/>
    <x v="5"/>
    <x v="0"/>
    <n v="11"/>
    <m/>
    <s v="TB241"/>
    <s v="201BN"/>
    <s v="1A"/>
    <s v="1C"/>
    <s v="--"/>
    <s v="--"/>
    <s v="NR"/>
    <s v="NA"/>
    <s v="AI"/>
    <s v="4~20mA"/>
    <s v="USER"/>
    <s v="AI4"/>
    <m/>
    <s v="r/min"/>
    <n v="0"/>
    <n v="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0"/>
    <m/>
  </r>
  <r>
    <n v="961"/>
    <m/>
    <s v="2TETN-001BA-SSJ"/>
    <s v="FW"/>
    <s v="R2TETN001BASSJ_FW"/>
    <s v="2TETN-001BA-输送机转速反馈"/>
    <s v="TETN"/>
    <s v="1812-B1132YKS08-001_040"/>
    <x v="3"/>
    <s v="AI216"/>
    <x v="19"/>
    <s v="2TEKC005AR201AI"/>
    <n v="2"/>
    <x v="5"/>
    <x v="1"/>
    <n v="11"/>
    <m/>
    <s v="TB241"/>
    <s v="201BN"/>
    <s v="2A"/>
    <s v="2C"/>
    <s v="--"/>
    <s v="--"/>
    <s v="NR"/>
    <s v="NA"/>
    <s v="AI"/>
    <s v="4~20mA"/>
    <s v="USER"/>
    <s v="AI4"/>
    <m/>
    <s v="r/min"/>
    <n v="0"/>
    <n v="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0"/>
    <m/>
  </r>
  <r>
    <n v="962"/>
    <m/>
    <s v="2TENT-001ZV"/>
    <s v="FW"/>
    <s v="R2TENT001ZV_FW"/>
    <s v="风机2TENT-001ZV转速反馈"/>
    <s v="TETN"/>
    <s v="1812-B1132YKS08-001_040"/>
    <x v="3"/>
    <s v="AI216"/>
    <x v="19"/>
    <s v="2TEKC005AR201AI"/>
    <n v="2"/>
    <x v="5"/>
    <x v="2"/>
    <n v="11"/>
    <m/>
    <s v="TB241"/>
    <s v="201BN"/>
    <s v="3A"/>
    <s v="3C"/>
    <s v="--"/>
    <s v="--"/>
    <s v="NR"/>
    <s v="NA"/>
    <s v="AI"/>
    <s v="4~20mA"/>
    <s v="USER"/>
    <s v="AI4"/>
    <m/>
    <s v="r/min"/>
    <n v="0"/>
    <n v="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0"/>
    <m/>
  </r>
  <r>
    <n v="963"/>
    <m/>
    <s v="2TENT-002ZV"/>
    <s v="FW"/>
    <s v="R2TENT002ZV_FW"/>
    <s v="风机2TENT-002ZV转速反馈"/>
    <s v="TETN"/>
    <s v="1812-B1132YKS08-001_041"/>
    <x v="3"/>
    <s v="AI216"/>
    <x v="19"/>
    <s v="2TEKC005AR201AI"/>
    <n v="2"/>
    <x v="5"/>
    <x v="3"/>
    <n v="11"/>
    <m/>
    <s v="TB241"/>
    <s v="201BN"/>
    <s v="4A"/>
    <s v="4C"/>
    <s v="--"/>
    <s v="--"/>
    <s v="NR"/>
    <s v="NA"/>
    <s v="AI"/>
    <s v="4~20mA"/>
    <s v="USER"/>
    <s v="AI4"/>
    <m/>
    <s v="r/min"/>
    <n v="0"/>
    <n v="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0"/>
    <m/>
  </r>
  <r>
    <n v="964"/>
    <m/>
    <s v="2TENT-003ZV"/>
    <s v="FW"/>
    <s v="R2TENT003ZV_FW"/>
    <s v="风机2TENT-003ZV转速反馈"/>
    <s v="TETN"/>
    <s v="1812-B1132YKS08-001_041"/>
    <x v="3"/>
    <s v="AI216"/>
    <x v="19"/>
    <s v="2TEKC005AR201AI"/>
    <n v="2"/>
    <x v="5"/>
    <x v="4"/>
    <n v="11"/>
    <m/>
    <s v="TB241"/>
    <s v="201BN"/>
    <s v="5A"/>
    <s v="5C"/>
    <s v="--"/>
    <s v="--"/>
    <s v="NR"/>
    <s v="NA"/>
    <s v="AI"/>
    <s v="4~20mA"/>
    <s v="USER"/>
    <s v="AI4"/>
    <m/>
    <s v="r/min"/>
    <n v="0"/>
    <n v="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0"/>
    <m/>
  </r>
  <r>
    <n v="965"/>
    <m/>
    <s v="2TENT-004ZV"/>
    <s v="FW"/>
    <s v="R2TENT004ZV_FW"/>
    <s v="风机2TENT-004ZV转速反馈"/>
    <s v="TETN"/>
    <s v="1812-B1132YKS08-001_041"/>
    <x v="3"/>
    <s v="AI216"/>
    <x v="19"/>
    <s v="2TEKC005AR201AI"/>
    <n v="2"/>
    <x v="5"/>
    <x v="5"/>
    <n v="11"/>
    <m/>
    <s v="TB241"/>
    <s v="201BN"/>
    <s v="6A"/>
    <s v="6C"/>
    <s v="--"/>
    <s v="--"/>
    <s v="NR"/>
    <s v="NA"/>
    <s v="AI"/>
    <s v="4~20mA"/>
    <s v="USER"/>
    <s v="AI4"/>
    <m/>
    <s v="r/min"/>
    <n v="0"/>
    <n v="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0"/>
    <m/>
  </r>
  <r>
    <n v="966"/>
    <s v="备用"/>
    <s v="2TEKC005AR201AICH07"/>
    <m/>
    <s v="R2TEKC005AR201AICH07"/>
    <s v="备用"/>
    <s v="TETN"/>
    <m/>
    <x v="3"/>
    <s v="AI216"/>
    <x v="19"/>
    <s v="2TEKC005AR201AI"/>
    <n v="2"/>
    <x v="5"/>
    <x v="6"/>
    <n v="11"/>
    <m/>
    <s v="TB241"/>
    <s v="201BN"/>
    <s v="7A"/>
    <s v="7C"/>
    <s v="--"/>
    <s v="--"/>
    <s v="NR"/>
    <s v="NA"/>
    <s v="AI"/>
    <s v="4~20mA"/>
    <s v="USER"/>
    <s v="AI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67"/>
    <s v="备用"/>
    <s v="2TEKC005AR201AICH08"/>
    <m/>
    <s v="R2TEKC005AR201AICH08"/>
    <s v="备用"/>
    <s v="TETN"/>
    <m/>
    <x v="3"/>
    <s v="AI216"/>
    <x v="19"/>
    <s v="2TEKC005AR201AI"/>
    <n v="2"/>
    <x v="5"/>
    <x v="7"/>
    <n v="11"/>
    <m/>
    <s v="TB241"/>
    <s v="201BN"/>
    <s v="8A"/>
    <s v="8C"/>
    <s v="--"/>
    <s v="--"/>
    <s v="NR"/>
    <s v="NA"/>
    <s v="AI"/>
    <s v="4~20mA"/>
    <s v="USER"/>
    <s v="AI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68"/>
    <s v="2TETN004HXT"/>
    <s v="2TETN-606VAM"/>
    <s v="TJ"/>
    <s v="R2TETN606VAM_TJ"/>
    <s v="气动调节阀0-100%开度调节"/>
    <s v="TETN"/>
    <s v="1812-B1132YKS08-001_037"/>
    <x v="3"/>
    <s v="AO211"/>
    <x v="47"/>
    <s v="2TEKC005AR202AO"/>
    <n v="2"/>
    <x v="9"/>
    <x v="0"/>
    <n v="12"/>
    <m/>
    <s v="TB251"/>
    <s v="202BN"/>
    <s v="1B"/>
    <s v="1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69"/>
    <s v="2TETN005HXT"/>
    <s v="2TETN-608VAM"/>
    <s v="TJ"/>
    <s v="R2TETN608VAM_TJ"/>
    <s v="气动调节阀0-100%开度调节"/>
    <s v="TETN"/>
    <s v="1812-B1132YKS08-001_037"/>
    <x v="3"/>
    <s v="AO211"/>
    <x v="47"/>
    <s v="2TEKC005AR202AO"/>
    <n v="2"/>
    <x v="9"/>
    <x v="1"/>
    <n v="12"/>
    <m/>
    <s v="TB251"/>
    <s v="202BN"/>
    <s v="2B"/>
    <s v="2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70"/>
    <s v="2TETN006HXT"/>
    <s v="2TETN-610VAM"/>
    <s v="TJ"/>
    <s v="R2TETN610VAM_TJ"/>
    <s v="气动调节阀0-100%开度调节"/>
    <s v="TETN"/>
    <s v="1812-B1132YKS08-001_037"/>
    <x v="3"/>
    <s v="AO211"/>
    <x v="47"/>
    <s v="2TEKC005AR202AO"/>
    <n v="2"/>
    <x v="9"/>
    <x v="2"/>
    <n v="12"/>
    <m/>
    <s v="TB251"/>
    <s v="202BN"/>
    <s v="3B"/>
    <s v="3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71"/>
    <s v="2TETN007HXT"/>
    <s v="2TETN-612VAM"/>
    <s v="TJ"/>
    <s v="R2TETN612VAM_TJ"/>
    <s v="气动调节阀0-100%开度调节"/>
    <s v="TETN"/>
    <s v="1812-B1132YKS08-001_038"/>
    <x v="3"/>
    <s v="AO211"/>
    <x v="47"/>
    <s v="2TEKC005AR202AO"/>
    <n v="2"/>
    <x v="9"/>
    <x v="3"/>
    <n v="12"/>
    <m/>
    <s v="TB251"/>
    <s v="202BN"/>
    <s v="4B"/>
    <s v="4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72"/>
    <s v="2TETN007HXT"/>
    <s v="2TETN-614VAM"/>
    <s v="TJ"/>
    <s v="R2TETN614VAM_TJ"/>
    <s v="气动调节阀0-100%开度调节"/>
    <s v="TETN"/>
    <s v="1812-B1132YKS08-001_038"/>
    <x v="3"/>
    <s v="AO211"/>
    <x v="47"/>
    <s v="2TEKC005AR202AO"/>
    <n v="2"/>
    <x v="9"/>
    <x v="4"/>
    <n v="12"/>
    <m/>
    <s v="TB251"/>
    <s v="202BN"/>
    <s v="5B"/>
    <s v="5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73"/>
    <s v="2TETN008HXT"/>
    <s v="2TETN-616VAM"/>
    <s v="TJ"/>
    <s v="R2TETN616VAM_TJ"/>
    <s v="气动调节阀0-100%开度调节"/>
    <s v="TETN"/>
    <s v="1812-B1132YKS08-001_038"/>
    <x v="3"/>
    <s v="AO211"/>
    <x v="47"/>
    <s v="2TEKC005AR202AO"/>
    <n v="2"/>
    <x v="9"/>
    <x v="5"/>
    <n v="12"/>
    <m/>
    <s v="TB251"/>
    <s v="202BN"/>
    <s v="6B"/>
    <s v="6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74"/>
    <s v="备用"/>
    <s v="2TEKC005AR202AOCH07"/>
    <m/>
    <s v="R2TEKC005AR202AOCH07"/>
    <s v="备用"/>
    <s v="TETN"/>
    <m/>
    <x v="3"/>
    <s v="AO211"/>
    <x v="47"/>
    <s v="2TEKC005AR202AO"/>
    <n v="2"/>
    <x v="9"/>
    <x v="6"/>
    <n v="12"/>
    <m/>
    <s v="TB251"/>
    <s v="202BN"/>
    <s v="7B"/>
    <s v="7C"/>
    <s v="--"/>
    <s v="--"/>
    <s v="NR"/>
    <s v="NA"/>
    <s v="AO"/>
    <s v="4~20mA"/>
    <s v="DCS"/>
    <s v="A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75"/>
    <s v="备用"/>
    <s v="2TEKC005AR202AOCH08"/>
    <m/>
    <s v="R2TEKC005AR202AOCH08"/>
    <s v="备用"/>
    <s v="TETN"/>
    <m/>
    <x v="3"/>
    <s v="AO211"/>
    <x v="47"/>
    <s v="2TEKC005AR202AO"/>
    <n v="2"/>
    <x v="9"/>
    <x v="7"/>
    <n v="12"/>
    <m/>
    <s v="TB251"/>
    <s v="202BN"/>
    <s v="8B"/>
    <s v="8C"/>
    <s v="--"/>
    <s v="--"/>
    <s v="NR"/>
    <s v="NA"/>
    <s v="AO"/>
    <s v="4~20mA"/>
    <s v="DCS"/>
    <s v="A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76"/>
    <s v="2TETN003HXT"/>
    <s v="2TETN-664VAM"/>
    <s v="TJ"/>
    <s v="R2TETN664VAM_TJ"/>
    <s v="气动调节阀0-100%开度调节"/>
    <s v="TETN"/>
    <s v="1812-B1132YKS08-001_039"/>
    <x v="3"/>
    <s v="AO211"/>
    <x v="39"/>
    <s v="2TEKC005AR203AO"/>
    <n v="2"/>
    <x v="0"/>
    <x v="0"/>
    <n v="13"/>
    <m/>
    <s v="TB251"/>
    <s v="203BN"/>
    <s v="1B"/>
    <s v="1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77"/>
    <s v="2TETN006HXT"/>
    <s v="2TETN-666VAM"/>
    <s v="TJ"/>
    <s v="R2TETN666VAM_TJ"/>
    <s v="气动调节阀0-100%开度调节"/>
    <s v="TETN"/>
    <s v="1812-B1132YKS08-001_039"/>
    <x v="3"/>
    <s v="AO211"/>
    <x v="39"/>
    <s v="2TEKC005AR203AO"/>
    <n v="2"/>
    <x v="0"/>
    <x v="1"/>
    <n v="13"/>
    <m/>
    <s v="TB251"/>
    <s v="203BN"/>
    <s v="2B"/>
    <s v="2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78"/>
    <m/>
    <s v="2TETN-600VAM"/>
    <s v="TJ"/>
    <s v="R2TETN600VAM_TJ"/>
    <s v="气动调节阀0-100%开度调节"/>
    <s v="TETN"/>
    <s v="1812-B1132YKS08-001_039"/>
    <x v="3"/>
    <s v="AO211"/>
    <x v="39"/>
    <s v="2TEKC005AR203AO"/>
    <n v="2"/>
    <x v="0"/>
    <x v="2"/>
    <n v="13"/>
    <m/>
    <s v="TB251"/>
    <s v="203BN"/>
    <s v="3B"/>
    <s v="3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79"/>
    <m/>
    <s v="2TETN-001BA-JBQ"/>
    <s v="TJ"/>
    <s v="R2TETN001BAJBQ_TJ"/>
    <s v="2TETN-001BA-搅拌器0~100%转速"/>
    <s v="TETN"/>
    <s v="1812-B1132YKS08-001_040"/>
    <x v="3"/>
    <s v="AO211"/>
    <x v="39"/>
    <s v="2TEKC005AR203AO"/>
    <n v="2"/>
    <x v="0"/>
    <x v="3"/>
    <n v="13"/>
    <m/>
    <s v="TB251"/>
    <s v="203BN"/>
    <s v="4B"/>
    <s v="4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80"/>
    <m/>
    <s v="2TETN-001BA-SSJ"/>
    <s v="TJ"/>
    <s v="R2TETN001BASSJ_TJ"/>
    <s v="2TETN-001BA-输送机0~100%转速"/>
    <s v="TETN"/>
    <s v="1812-B1132YKS08-001_040"/>
    <x v="3"/>
    <s v="AO211"/>
    <x v="39"/>
    <s v="2TEKC005AR203AO"/>
    <n v="2"/>
    <x v="0"/>
    <x v="4"/>
    <n v="13"/>
    <m/>
    <s v="TB251"/>
    <s v="203BN"/>
    <s v="5B"/>
    <s v="5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81"/>
    <m/>
    <s v="2TENT-001ZV"/>
    <s v="TJ"/>
    <s v="R2TENT001ZV_TJ"/>
    <s v="风机2TENT-001ZV0-100%转速"/>
    <s v="TETN"/>
    <s v="1812-B1132YKS08-001_040"/>
    <x v="3"/>
    <s v="AO211"/>
    <x v="39"/>
    <s v="2TEKC005AR203AO"/>
    <n v="2"/>
    <x v="0"/>
    <x v="5"/>
    <n v="13"/>
    <m/>
    <s v="TB251"/>
    <s v="203BN"/>
    <s v="6B"/>
    <s v="6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82"/>
    <s v="备用"/>
    <s v="2TEKC005AR203AOCH07"/>
    <m/>
    <s v="R2TEKC005AR203AOCH07"/>
    <s v="备用"/>
    <s v="TETN"/>
    <m/>
    <x v="3"/>
    <s v="AO211"/>
    <x v="39"/>
    <s v="2TEKC005AR203AO"/>
    <n v="2"/>
    <x v="0"/>
    <x v="6"/>
    <n v="13"/>
    <m/>
    <s v="TB251"/>
    <s v="203BN"/>
    <s v="7B"/>
    <s v="7C"/>
    <s v="--"/>
    <s v="--"/>
    <s v="NR"/>
    <s v="NA"/>
    <s v="AO"/>
    <s v="4~20mA"/>
    <s v="DCS"/>
    <s v="A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83"/>
    <s v="备用"/>
    <s v="2TEKC005AR203AOCH08"/>
    <m/>
    <s v="R2TEKC005AR203AOCH08"/>
    <s v="备用"/>
    <s v="TETN"/>
    <m/>
    <x v="3"/>
    <s v="AO211"/>
    <x v="39"/>
    <s v="2TEKC005AR203AO"/>
    <n v="2"/>
    <x v="0"/>
    <x v="7"/>
    <n v="13"/>
    <m/>
    <s v="TB251"/>
    <s v="203BN"/>
    <s v="8B"/>
    <s v="8C"/>
    <s v="--"/>
    <s v="--"/>
    <s v="NR"/>
    <s v="NA"/>
    <s v="AO"/>
    <s v="4~20mA"/>
    <s v="DCS"/>
    <s v="A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84"/>
    <m/>
    <s v="2TENT-002ZV"/>
    <s v="TJ"/>
    <s v="R2TENT002ZV_TJ"/>
    <s v="风机2TENT-002ZV0-100%转速"/>
    <s v="TETN"/>
    <s v="1812-B1132YKS08-001_041"/>
    <x v="3"/>
    <s v="AO211"/>
    <x v="48"/>
    <s v="2TEKC005AR204AO"/>
    <n v="2"/>
    <x v="1"/>
    <x v="0"/>
    <n v="14"/>
    <m/>
    <s v="TB251"/>
    <s v="204BN"/>
    <s v="1B"/>
    <s v="1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85"/>
    <m/>
    <s v="2TENT-003ZV"/>
    <s v="TJ"/>
    <s v="R2TENT003ZV_TJ"/>
    <s v="风机2TENT-003ZV0-100%转速"/>
    <s v="TETN"/>
    <s v="1812-B1132YKS08-001_041"/>
    <x v="3"/>
    <s v="AO211"/>
    <x v="48"/>
    <s v="2TEKC005AR204AO"/>
    <n v="2"/>
    <x v="1"/>
    <x v="1"/>
    <n v="14"/>
    <m/>
    <s v="TB251"/>
    <s v="204BN"/>
    <s v="2B"/>
    <s v="2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86"/>
    <m/>
    <s v="2TENT-004ZV"/>
    <s v="TJ"/>
    <s v="R2TENT004ZV_TJ"/>
    <s v="风机2TENT-004ZV0-100%转速"/>
    <s v="TETN"/>
    <s v="1812-B1132YKS08-001_041"/>
    <x v="3"/>
    <s v="AO211"/>
    <x v="48"/>
    <s v="2TEKC005AR204AO"/>
    <n v="2"/>
    <x v="1"/>
    <x v="2"/>
    <n v="14"/>
    <m/>
    <s v="TB251"/>
    <s v="204BN"/>
    <s v="3B"/>
    <s v="3C"/>
    <s v="--"/>
    <s v="--"/>
    <s v="NR"/>
    <s v="NA"/>
    <s v="AO"/>
    <s v="4~20mA"/>
    <s v="DCS"/>
    <s v="AO1"/>
    <m/>
    <s v="%"/>
    <n v="0"/>
    <n v="100"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n v="2"/>
    <m/>
  </r>
  <r>
    <n v="987"/>
    <s v="备用"/>
    <s v="2TEKC005AR204AOCH04"/>
    <m/>
    <s v="R2TEKC005AR204AOCH04"/>
    <s v="备用"/>
    <s v="TETN"/>
    <m/>
    <x v="3"/>
    <s v="AO211"/>
    <x v="48"/>
    <s v="2TEKC005AR204AO"/>
    <n v="2"/>
    <x v="1"/>
    <x v="3"/>
    <n v="14"/>
    <m/>
    <s v="TB251"/>
    <s v="204BN"/>
    <s v="4B"/>
    <s v="4C"/>
    <s v="--"/>
    <s v="--"/>
    <s v="NR"/>
    <s v="NA"/>
    <s v="AO"/>
    <s v="4~20mA"/>
    <s v="DCS"/>
    <s v="A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88"/>
    <s v="备用"/>
    <s v="2TEKC005AR204AOCH05"/>
    <m/>
    <s v="R2TEKC005AR204AOCH05"/>
    <s v="备用"/>
    <s v="TETN"/>
    <m/>
    <x v="3"/>
    <s v="AO211"/>
    <x v="48"/>
    <s v="2TEKC005AR204AO"/>
    <n v="2"/>
    <x v="1"/>
    <x v="4"/>
    <n v="14"/>
    <m/>
    <s v="TB251"/>
    <s v="204BN"/>
    <s v="5B"/>
    <s v="5C"/>
    <s v="--"/>
    <s v="--"/>
    <s v="NR"/>
    <s v="NA"/>
    <s v="AO"/>
    <s v="4~20mA"/>
    <s v="DCS"/>
    <s v="A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89"/>
    <s v="备用"/>
    <s v="2TEKC005AR204AOCH06"/>
    <m/>
    <s v="R2TEKC005AR204AOCH06"/>
    <s v="备用"/>
    <s v="TETN"/>
    <m/>
    <x v="3"/>
    <s v="AO211"/>
    <x v="48"/>
    <s v="2TEKC005AR204AO"/>
    <n v="2"/>
    <x v="1"/>
    <x v="5"/>
    <n v="14"/>
    <m/>
    <s v="TB251"/>
    <s v="204BN"/>
    <s v="6B"/>
    <s v="6C"/>
    <s v="--"/>
    <s v="--"/>
    <s v="NR"/>
    <s v="NA"/>
    <s v="AO"/>
    <s v="4~20mA"/>
    <s v="DCS"/>
    <s v="A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90"/>
    <s v="备用"/>
    <s v="2TEKC005AR204AOCH07"/>
    <m/>
    <s v="R2TEKC005AR204AOCH07"/>
    <s v="备用"/>
    <s v="TETN"/>
    <m/>
    <x v="3"/>
    <s v="AO211"/>
    <x v="48"/>
    <s v="2TEKC005AR204AO"/>
    <n v="2"/>
    <x v="1"/>
    <x v="6"/>
    <n v="14"/>
    <m/>
    <s v="TB251"/>
    <s v="204BN"/>
    <s v="7B"/>
    <s v="7C"/>
    <s v="--"/>
    <s v="--"/>
    <s v="NR"/>
    <s v="NA"/>
    <s v="AO"/>
    <s v="4~20mA"/>
    <s v="DCS"/>
    <s v="A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91"/>
    <s v="备用"/>
    <s v="2TEKC005AR204AOCH08"/>
    <m/>
    <s v="R2TEKC005AR204AOCH08"/>
    <s v="备用"/>
    <s v="TETN"/>
    <m/>
    <x v="3"/>
    <s v="AO211"/>
    <x v="48"/>
    <s v="2TEKC005AR204AO"/>
    <n v="2"/>
    <x v="1"/>
    <x v="7"/>
    <n v="14"/>
    <m/>
    <s v="TB251"/>
    <s v="204BN"/>
    <s v="8B"/>
    <s v="8C"/>
    <s v="--"/>
    <s v="--"/>
    <s v="NR"/>
    <s v="NA"/>
    <s v="AO"/>
    <s v="4~20mA"/>
    <s v="DCS"/>
    <s v="A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92"/>
    <m/>
    <s v="2TETN-001BA-JBQ"/>
    <s v="QF"/>
    <s v="R2TETN001BAJBQ_QF"/>
    <s v="2TETN-001BA-搅拌器启反馈"/>
    <s v="TETN"/>
    <s v="1812-B1132YKS07-001-118"/>
    <x v="3"/>
    <s v="DI211"/>
    <x v="41"/>
    <s v="2TEKC005AR205DI"/>
    <n v="2"/>
    <x v="2"/>
    <x v="0"/>
    <n v="15"/>
    <m/>
    <s v="TB222"/>
    <s v="205BN"/>
    <s v="1A"/>
    <s v="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93"/>
    <m/>
    <s v="2TETN-001BA-JBQ"/>
    <s v="TF"/>
    <s v="R2TETN001BAJBQ_TF"/>
    <s v="2TETN-001BA-搅拌器停反馈"/>
    <s v="TETN"/>
    <s v="1812-B1132YKS07-001-118"/>
    <x v="3"/>
    <s v="DI211"/>
    <x v="41"/>
    <s v="2TEKC005AR205DI"/>
    <n v="2"/>
    <x v="2"/>
    <x v="1"/>
    <n v="15"/>
    <m/>
    <s v="TB222"/>
    <s v="205BN"/>
    <s v="2A"/>
    <s v="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94"/>
    <m/>
    <s v="2TETN-001BA-JBQ"/>
    <s v="YC"/>
    <s v="R2TETN001BAJBQ_YC"/>
    <s v="2TETN-001BA-远程控制"/>
    <s v="TETN"/>
    <s v="1812-B1132YKS07-001-118"/>
    <x v="3"/>
    <s v="DI211"/>
    <x v="41"/>
    <s v="2TEKC005AR205DI"/>
    <n v="2"/>
    <x v="2"/>
    <x v="2"/>
    <n v="15"/>
    <m/>
    <s v="TB222"/>
    <s v="205BN"/>
    <s v="3A"/>
    <s v="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95"/>
    <m/>
    <s v="2TETN-001BA-JBQ"/>
    <s v="FS"/>
    <s v="R2TETN001BAJBQ_FS"/>
    <s v="2TETN-001BA-搅拌器故障"/>
    <s v="TETN"/>
    <s v="1812-B1132YKS07-001-118"/>
    <x v="3"/>
    <s v="DI211"/>
    <x v="41"/>
    <s v="2TEKC005AR205DI"/>
    <n v="2"/>
    <x v="2"/>
    <x v="3"/>
    <n v="15"/>
    <m/>
    <s v="TB222"/>
    <s v="205BN"/>
    <s v="4A"/>
    <s v="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96"/>
    <m/>
    <s v="2TETN-001BASSJ"/>
    <s v="QF"/>
    <s v="R2TETN001BASSJ_QF"/>
    <s v="2TETN-001BA-输送机启反馈"/>
    <s v="TETN"/>
    <s v="1812-B1132YKS07-001-119"/>
    <x v="3"/>
    <s v="DI211"/>
    <x v="41"/>
    <s v="2TEKC005AR205DI"/>
    <n v="2"/>
    <x v="2"/>
    <x v="4"/>
    <n v="15"/>
    <m/>
    <s v="TB222"/>
    <s v="205BN"/>
    <s v="5A"/>
    <s v="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97"/>
    <m/>
    <s v="2TETN-001BA-SSJ"/>
    <s v="TF"/>
    <s v="R2TETN001BASSJ_TF"/>
    <s v="2TETN-001BA-输送机停反馈"/>
    <s v="TETN"/>
    <s v="1812-B1132YKS07-001-119"/>
    <x v="3"/>
    <s v="DI211"/>
    <x v="41"/>
    <s v="2TEKC005AR205DI"/>
    <n v="2"/>
    <x v="2"/>
    <x v="5"/>
    <n v="15"/>
    <m/>
    <s v="TB222"/>
    <s v="205BN"/>
    <s v="6A"/>
    <s v="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98"/>
    <m/>
    <s v="2TETN-001BA-SSJ"/>
    <s v="FS"/>
    <s v="R2TETN001BASSJ_FS"/>
    <s v="2TETN-001BA-输送机故障"/>
    <s v="TETN"/>
    <s v="1812-B1132YKS07-001-119"/>
    <x v="3"/>
    <s v="DI211"/>
    <x v="41"/>
    <s v="2TEKC005AR205DI"/>
    <n v="2"/>
    <x v="2"/>
    <x v="6"/>
    <n v="15"/>
    <m/>
    <s v="TB222"/>
    <s v="205BN"/>
    <s v="7A"/>
    <s v="7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999"/>
    <m/>
    <s v="2TETN-001BA-SSJ"/>
    <s v="YC"/>
    <s v="R2TETN001BASSJ_YC"/>
    <s v="2TETN-001BA-远程控制"/>
    <s v="TETN"/>
    <s v="1812-B1132YKS07-001-119"/>
    <x v="3"/>
    <s v="DI211"/>
    <x v="41"/>
    <s v="2TEKC005AR205DI"/>
    <n v="2"/>
    <x v="2"/>
    <x v="7"/>
    <n v="15"/>
    <m/>
    <s v="TB222"/>
    <s v="205BN"/>
    <s v="8A"/>
    <s v="8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00"/>
    <s v="2TETN005HXT"/>
    <s v="2TENT-001ZV"/>
    <s v="QF"/>
    <s v="R2TENT001ZV_QF"/>
    <s v="风机2TENT-001ZV启反馈"/>
    <s v="TETN"/>
    <s v="1812-B1132YKS07-001-120"/>
    <x v="3"/>
    <s v="DI211"/>
    <x v="41"/>
    <s v="2TEKC005AR205DI"/>
    <n v="2"/>
    <x v="2"/>
    <x v="8"/>
    <n v="15"/>
    <m/>
    <s v="TB222"/>
    <s v="205BN"/>
    <s v="9A"/>
    <s v="9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01"/>
    <s v="2TETN005HXT"/>
    <s v="2TENT-001ZV"/>
    <s v="TF"/>
    <s v="R2TENT001ZV_TF"/>
    <s v="风机2TENT-001ZV停止反馈"/>
    <s v="TETN"/>
    <s v="1812-B1132YKS07-001-120"/>
    <x v="3"/>
    <s v="DI211"/>
    <x v="41"/>
    <s v="2TEKC005AR205DI"/>
    <n v="2"/>
    <x v="2"/>
    <x v="9"/>
    <n v="15"/>
    <m/>
    <s v="TB222"/>
    <s v="205BN"/>
    <s v="10A"/>
    <s v="10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02"/>
    <s v="2TETN005HXT"/>
    <s v="2TENT-001ZV"/>
    <s v="FS"/>
    <s v="R2TENT001ZV_FS"/>
    <s v="风机2TENT-001ZV故障"/>
    <s v="TETN"/>
    <s v="1812-B1132YKS07-001-120"/>
    <x v="3"/>
    <s v="DI211"/>
    <x v="41"/>
    <s v="2TEKC005AR205DI"/>
    <n v="2"/>
    <x v="2"/>
    <x v="10"/>
    <n v="15"/>
    <m/>
    <s v="TB222"/>
    <s v="205BN"/>
    <s v="11A"/>
    <s v="1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03"/>
    <s v="2TETN005HXT"/>
    <s v="2TENT-001ZV"/>
    <s v="YC"/>
    <s v="R2TENT001ZV_YC"/>
    <s v="风机2TENT-001ZV远程控制"/>
    <s v="TETN"/>
    <s v="1812-B1132YKS07-001-120"/>
    <x v="3"/>
    <s v="DI211"/>
    <x v="41"/>
    <s v="2TEKC005AR205DI"/>
    <n v="2"/>
    <x v="2"/>
    <x v="11"/>
    <n v="15"/>
    <m/>
    <s v="TB222"/>
    <s v="205BN"/>
    <s v="12A"/>
    <s v="1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04"/>
    <s v="备用"/>
    <s v="2TEKC005AR205DICH13"/>
    <m/>
    <s v="R2TEKC005AR205DICH13"/>
    <s v="备用"/>
    <s v="TETN"/>
    <m/>
    <x v="3"/>
    <s v="DI211"/>
    <x v="41"/>
    <s v="2TEKC005AR205DI"/>
    <n v="2"/>
    <x v="2"/>
    <x v="12"/>
    <n v="15"/>
    <m/>
    <s v="TB222"/>
    <s v="205BN"/>
    <s v="13A"/>
    <s v="1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05"/>
    <s v="备用"/>
    <s v="2TEKC005AR205DICH14"/>
    <m/>
    <s v="R2TEKC005AR205DICH14"/>
    <s v="备用"/>
    <s v="TETN"/>
    <m/>
    <x v="3"/>
    <s v="DI211"/>
    <x v="41"/>
    <s v="2TEKC005AR205DI"/>
    <n v="2"/>
    <x v="2"/>
    <x v="13"/>
    <n v="15"/>
    <m/>
    <s v="TB222"/>
    <s v="205BN"/>
    <s v="14A"/>
    <s v="1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06"/>
    <s v="备用"/>
    <s v="2TEKC005AR205DICH15"/>
    <m/>
    <s v="R2TEKC005AR205DICH15"/>
    <s v="备用"/>
    <s v="TETN"/>
    <m/>
    <x v="3"/>
    <s v="DI211"/>
    <x v="41"/>
    <s v="2TEKC005AR205DI"/>
    <n v="2"/>
    <x v="2"/>
    <x v="14"/>
    <n v="15"/>
    <m/>
    <s v="TB222"/>
    <s v="205BN"/>
    <s v="15A"/>
    <s v="1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07"/>
    <s v="备用"/>
    <s v="2TEKC005AR205DICH16"/>
    <m/>
    <s v="R2TEKC005AR205DICH16"/>
    <s v="备用"/>
    <s v="TETN"/>
    <m/>
    <x v="3"/>
    <s v="DI211"/>
    <x v="41"/>
    <s v="2TEKC005AR205DI"/>
    <n v="2"/>
    <x v="2"/>
    <x v="15"/>
    <n v="15"/>
    <m/>
    <s v="TB222"/>
    <s v="205BN"/>
    <s v="16A"/>
    <s v="1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08"/>
    <s v="2TETN005HXT"/>
    <s v="2TENT-002ZV"/>
    <s v="QF"/>
    <s v="R2TENT002ZV_QF"/>
    <s v="风机2TENT-002ZV启反馈"/>
    <s v="TETN"/>
    <s v="1812-B1132YKS07-001-121"/>
    <x v="3"/>
    <s v="DI211"/>
    <x v="42"/>
    <s v="2TEKC005AR206DI"/>
    <n v="2"/>
    <x v="3"/>
    <x v="0"/>
    <n v="16"/>
    <m/>
    <s v="TB222"/>
    <s v="206BN"/>
    <s v="1A"/>
    <s v="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09"/>
    <s v="2TETN005HXT"/>
    <s v="2TENT-002ZV"/>
    <s v="TF"/>
    <s v="R2TENT002ZV_TF"/>
    <s v="风机2TENT-002ZV停止反馈"/>
    <s v="TETN"/>
    <s v="1812-B1132YKS07-001-121"/>
    <x v="3"/>
    <s v="DI211"/>
    <x v="42"/>
    <s v="2TEKC005AR206DI"/>
    <n v="2"/>
    <x v="3"/>
    <x v="1"/>
    <n v="16"/>
    <m/>
    <s v="TB222"/>
    <s v="206BN"/>
    <s v="2A"/>
    <s v="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10"/>
    <s v="2TETN005HXT"/>
    <s v="2TENT-002ZV"/>
    <s v="FS"/>
    <s v="R2TENT002ZV_FS"/>
    <s v="风机2TENT-002ZV故障"/>
    <s v="TETN"/>
    <s v="1812-B1132YKS07-001-121"/>
    <x v="3"/>
    <s v="DI211"/>
    <x v="42"/>
    <s v="2TEKC005AR206DI"/>
    <n v="2"/>
    <x v="3"/>
    <x v="2"/>
    <n v="16"/>
    <m/>
    <s v="TB222"/>
    <s v="206BN"/>
    <s v="3A"/>
    <s v="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11"/>
    <s v="2TETN005HXT"/>
    <s v="2TENT-002ZV"/>
    <s v="YC"/>
    <s v="R2TENT002ZV_YC"/>
    <s v="风机2TENT-002ZV远程控制"/>
    <s v="TETN"/>
    <s v="1812-B1132YKS07-001-121"/>
    <x v="3"/>
    <s v="DI211"/>
    <x v="42"/>
    <s v="2TEKC005AR206DI"/>
    <n v="2"/>
    <x v="3"/>
    <x v="3"/>
    <n v="16"/>
    <m/>
    <s v="TB222"/>
    <s v="206BN"/>
    <s v="4A"/>
    <s v="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12"/>
    <s v="2TETN008HXT"/>
    <s v="2TENT-003ZV"/>
    <s v="QF"/>
    <s v="R2TENT003ZV_QF"/>
    <s v="风机2TENT-003ZV启反馈"/>
    <s v="TETN"/>
    <s v="1812-B1132YKS07-001-122"/>
    <x v="3"/>
    <s v="DI211"/>
    <x v="42"/>
    <s v="2TEKC005AR206DI"/>
    <n v="2"/>
    <x v="3"/>
    <x v="4"/>
    <n v="16"/>
    <m/>
    <s v="TB222"/>
    <s v="206BN"/>
    <s v="5A"/>
    <s v="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13"/>
    <s v="2TETN008HXT"/>
    <s v="2TENT-003ZV"/>
    <s v="TF"/>
    <s v="R2TENT003ZV_TF"/>
    <s v="风机2TENT-003ZV停止反馈"/>
    <s v="TETN"/>
    <s v="1812-B1132YKS07-001-122"/>
    <x v="3"/>
    <s v="DI211"/>
    <x v="42"/>
    <s v="2TEKC005AR206DI"/>
    <n v="2"/>
    <x v="3"/>
    <x v="5"/>
    <n v="16"/>
    <m/>
    <s v="TB222"/>
    <s v="206BN"/>
    <s v="6A"/>
    <s v="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14"/>
    <s v="2TETN008HXT"/>
    <s v="2TENT-003ZV"/>
    <s v="FS"/>
    <s v="R2TENT003ZV_FS"/>
    <s v="风机2TENT-003ZV故障"/>
    <s v="TETN"/>
    <s v="1812-B1132YKS07-001-122"/>
    <x v="3"/>
    <s v="DI211"/>
    <x v="42"/>
    <s v="2TEKC005AR206DI"/>
    <n v="2"/>
    <x v="3"/>
    <x v="6"/>
    <n v="16"/>
    <m/>
    <s v="TB222"/>
    <s v="206BN"/>
    <s v="7A"/>
    <s v="7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15"/>
    <s v="2TETN008HXT"/>
    <s v="2TENT-003ZV"/>
    <s v="YC"/>
    <s v="R2TENT003ZV_YC"/>
    <s v="风机2TENT-003ZV远程控制"/>
    <s v="TETN"/>
    <s v="1812-B1132YKS07-001-122"/>
    <x v="3"/>
    <s v="DI211"/>
    <x v="42"/>
    <s v="2TEKC005AR206DI"/>
    <n v="2"/>
    <x v="3"/>
    <x v="7"/>
    <n v="16"/>
    <m/>
    <s v="TB222"/>
    <s v="206BN"/>
    <s v="8A"/>
    <s v="8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16"/>
    <s v="2TETN008HXT"/>
    <s v="2TENT-004ZV"/>
    <s v="QF"/>
    <s v="R2TENT004ZV_QF"/>
    <s v="风机2TENT-004ZV启反馈"/>
    <s v="TETN"/>
    <s v="1812-B1132YKS07-001-123"/>
    <x v="3"/>
    <s v="DI211"/>
    <x v="42"/>
    <s v="2TEKC005AR206DI"/>
    <n v="2"/>
    <x v="3"/>
    <x v="8"/>
    <n v="16"/>
    <m/>
    <s v="TB222"/>
    <s v="206BN"/>
    <s v="9A"/>
    <s v="9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17"/>
    <s v="2TETN008HXT"/>
    <s v="2TENT-004ZV"/>
    <s v="TF"/>
    <s v="R2TENT004ZV_TF"/>
    <s v="风机2TENT-004ZV停止反馈"/>
    <s v="TETN"/>
    <s v="1812-B1132YKS07-001-123"/>
    <x v="3"/>
    <s v="DI211"/>
    <x v="42"/>
    <s v="2TEKC005AR206DI"/>
    <n v="2"/>
    <x v="3"/>
    <x v="9"/>
    <n v="16"/>
    <m/>
    <s v="TB222"/>
    <s v="206BN"/>
    <s v="10A"/>
    <s v="10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18"/>
    <s v="2TETN008HXT"/>
    <s v="2TENT-004ZV"/>
    <s v="FS"/>
    <s v="R2TENT004ZV_FS"/>
    <s v="风机2TENT-004ZV故障"/>
    <s v="TETN"/>
    <s v="1812-B1132YKS07-001-123"/>
    <x v="3"/>
    <s v="DI211"/>
    <x v="42"/>
    <s v="2TEKC005AR206DI"/>
    <n v="2"/>
    <x v="3"/>
    <x v="10"/>
    <n v="16"/>
    <m/>
    <s v="TB222"/>
    <s v="206BN"/>
    <s v="11A"/>
    <s v="1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19"/>
    <s v="2TETN008HXT"/>
    <s v="2TENT-004ZV"/>
    <s v="YC"/>
    <s v="R2TENT004ZV_YC"/>
    <s v="风机2TENT-004ZV远程控制"/>
    <s v="TETN"/>
    <s v="1812-B1132YKS07-001-123"/>
    <x v="3"/>
    <s v="DI211"/>
    <x v="42"/>
    <s v="2TEKC005AR206DI"/>
    <n v="2"/>
    <x v="3"/>
    <x v="11"/>
    <n v="16"/>
    <m/>
    <s v="TB222"/>
    <s v="206BN"/>
    <s v="12A"/>
    <s v="1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20"/>
    <s v="备用"/>
    <s v="2TEKC005AR206DICH13"/>
    <m/>
    <s v="R2TEKC005AR206DICH13"/>
    <s v="备用"/>
    <s v="TETN"/>
    <m/>
    <x v="3"/>
    <s v="DI211"/>
    <x v="42"/>
    <s v="2TEKC005AR206DI"/>
    <n v="2"/>
    <x v="3"/>
    <x v="12"/>
    <n v="16"/>
    <m/>
    <s v="TB222"/>
    <s v="206BN"/>
    <s v="13A"/>
    <s v="1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21"/>
    <s v="备用"/>
    <s v="2TEKC005AR206DICH14"/>
    <m/>
    <s v="R2TEKC005AR206DICH14"/>
    <s v="备用"/>
    <s v="TETN"/>
    <m/>
    <x v="3"/>
    <s v="DI211"/>
    <x v="42"/>
    <s v="2TEKC005AR206DI"/>
    <n v="2"/>
    <x v="3"/>
    <x v="13"/>
    <n v="16"/>
    <m/>
    <s v="TB222"/>
    <s v="206BN"/>
    <s v="14A"/>
    <s v="1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22"/>
    <s v="备用"/>
    <s v="2TEKC005AR206DICH15"/>
    <m/>
    <s v="R2TEKC005AR206DICH15"/>
    <s v="备用"/>
    <s v="TETN"/>
    <m/>
    <x v="3"/>
    <s v="DI211"/>
    <x v="42"/>
    <s v="2TEKC005AR206DI"/>
    <n v="2"/>
    <x v="3"/>
    <x v="14"/>
    <n v="16"/>
    <m/>
    <s v="TB222"/>
    <s v="206BN"/>
    <s v="15A"/>
    <s v="1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23"/>
    <s v="备用"/>
    <s v="2TEKC005AR206DICH16"/>
    <m/>
    <s v="R2TEKC005AR206DICH16"/>
    <s v="备用"/>
    <s v="TETN"/>
    <m/>
    <x v="3"/>
    <s v="DI211"/>
    <x v="42"/>
    <s v="2TEKC005AR206DI"/>
    <n v="2"/>
    <x v="3"/>
    <x v="15"/>
    <n v="16"/>
    <m/>
    <s v="TB222"/>
    <s v="206BN"/>
    <s v="16A"/>
    <s v="1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24"/>
    <s v="2TETN002HXT"/>
    <s v="2TETN-810VR"/>
    <s v="KW"/>
    <s v="R2TETN810VR_KW"/>
    <s v="电动焊接闸阀开反馈"/>
    <s v="TETN"/>
    <s v="1812-B1132YKS07-001-088"/>
    <x v="3"/>
    <s v="DI211"/>
    <x v="43"/>
    <s v="2TEKC005AR207DI"/>
    <n v="2"/>
    <x v="4"/>
    <x v="0"/>
    <n v="17"/>
    <m/>
    <s v="TB222"/>
    <s v="207BN"/>
    <s v="1A"/>
    <s v="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25"/>
    <s v="2TETN002HXT"/>
    <s v="2TETN-810VR"/>
    <s v="GW"/>
    <s v="R2TETN810VR_GW"/>
    <s v="电动焊接闸阀关反馈"/>
    <s v="TETN"/>
    <s v="1812-B1132YKS07-001-088"/>
    <x v="3"/>
    <s v="DI211"/>
    <x v="43"/>
    <s v="2TEKC005AR207DI"/>
    <n v="2"/>
    <x v="4"/>
    <x v="1"/>
    <n v="17"/>
    <m/>
    <s v="TB222"/>
    <s v="207BN"/>
    <s v="2A"/>
    <s v="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26"/>
    <s v="2TETN002HXT"/>
    <s v="2TETN-810VR"/>
    <s v="FS"/>
    <s v="R2TETN810VR_FS"/>
    <s v="电动焊接闸阀故障"/>
    <s v="TETN"/>
    <s v="1812-B1132YKS07-001-088"/>
    <x v="3"/>
    <s v="DI211"/>
    <x v="43"/>
    <s v="2TEKC005AR207DI"/>
    <n v="2"/>
    <x v="4"/>
    <x v="2"/>
    <n v="17"/>
    <m/>
    <s v="TB222"/>
    <s v="207BN"/>
    <s v="3A"/>
    <s v="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27"/>
    <s v="2TETN002HXT"/>
    <s v="2TETN-810VR"/>
    <s v="YC"/>
    <s v="R2TETN810VR_YC"/>
    <s v="电动焊接闸阀远程控制"/>
    <s v="TETN"/>
    <s v="1812-B1132YKS07-001-088"/>
    <x v="3"/>
    <s v="DI211"/>
    <x v="43"/>
    <s v="2TEKC005AR207DI"/>
    <n v="2"/>
    <x v="4"/>
    <x v="3"/>
    <n v="17"/>
    <m/>
    <s v="TB222"/>
    <s v="207BN"/>
    <s v="4A"/>
    <s v="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28"/>
    <s v="备用"/>
    <s v="2TEKC005AR207DICH05"/>
    <m/>
    <s v="R2TEKC005AR207DICH05"/>
    <s v="备用"/>
    <s v="TETN"/>
    <m/>
    <x v="3"/>
    <s v="DI211"/>
    <x v="43"/>
    <s v="2TEKC005AR207DI"/>
    <n v="2"/>
    <x v="4"/>
    <x v="4"/>
    <n v="17"/>
    <m/>
    <s v="TB222"/>
    <s v="207BN"/>
    <s v="5A"/>
    <s v="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29"/>
    <s v="备用"/>
    <s v="2TEKC005AR207DICH06"/>
    <m/>
    <s v="R2TEKC005AR207DICH06"/>
    <s v="备用"/>
    <s v="TETN"/>
    <m/>
    <x v="3"/>
    <s v="DI211"/>
    <x v="43"/>
    <s v="2TEKC005AR207DI"/>
    <n v="2"/>
    <x v="4"/>
    <x v="5"/>
    <n v="17"/>
    <m/>
    <s v="TB222"/>
    <s v="207BN"/>
    <s v="6A"/>
    <s v="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30"/>
    <s v="备用"/>
    <s v="2TEKC005AR207DICH07"/>
    <m/>
    <s v="R2TEKC005AR207DICH07"/>
    <s v="备用"/>
    <s v="TETN"/>
    <m/>
    <x v="3"/>
    <s v="DI211"/>
    <x v="43"/>
    <s v="2TEKC005AR207DI"/>
    <n v="2"/>
    <x v="4"/>
    <x v="6"/>
    <n v="17"/>
    <m/>
    <s v="TB222"/>
    <s v="207BN"/>
    <s v="7A"/>
    <s v="7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31"/>
    <s v="备用"/>
    <s v="2TEKC005AR207DICH08"/>
    <m/>
    <s v="R2TEKC005AR207DICH08"/>
    <s v="备用"/>
    <s v="TETN"/>
    <m/>
    <x v="3"/>
    <s v="DI211"/>
    <x v="43"/>
    <s v="2TEKC005AR207DI"/>
    <n v="2"/>
    <x v="4"/>
    <x v="7"/>
    <n v="17"/>
    <m/>
    <s v="TB222"/>
    <s v="207BN"/>
    <s v="8A"/>
    <s v="8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32"/>
    <s v="备用"/>
    <s v="2TEKC005AR207DICH09"/>
    <m/>
    <s v="R2TEKC005AR207DICH09"/>
    <s v="备用"/>
    <s v="TETN"/>
    <m/>
    <x v="3"/>
    <s v="DI211"/>
    <x v="43"/>
    <s v="2TEKC005AR207DI"/>
    <n v="2"/>
    <x v="4"/>
    <x v="8"/>
    <n v="17"/>
    <m/>
    <s v="TB222"/>
    <s v="207BN"/>
    <s v="9A"/>
    <s v="9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33"/>
    <s v="备用"/>
    <s v="2TEKC005AR207DICH10"/>
    <m/>
    <s v="R2TEKC005AR207DICH10"/>
    <s v="备用"/>
    <s v="TETN"/>
    <m/>
    <x v="3"/>
    <s v="DI211"/>
    <x v="43"/>
    <s v="2TEKC005AR207DI"/>
    <n v="2"/>
    <x v="4"/>
    <x v="9"/>
    <n v="17"/>
    <m/>
    <s v="TB222"/>
    <s v="207BN"/>
    <s v="10A"/>
    <s v="10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34"/>
    <s v="备用"/>
    <s v="2TEKC005AR207DICH11"/>
    <m/>
    <s v="R2TEKC005AR207DICH11"/>
    <s v="备用"/>
    <s v="TETN"/>
    <m/>
    <x v="3"/>
    <s v="DI211"/>
    <x v="43"/>
    <s v="2TEKC005AR207DI"/>
    <n v="2"/>
    <x v="4"/>
    <x v="10"/>
    <n v="17"/>
    <m/>
    <s v="TB222"/>
    <s v="207BN"/>
    <s v="11A"/>
    <s v="11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35"/>
    <s v="备用"/>
    <s v="2TEKC005AR207DICH12"/>
    <m/>
    <s v="R2TEKC005AR207DICH12"/>
    <s v="备用"/>
    <s v="TETN"/>
    <m/>
    <x v="3"/>
    <s v="DI211"/>
    <x v="43"/>
    <s v="2TEKC005AR207DI"/>
    <n v="2"/>
    <x v="4"/>
    <x v="11"/>
    <n v="17"/>
    <m/>
    <s v="TB222"/>
    <s v="207BN"/>
    <s v="12A"/>
    <s v="12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36"/>
    <s v="备用"/>
    <s v="2TEKC005AR207DICH13"/>
    <m/>
    <s v="R2TEKC005AR207DICH13"/>
    <s v="备用"/>
    <s v="TETN"/>
    <m/>
    <x v="3"/>
    <s v="DI211"/>
    <x v="43"/>
    <s v="2TEKC005AR207DI"/>
    <n v="2"/>
    <x v="4"/>
    <x v="12"/>
    <n v="17"/>
    <m/>
    <s v="TB222"/>
    <s v="207BN"/>
    <s v="13A"/>
    <s v="13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37"/>
    <s v="备用"/>
    <s v="2TEKC005AR207DICH14"/>
    <m/>
    <s v="R2TEKC005AR207DICH14"/>
    <s v="备用"/>
    <s v="TETN"/>
    <m/>
    <x v="3"/>
    <s v="DI211"/>
    <x v="43"/>
    <s v="2TEKC005AR207DI"/>
    <n v="2"/>
    <x v="4"/>
    <x v="13"/>
    <n v="17"/>
    <m/>
    <s v="TB222"/>
    <s v="207BN"/>
    <s v="14A"/>
    <s v="14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38"/>
    <s v="备用"/>
    <s v="2TEKC005AR207DICH15"/>
    <m/>
    <s v="R2TEKC005AR207DICH15"/>
    <s v="备用"/>
    <s v="TETN"/>
    <m/>
    <x v="3"/>
    <s v="DI211"/>
    <x v="43"/>
    <s v="2TEKC005AR207DI"/>
    <n v="2"/>
    <x v="4"/>
    <x v="14"/>
    <n v="17"/>
    <m/>
    <s v="TB222"/>
    <s v="207BN"/>
    <s v="15A"/>
    <s v="15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39"/>
    <s v="备用"/>
    <s v="2TEKC005AR207DICH16"/>
    <m/>
    <s v="R2TEKC005AR207DICH16"/>
    <s v="备用"/>
    <s v="TETN"/>
    <m/>
    <x v="3"/>
    <s v="DI211"/>
    <x v="43"/>
    <s v="2TEKC005AR207DI"/>
    <n v="2"/>
    <x v="4"/>
    <x v="15"/>
    <n v="17"/>
    <m/>
    <s v="TB222"/>
    <s v="207BN"/>
    <s v="16A"/>
    <s v="16B"/>
    <s v="--"/>
    <s v="--"/>
    <s v="NR"/>
    <s v="NA"/>
    <s v="DI"/>
    <s v="无源常开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40"/>
    <s v="2TETN003HXT/2TETN006HXT"/>
    <s v="2TETN-117VIE"/>
    <s v="KW"/>
    <s v="R2TETN117VIE_KW"/>
    <s v="气动截止阀开反馈"/>
    <s v="TETN"/>
    <s v="1812-B1132YKS07-001-049"/>
    <x v="3"/>
    <s v="DI211"/>
    <x v="26"/>
    <s v="2TEKC005AR208DI"/>
    <n v="2"/>
    <x v="7"/>
    <x v="0"/>
    <n v="18"/>
    <m/>
    <s v="TB222"/>
    <s v="208BN"/>
    <s v="1A"/>
    <s v="1B"/>
    <s v="--"/>
    <s v="--"/>
    <s v="NR"/>
    <s v="NA"/>
    <s v="DI"/>
    <n v="1"/>
    <s v="DCS"/>
    <s v="DI1"/>
    <m/>
    <m/>
    <m/>
    <m/>
    <m/>
    <m/>
    <m/>
    <m/>
    <m/>
    <m/>
    <s v="2TETN01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41"/>
    <s v="2TETN003HXT/2TETN006HXT"/>
    <s v="2TETN-117VIE"/>
    <s v="GW"/>
    <s v="R2TETN117VIE_GW"/>
    <s v="气动截止阀关反馈"/>
    <s v="TETN"/>
    <s v="1812-B1132YKS07-001-049"/>
    <x v="3"/>
    <s v="DI211"/>
    <x v="26"/>
    <s v="2TEKC005AR208DI"/>
    <n v="2"/>
    <x v="7"/>
    <x v="1"/>
    <n v="18"/>
    <m/>
    <s v="TB222"/>
    <s v="208BN"/>
    <s v="2A"/>
    <s v="2B"/>
    <s v="--"/>
    <s v="--"/>
    <s v="NR"/>
    <s v="NA"/>
    <s v="DI"/>
    <n v="1"/>
    <s v="DCS"/>
    <s v="DI1"/>
    <m/>
    <m/>
    <m/>
    <m/>
    <m/>
    <m/>
    <m/>
    <m/>
    <m/>
    <m/>
    <s v="2TETN01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42"/>
    <s v="2TETN003HXT"/>
    <s v="2TETN-127VIE"/>
    <s v="KW"/>
    <s v="R2TETN127VIE_KW"/>
    <s v="气动截止阀开反馈"/>
    <s v="TETN"/>
    <s v="1812-B1132YKS07-001-052"/>
    <x v="3"/>
    <s v="DI211"/>
    <x v="26"/>
    <s v="2TEKC005AR208DI"/>
    <n v="2"/>
    <x v="7"/>
    <x v="2"/>
    <n v="18"/>
    <m/>
    <s v="TB222"/>
    <s v="208BN"/>
    <s v="3A"/>
    <s v="3B"/>
    <s v="--"/>
    <s v="--"/>
    <s v="NR"/>
    <s v="NA"/>
    <s v="DI"/>
    <n v="1"/>
    <s v="DCS"/>
    <s v="DI1"/>
    <m/>
    <m/>
    <m/>
    <m/>
    <m/>
    <m/>
    <m/>
    <m/>
    <m/>
    <m/>
    <s v="2TETN01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43"/>
    <s v="2TETN003HXT"/>
    <s v="2TETN-127VIE"/>
    <s v="GW"/>
    <s v="R2TETN127VIE_GW"/>
    <s v="气动截止阀关反馈"/>
    <s v="TETN"/>
    <s v="1812-B1132YKS07-001-052"/>
    <x v="3"/>
    <s v="DI211"/>
    <x v="26"/>
    <s v="2TEKC005AR208DI"/>
    <n v="2"/>
    <x v="7"/>
    <x v="3"/>
    <n v="18"/>
    <m/>
    <s v="TB222"/>
    <s v="208BN"/>
    <s v="4A"/>
    <s v="4B"/>
    <s v="--"/>
    <s v="--"/>
    <s v="NR"/>
    <s v="NA"/>
    <s v="DI"/>
    <n v="1"/>
    <s v="DCS"/>
    <s v="DI1"/>
    <m/>
    <m/>
    <m/>
    <m/>
    <m/>
    <m/>
    <m/>
    <m/>
    <m/>
    <m/>
    <s v="2TETN01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44"/>
    <s v="2TETN004HXT"/>
    <s v="2TETN-137VIE"/>
    <s v="KW"/>
    <s v="R2TETN137VIE_KW"/>
    <s v="气动截止阀开反馈"/>
    <s v="TETN"/>
    <s v="1812-B1132YKS07-001-055"/>
    <x v="3"/>
    <s v="DI211"/>
    <x v="26"/>
    <s v="2TEKC005AR208DI"/>
    <n v="2"/>
    <x v="7"/>
    <x v="4"/>
    <n v="18"/>
    <m/>
    <s v="TB222"/>
    <s v="208BN"/>
    <s v="5A"/>
    <s v="5B"/>
    <s v="--"/>
    <s v="--"/>
    <s v="NR"/>
    <s v="NA"/>
    <s v="DI"/>
    <n v="1"/>
    <s v="DCS"/>
    <s v="DI1"/>
    <m/>
    <m/>
    <m/>
    <m/>
    <m/>
    <m/>
    <m/>
    <m/>
    <m/>
    <m/>
    <s v="2TETN01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45"/>
    <s v="2TETN004HXT"/>
    <s v="2TETN-137VIE"/>
    <s v="GW"/>
    <s v="R2TETN137VIE_GW"/>
    <s v="气动截止阀关反馈"/>
    <s v="TETN"/>
    <s v="1812-B1132YKS07-001-055"/>
    <x v="3"/>
    <s v="DI211"/>
    <x v="26"/>
    <s v="2TEKC005AR208DI"/>
    <n v="2"/>
    <x v="7"/>
    <x v="5"/>
    <n v="18"/>
    <m/>
    <s v="TB222"/>
    <s v="208BN"/>
    <s v="6A"/>
    <s v="6B"/>
    <s v="--"/>
    <s v="--"/>
    <s v="NR"/>
    <s v="NA"/>
    <s v="DI"/>
    <n v="1"/>
    <s v="DCS"/>
    <s v="DI1"/>
    <m/>
    <m/>
    <m/>
    <m/>
    <m/>
    <m/>
    <m/>
    <m/>
    <m/>
    <m/>
    <s v="2TETN01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46"/>
    <m/>
    <s v="2TETN-147VIE"/>
    <s v="KW"/>
    <s v="R2TETN147VIE_KW"/>
    <s v="气动截止阀开反馈"/>
    <s v="TETN"/>
    <s v="1812-B1132YKS07-001-058"/>
    <x v="3"/>
    <s v="DI211"/>
    <x v="26"/>
    <s v="2TEKC005AR208DI"/>
    <n v="2"/>
    <x v="7"/>
    <x v="6"/>
    <n v="18"/>
    <m/>
    <s v="TB222"/>
    <s v="208BN"/>
    <s v="7A"/>
    <s v="7B"/>
    <s v="--"/>
    <s v="--"/>
    <s v="NR"/>
    <s v="NA"/>
    <s v="DI"/>
    <n v="1"/>
    <s v="DCS"/>
    <s v="DI1"/>
    <m/>
    <m/>
    <m/>
    <m/>
    <m/>
    <m/>
    <m/>
    <m/>
    <m/>
    <m/>
    <s v="2TETN01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47"/>
    <m/>
    <s v="2TETN-147VIE"/>
    <s v="GW"/>
    <s v="R2TETN147VIE_GW"/>
    <s v="气动截止阀关反馈"/>
    <s v="TETN"/>
    <s v="1812-B1132YKS07-001-058"/>
    <x v="3"/>
    <s v="DI211"/>
    <x v="26"/>
    <s v="2TEKC005AR208DI"/>
    <n v="2"/>
    <x v="7"/>
    <x v="7"/>
    <n v="18"/>
    <m/>
    <s v="TB222"/>
    <s v="208BN"/>
    <s v="8A"/>
    <s v="8B"/>
    <s v="--"/>
    <s v="--"/>
    <s v="NR"/>
    <s v="NA"/>
    <s v="DI"/>
    <n v="1"/>
    <s v="DCS"/>
    <s v="DI1"/>
    <m/>
    <m/>
    <m/>
    <m/>
    <m/>
    <m/>
    <m/>
    <m/>
    <m/>
    <m/>
    <s v="2TETN01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48"/>
    <s v="2TETN002HXT/2TETN004HXT"/>
    <s v="2TETN-150VIE"/>
    <s v="KW"/>
    <s v="R2TETN150VIE_KW"/>
    <s v="气动截止阀开反馈"/>
    <s v="TETN"/>
    <s v="1812-B1132YKS07-001-059"/>
    <x v="3"/>
    <s v="DI211"/>
    <x v="26"/>
    <s v="2TEKC005AR208DI"/>
    <n v="2"/>
    <x v="7"/>
    <x v="8"/>
    <n v="18"/>
    <m/>
    <s v="TB222"/>
    <s v="208BN"/>
    <s v="9A"/>
    <s v="9B"/>
    <s v="--"/>
    <s v="--"/>
    <s v="NR"/>
    <s v="NA"/>
    <s v="DI"/>
    <n v="1"/>
    <s v="DCS"/>
    <s v="DI1"/>
    <m/>
    <m/>
    <m/>
    <m/>
    <m/>
    <m/>
    <m/>
    <m/>
    <m/>
    <m/>
    <s v="2TETN01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49"/>
    <s v="2TETN002HXT/2TETN004HXT"/>
    <s v="2TETN-150VIE"/>
    <s v="GW"/>
    <s v="R2TETN150VIE_GW"/>
    <s v="气动截止阀关反馈"/>
    <s v="TETN"/>
    <s v="1812-B1132YKS07-001-059"/>
    <x v="3"/>
    <s v="DI211"/>
    <x v="26"/>
    <s v="2TEKC005AR208DI"/>
    <n v="2"/>
    <x v="7"/>
    <x v="9"/>
    <n v="18"/>
    <m/>
    <s v="TB222"/>
    <s v="208BN"/>
    <s v="10A"/>
    <s v="10B"/>
    <s v="--"/>
    <s v="--"/>
    <s v="NR"/>
    <s v="NA"/>
    <s v="DI"/>
    <n v="1"/>
    <s v="DCS"/>
    <s v="DI1"/>
    <m/>
    <m/>
    <m/>
    <m/>
    <m/>
    <m/>
    <m/>
    <m/>
    <m/>
    <m/>
    <s v="2TETN01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50"/>
    <s v="2TETN005HXT"/>
    <s v="2TETN-157VIE"/>
    <s v="KW"/>
    <s v="R2TETN157VIE_KW"/>
    <s v="气动截止阀开反馈"/>
    <s v="TETN"/>
    <s v="1812-B1132YKS07-001-062"/>
    <x v="3"/>
    <s v="DI211"/>
    <x v="26"/>
    <s v="2TEKC005AR208DI"/>
    <n v="2"/>
    <x v="7"/>
    <x v="10"/>
    <n v="18"/>
    <m/>
    <s v="TB222"/>
    <s v="208BN"/>
    <s v="11A"/>
    <s v="11B"/>
    <s v="--"/>
    <s v="--"/>
    <s v="NR"/>
    <s v="NA"/>
    <s v="DI"/>
    <n v="1"/>
    <s v="DCS"/>
    <s v="DI1"/>
    <m/>
    <m/>
    <m/>
    <m/>
    <m/>
    <m/>
    <m/>
    <m/>
    <m/>
    <m/>
    <s v="2TETN01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51"/>
    <s v="2TETN005HXT"/>
    <s v="2TETN-157VIE"/>
    <s v="GW"/>
    <s v="R2TETN157VIE_GW"/>
    <s v="气动截止阀关反馈"/>
    <s v="TETN"/>
    <s v="1812-B1132YKS07-001-062"/>
    <x v="3"/>
    <s v="DI211"/>
    <x v="26"/>
    <s v="2TEKC005AR208DI"/>
    <n v="2"/>
    <x v="7"/>
    <x v="11"/>
    <n v="18"/>
    <m/>
    <s v="TB222"/>
    <s v="208BN"/>
    <s v="12A"/>
    <s v="12B"/>
    <s v="--"/>
    <s v="--"/>
    <s v="NR"/>
    <s v="NA"/>
    <s v="DI"/>
    <n v="1"/>
    <s v="DCS"/>
    <s v="DI1"/>
    <m/>
    <m/>
    <m/>
    <m/>
    <m/>
    <m/>
    <m/>
    <m/>
    <m/>
    <m/>
    <s v="2TETN01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52"/>
    <s v="备用"/>
    <s v="2TEKC005AR208DICH13"/>
    <m/>
    <s v="R2TEKC005AR208DICH13"/>
    <s v="备用"/>
    <s v="TETN"/>
    <m/>
    <x v="3"/>
    <s v="DI211"/>
    <x v="26"/>
    <s v="2TEKC005AR208DI"/>
    <n v="2"/>
    <x v="7"/>
    <x v="12"/>
    <n v="18"/>
    <m/>
    <s v="TB222"/>
    <s v="208BN"/>
    <s v="13A"/>
    <s v="13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53"/>
    <s v="备用"/>
    <s v="2TEKC005AR208DICH14"/>
    <m/>
    <s v="R2TEKC005AR208DICH14"/>
    <s v="备用"/>
    <s v="TETN"/>
    <m/>
    <x v="3"/>
    <s v="DI211"/>
    <x v="26"/>
    <s v="2TEKC005AR208DI"/>
    <n v="2"/>
    <x v="7"/>
    <x v="13"/>
    <n v="18"/>
    <m/>
    <s v="TB222"/>
    <s v="208BN"/>
    <s v="14A"/>
    <s v="14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54"/>
    <s v="备用"/>
    <s v="2TEKC005AR208DICH15"/>
    <m/>
    <s v="R2TEKC005AR208DICH15"/>
    <s v="备用"/>
    <s v="TETN"/>
    <m/>
    <x v="3"/>
    <s v="DI211"/>
    <x v="26"/>
    <s v="2TEKC005AR208DI"/>
    <n v="2"/>
    <x v="7"/>
    <x v="14"/>
    <n v="18"/>
    <m/>
    <s v="TB222"/>
    <s v="208BN"/>
    <s v="15A"/>
    <s v="15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55"/>
    <s v="备用"/>
    <s v="2TEKC005AR208DICH16"/>
    <m/>
    <s v="R2TEKC005AR208DICH16"/>
    <s v="备用"/>
    <s v="TETN"/>
    <m/>
    <x v="3"/>
    <s v="DI211"/>
    <x v="26"/>
    <s v="2TEKC005AR208DI"/>
    <n v="2"/>
    <x v="7"/>
    <x v="15"/>
    <n v="18"/>
    <m/>
    <s v="TB222"/>
    <s v="208BN"/>
    <s v="16A"/>
    <s v="16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56"/>
    <m/>
    <s v="2TETN-217VIE"/>
    <s v="KW"/>
    <s v="R2TETN217VIE_KW"/>
    <s v="气动截止阀开反馈"/>
    <s v="TETN"/>
    <s v="1812-B1132YKS07-001-070"/>
    <x v="3"/>
    <s v="DI211"/>
    <x v="27"/>
    <s v="2TEKC005AR209DI"/>
    <n v="2"/>
    <x v="6"/>
    <x v="0"/>
    <n v="19"/>
    <m/>
    <s v="TB222"/>
    <s v="209BN"/>
    <s v="1A"/>
    <s v="1B"/>
    <s v="--"/>
    <s v="--"/>
    <s v="NR"/>
    <s v="NA"/>
    <s v="DI"/>
    <n v="1"/>
    <s v="DCS"/>
    <s v="DI1"/>
    <m/>
    <m/>
    <m/>
    <m/>
    <m/>
    <m/>
    <m/>
    <m/>
    <m/>
    <m/>
    <s v="2TETN01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57"/>
    <m/>
    <s v="2TETN-217VIE"/>
    <s v="GW"/>
    <s v="R2TETN217VIE_GW"/>
    <s v="气动截止阀关反馈"/>
    <s v="TETN"/>
    <s v="1812-B1132YKS07-001-070"/>
    <x v="3"/>
    <s v="DI211"/>
    <x v="27"/>
    <s v="2TEKC005AR209DI"/>
    <n v="2"/>
    <x v="6"/>
    <x v="1"/>
    <n v="19"/>
    <m/>
    <s v="TB222"/>
    <s v="209BN"/>
    <s v="2A"/>
    <s v="2B"/>
    <s v="--"/>
    <s v="--"/>
    <s v="NR"/>
    <s v="NA"/>
    <s v="DI"/>
    <n v="1"/>
    <s v="DCS"/>
    <s v="DI1"/>
    <m/>
    <m/>
    <m/>
    <m/>
    <m/>
    <m/>
    <m/>
    <m/>
    <m/>
    <m/>
    <s v="2TETN01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58"/>
    <s v="2TETN006HXT"/>
    <s v="2TETN-227VIE"/>
    <s v="KW"/>
    <s v="R2TETN227VIE_KW"/>
    <s v="气动截止阀开反馈"/>
    <s v="TETN"/>
    <s v="1812-B1132YKS07-001-073"/>
    <x v="3"/>
    <s v="DI211"/>
    <x v="27"/>
    <s v="2TEKC005AR209DI"/>
    <n v="2"/>
    <x v="6"/>
    <x v="2"/>
    <n v="19"/>
    <m/>
    <s v="TB222"/>
    <s v="209BN"/>
    <s v="3A"/>
    <s v="3B"/>
    <s v="--"/>
    <s v="--"/>
    <s v="NR"/>
    <s v="NA"/>
    <s v="DI"/>
    <n v="1"/>
    <s v="DCS"/>
    <s v="DI1"/>
    <m/>
    <m/>
    <m/>
    <m/>
    <m/>
    <m/>
    <m/>
    <m/>
    <m/>
    <m/>
    <s v="2TETN01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59"/>
    <s v="2TETN006HXT"/>
    <s v="2TETN-227VIE"/>
    <s v="GW"/>
    <s v="R2TETN227VIE_GW"/>
    <s v="气动截止阀关反馈"/>
    <s v="TETN"/>
    <s v="1812-B1132YKS07-001-073"/>
    <x v="3"/>
    <s v="DI211"/>
    <x v="27"/>
    <s v="2TEKC005AR209DI"/>
    <n v="2"/>
    <x v="6"/>
    <x v="3"/>
    <n v="19"/>
    <m/>
    <s v="TB222"/>
    <s v="209BN"/>
    <s v="4A"/>
    <s v="4B"/>
    <s v="--"/>
    <s v="--"/>
    <s v="NR"/>
    <s v="NA"/>
    <s v="DI"/>
    <n v="1"/>
    <s v="DCS"/>
    <s v="DI1"/>
    <m/>
    <m/>
    <m/>
    <m/>
    <m/>
    <m/>
    <m/>
    <m/>
    <m/>
    <m/>
    <s v="2TETN01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60"/>
    <s v="2TETN007HXT"/>
    <s v="2TETN-237VIE"/>
    <s v="KW"/>
    <s v="R2TETN237VIE_KW"/>
    <s v="气动截止阀开反馈"/>
    <s v="TETN"/>
    <s v="1812-B1132YKS07-001-076"/>
    <x v="3"/>
    <s v="DI211"/>
    <x v="27"/>
    <s v="2TEKC005AR209DI"/>
    <n v="2"/>
    <x v="6"/>
    <x v="4"/>
    <n v="19"/>
    <m/>
    <s v="TB222"/>
    <s v="209BN"/>
    <s v="5A"/>
    <s v="5B"/>
    <s v="--"/>
    <s v="--"/>
    <s v="NR"/>
    <s v="NA"/>
    <s v="DI"/>
    <n v="1"/>
    <s v="DCS"/>
    <s v="DI1"/>
    <m/>
    <m/>
    <m/>
    <m/>
    <m/>
    <m/>
    <m/>
    <m/>
    <m/>
    <m/>
    <s v="2TETN01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61"/>
    <s v="2TETN007HXT"/>
    <s v="2TETN-237VIE"/>
    <s v="GW"/>
    <s v="R2TETN237VIE_GW"/>
    <s v="气动截止阀关反馈"/>
    <s v="TETN"/>
    <s v="1812-B1132YKS07-001-076"/>
    <x v="3"/>
    <s v="DI211"/>
    <x v="27"/>
    <s v="2TEKC005AR209DI"/>
    <n v="2"/>
    <x v="6"/>
    <x v="5"/>
    <n v="19"/>
    <m/>
    <s v="TB222"/>
    <s v="209BN"/>
    <s v="6A"/>
    <s v="6B"/>
    <s v="--"/>
    <s v="--"/>
    <s v="NR"/>
    <s v="NA"/>
    <s v="DI"/>
    <n v="1"/>
    <s v="DCS"/>
    <s v="DI1"/>
    <m/>
    <m/>
    <m/>
    <m/>
    <m/>
    <m/>
    <m/>
    <m/>
    <m/>
    <m/>
    <s v="2TETN01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62"/>
    <s v="2TETN007HXT"/>
    <s v="2TETN-247VIE"/>
    <s v="KW"/>
    <s v="R2TETN247VIE_KW"/>
    <s v="气动截止阀开反馈"/>
    <s v="TETN"/>
    <s v="1812-B1132YKS07-001-079"/>
    <x v="3"/>
    <s v="DI211"/>
    <x v="27"/>
    <s v="2TEKC005AR209DI"/>
    <n v="2"/>
    <x v="6"/>
    <x v="6"/>
    <n v="19"/>
    <m/>
    <s v="TB222"/>
    <s v="209BN"/>
    <s v="7A"/>
    <s v="7B"/>
    <s v="--"/>
    <s v="--"/>
    <s v="NR"/>
    <s v="NA"/>
    <s v="DI"/>
    <n v="1"/>
    <s v="DCS"/>
    <s v="DI1"/>
    <m/>
    <m/>
    <m/>
    <m/>
    <m/>
    <m/>
    <m/>
    <m/>
    <m/>
    <m/>
    <s v="2TETN01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63"/>
    <s v="2TETN007HXT"/>
    <s v="2TETN-247VIE"/>
    <s v="GW"/>
    <s v="R2TETN247VIE_GW"/>
    <s v="气动截止阀关反馈"/>
    <s v="TETN"/>
    <s v="1812-B1132YKS07-001-079"/>
    <x v="3"/>
    <s v="DI211"/>
    <x v="27"/>
    <s v="2TEKC005AR209DI"/>
    <n v="2"/>
    <x v="6"/>
    <x v="7"/>
    <n v="19"/>
    <m/>
    <s v="TB222"/>
    <s v="209BN"/>
    <s v="8A"/>
    <s v="8B"/>
    <s v="--"/>
    <s v="--"/>
    <s v="NR"/>
    <s v="NA"/>
    <s v="DI"/>
    <n v="1"/>
    <s v="DCS"/>
    <s v="DI1"/>
    <m/>
    <m/>
    <m/>
    <m/>
    <m/>
    <m/>
    <m/>
    <m/>
    <m/>
    <m/>
    <s v="2TETN01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64"/>
    <s v="2TETN008HXT"/>
    <s v="2TETN-257VIE"/>
    <s v="KW"/>
    <s v="R2TETN257VIE_KW"/>
    <s v="气动截止阀开反馈"/>
    <s v="TETN"/>
    <s v="1812-B1132YKS07-001-082"/>
    <x v="3"/>
    <s v="DI211"/>
    <x v="27"/>
    <s v="2TEKC005AR209DI"/>
    <n v="2"/>
    <x v="6"/>
    <x v="8"/>
    <n v="19"/>
    <m/>
    <s v="TB222"/>
    <s v="209BN"/>
    <s v="9A"/>
    <s v="9B"/>
    <s v="--"/>
    <s v="--"/>
    <s v="NR"/>
    <s v="NA"/>
    <s v="DI"/>
    <n v="1"/>
    <s v="DCS"/>
    <s v="DI1"/>
    <m/>
    <m/>
    <m/>
    <m/>
    <m/>
    <m/>
    <m/>
    <m/>
    <m/>
    <m/>
    <s v="2TETN01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65"/>
    <s v="2TETN008HXT"/>
    <s v="2TETN-257VIE"/>
    <s v="GW"/>
    <s v="R2TETN257VIE_GW"/>
    <s v="气动截止阀关反馈"/>
    <s v="TETN"/>
    <s v="1812-B1132YKS07-001-082"/>
    <x v="3"/>
    <s v="DI211"/>
    <x v="27"/>
    <s v="2TEKC005AR209DI"/>
    <n v="2"/>
    <x v="6"/>
    <x v="9"/>
    <n v="19"/>
    <m/>
    <s v="TB222"/>
    <s v="209BN"/>
    <s v="10A"/>
    <s v="10B"/>
    <s v="--"/>
    <s v="--"/>
    <s v="NR"/>
    <s v="NA"/>
    <s v="DI"/>
    <n v="1"/>
    <s v="DCS"/>
    <s v="DI1"/>
    <m/>
    <m/>
    <m/>
    <m/>
    <m/>
    <m/>
    <m/>
    <m/>
    <m/>
    <m/>
    <s v="2TETN01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66"/>
    <s v="备用"/>
    <s v="2TEKC005AR209DICH11"/>
    <m/>
    <s v="R2TEKC005AR209DICH11"/>
    <s v="备用"/>
    <s v="TETN"/>
    <m/>
    <x v="3"/>
    <s v="DI211"/>
    <x v="27"/>
    <s v="2TEKC005AR209DI"/>
    <n v="2"/>
    <x v="6"/>
    <x v="10"/>
    <n v="19"/>
    <m/>
    <s v="TB222"/>
    <s v="209BN"/>
    <s v="11A"/>
    <s v="11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67"/>
    <s v="备用"/>
    <s v="2TEKC005AR209DICH12"/>
    <m/>
    <s v="R2TEKC005AR209DICH12"/>
    <s v="备用"/>
    <s v="TETN"/>
    <m/>
    <x v="3"/>
    <s v="DI211"/>
    <x v="27"/>
    <s v="2TEKC005AR209DI"/>
    <n v="2"/>
    <x v="6"/>
    <x v="11"/>
    <n v="19"/>
    <m/>
    <s v="TB222"/>
    <s v="209BN"/>
    <s v="12A"/>
    <s v="12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68"/>
    <s v="备用"/>
    <s v="2TEKC005AR209DICH13"/>
    <m/>
    <s v="R2TEKC005AR209DICH13"/>
    <s v="备用"/>
    <s v="TETN"/>
    <m/>
    <x v="3"/>
    <s v="DI211"/>
    <x v="27"/>
    <s v="2TEKC005AR209DI"/>
    <n v="2"/>
    <x v="6"/>
    <x v="12"/>
    <n v="19"/>
    <m/>
    <s v="TB222"/>
    <s v="209BN"/>
    <s v="13A"/>
    <s v="13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69"/>
    <s v="备用"/>
    <s v="2TEKC005AR209DICH14"/>
    <m/>
    <s v="R2TEKC005AR209DICH14"/>
    <s v="备用"/>
    <s v="TETN"/>
    <m/>
    <x v="3"/>
    <s v="DI211"/>
    <x v="27"/>
    <s v="2TEKC005AR209DI"/>
    <n v="2"/>
    <x v="6"/>
    <x v="13"/>
    <n v="19"/>
    <m/>
    <s v="TB222"/>
    <s v="209BN"/>
    <s v="14A"/>
    <s v="14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70"/>
    <s v="备用"/>
    <s v="2TEKC005AR209DICH15"/>
    <m/>
    <s v="R2TEKC005AR209DICH15"/>
    <s v="备用"/>
    <s v="TETN"/>
    <m/>
    <x v="3"/>
    <s v="DI211"/>
    <x v="27"/>
    <s v="2TEKC005AR209DI"/>
    <n v="2"/>
    <x v="6"/>
    <x v="14"/>
    <n v="19"/>
    <m/>
    <s v="TB222"/>
    <s v="209BN"/>
    <s v="15A"/>
    <s v="15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71"/>
    <s v="备用"/>
    <s v="2TEKC005AR209DICH16"/>
    <m/>
    <s v="R2TEKC005AR209DICH16"/>
    <s v="备用"/>
    <s v="TETN"/>
    <m/>
    <x v="3"/>
    <s v="DI211"/>
    <x v="27"/>
    <s v="2TEKC005AR209DI"/>
    <n v="2"/>
    <x v="6"/>
    <x v="15"/>
    <n v="19"/>
    <m/>
    <s v="TB222"/>
    <s v="209BN"/>
    <s v="16A"/>
    <s v="16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72"/>
    <s v="2TETN003HXT"/>
    <s v="2TETN-111VIE"/>
    <s v="KW"/>
    <s v="R2TETN111VIE_KW"/>
    <s v="气动截止阀开反馈"/>
    <s v="TETN"/>
    <s v="1812-B1132YKS07-001-046"/>
    <x v="3"/>
    <s v="DI211"/>
    <x v="28"/>
    <s v="2TEKC005AR210DI"/>
    <n v="2"/>
    <x v="8"/>
    <x v="0"/>
    <n v="20"/>
    <m/>
    <s v="TB222"/>
    <s v="210BN"/>
    <s v="1A"/>
    <s v="1B"/>
    <s v="--"/>
    <s v="--"/>
    <s v="NR"/>
    <s v="NA"/>
    <s v="DI"/>
    <n v="1"/>
    <s v="DCS"/>
    <s v="DI1"/>
    <m/>
    <m/>
    <m/>
    <m/>
    <m/>
    <m/>
    <m/>
    <m/>
    <m/>
    <m/>
    <s v="2TETN01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73"/>
    <s v="2TETN003HXT"/>
    <s v="2TETN-111VIE"/>
    <s v="GW"/>
    <s v="R2TETN111VIE_GW"/>
    <s v="气动截止阀关反馈"/>
    <s v="TETN"/>
    <s v="1812-B1132YKS07-001-046"/>
    <x v="3"/>
    <s v="DI211"/>
    <x v="28"/>
    <s v="2TEKC005AR210DI"/>
    <n v="2"/>
    <x v="8"/>
    <x v="1"/>
    <n v="20"/>
    <m/>
    <s v="TB222"/>
    <s v="210BN"/>
    <s v="2A"/>
    <s v="2B"/>
    <s v="--"/>
    <s v="--"/>
    <s v="NR"/>
    <s v="NA"/>
    <s v="DI"/>
    <n v="1"/>
    <s v="DCS"/>
    <s v="DI1"/>
    <m/>
    <m/>
    <m/>
    <m/>
    <m/>
    <m/>
    <m/>
    <m/>
    <m/>
    <m/>
    <s v="2TETN01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74"/>
    <s v="2TETN003HXT"/>
    <s v="2TETN-176VIE"/>
    <s v="KW"/>
    <s v="R2TETN176VIE_KW"/>
    <s v="气动截止阀开反馈"/>
    <s v="TETN"/>
    <s v="1812-B1132YKS07-001-063"/>
    <x v="3"/>
    <s v="DI211"/>
    <x v="28"/>
    <s v="2TEKC005AR210DI"/>
    <n v="2"/>
    <x v="8"/>
    <x v="2"/>
    <n v="20"/>
    <m/>
    <s v="TB222"/>
    <s v="210BN"/>
    <s v="3A"/>
    <s v="3B"/>
    <s v="--"/>
    <s v="--"/>
    <s v="NR"/>
    <s v="NA"/>
    <s v="DI"/>
    <n v="1"/>
    <s v="DCS"/>
    <s v="DI1"/>
    <m/>
    <m/>
    <m/>
    <m/>
    <m/>
    <m/>
    <m/>
    <m/>
    <m/>
    <m/>
    <s v="2TETN01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75"/>
    <s v="2TETN003HXT"/>
    <s v="2TETN-176VIE"/>
    <s v="GW"/>
    <s v="R2TETN176VIE_GW"/>
    <s v="气动截止阀关反馈"/>
    <s v="TETN"/>
    <s v="1812-B1132YKS07-001-063"/>
    <x v="3"/>
    <s v="DI211"/>
    <x v="28"/>
    <s v="2TEKC005AR210DI"/>
    <n v="2"/>
    <x v="8"/>
    <x v="3"/>
    <n v="20"/>
    <m/>
    <s v="TB222"/>
    <s v="210BN"/>
    <s v="4A"/>
    <s v="4B"/>
    <s v="--"/>
    <s v="--"/>
    <s v="NR"/>
    <s v="NA"/>
    <s v="DI"/>
    <n v="1"/>
    <s v="DCS"/>
    <s v="DI1"/>
    <m/>
    <m/>
    <m/>
    <m/>
    <m/>
    <m/>
    <m/>
    <m/>
    <m/>
    <m/>
    <s v="2TETN01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76"/>
    <s v="2TETN004HXT"/>
    <s v="2TETN-177VIE"/>
    <s v="KW"/>
    <s v="R2TETN177VIE_KW"/>
    <s v="气动截止阀开反馈"/>
    <s v="TETN"/>
    <s v="1812-B1132YKS07-001-064"/>
    <x v="3"/>
    <s v="DI211"/>
    <x v="28"/>
    <s v="2TEKC005AR210DI"/>
    <n v="2"/>
    <x v="8"/>
    <x v="4"/>
    <n v="20"/>
    <m/>
    <s v="TB222"/>
    <s v="210BN"/>
    <s v="5A"/>
    <s v="5B"/>
    <s v="--"/>
    <s v="--"/>
    <s v="NR"/>
    <s v="NA"/>
    <s v="DI"/>
    <n v="1"/>
    <s v="DCS"/>
    <s v="DI1"/>
    <m/>
    <m/>
    <m/>
    <m/>
    <m/>
    <m/>
    <m/>
    <m/>
    <m/>
    <m/>
    <s v="2TETN01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77"/>
    <s v="2TETN004HXT"/>
    <s v="2TETN-177VIE"/>
    <s v="GW"/>
    <s v="R2TETN177VIE_GW"/>
    <s v="气动截止阀关反馈"/>
    <s v="TETN"/>
    <s v="1812-B1132YKS07-001-064"/>
    <x v="3"/>
    <s v="DI211"/>
    <x v="28"/>
    <s v="2TEKC005AR210DI"/>
    <n v="2"/>
    <x v="8"/>
    <x v="5"/>
    <n v="20"/>
    <m/>
    <s v="TB222"/>
    <s v="210BN"/>
    <s v="6A"/>
    <s v="6B"/>
    <s v="--"/>
    <s v="--"/>
    <s v="NR"/>
    <s v="NA"/>
    <s v="DI"/>
    <n v="1"/>
    <s v="DCS"/>
    <s v="DI1"/>
    <m/>
    <m/>
    <m/>
    <m/>
    <m/>
    <m/>
    <m/>
    <m/>
    <m/>
    <m/>
    <s v="2TETN01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78"/>
    <s v="2TETN004HXT"/>
    <s v="2TETN-178VIE"/>
    <s v="KW"/>
    <s v="R2TETN178VIE_KW"/>
    <s v="气动截止阀开反馈"/>
    <s v="TETN"/>
    <s v="1812-B1132YKS07-001-065"/>
    <x v="3"/>
    <s v="DI211"/>
    <x v="28"/>
    <s v="2TEKC005AR210DI"/>
    <n v="2"/>
    <x v="8"/>
    <x v="6"/>
    <n v="20"/>
    <m/>
    <s v="TB222"/>
    <s v="210BN"/>
    <s v="7A"/>
    <s v="7B"/>
    <s v="--"/>
    <s v="--"/>
    <s v="NR"/>
    <s v="NA"/>
    <s v="DI"/>
    <n v="1"/>
    <s v="DCS"/>
    <s v="DI1"/>
    <m/>
    <m/>
    <m/>
    <m/>
    <m/>
    <m/>
    <m/>
    <m/>
    <m/>
    <m/>
    <s v="2TETN01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79"/>
    <s v="2TETN004HXT"/>
    <s v="2TETN-178VIE"/>
    <s v="GW"/>
    <s v="R2TETN178VIE_GW"/>
    <s v="气动截止阀关反馈"/>
    <s v="TETN"/>
    <s v="1812-B1132YKS07-001-065"/>
    <x v="3"/>
    <s v="DI211"/>
    <x v="28"/>
    <s v="2TEKC005AR210DI"/>
    <n v="2"/>
    <x v="8"/>
    <x v="7"/>
    <n v="20"/>
    <m/>
    <s v="TB222"/>
    <s v="210BN"/>
    <s v="8A"/>
    <s v="8B"/>
    <s v="--"/>
    <s v="--"/>
    <s v="NR"/>
    <s v="NA"/>
    <s v="DI"/>
    <n v="1"/>
    <s v="DCS"/>
    <s v="DI1"/>
    <m/>
    <m/>
    <m/>
    <m/>
    <m/>
    <m/>
    <m/>
    <m/>
    <m/>
    <m/>
    <s v="2TETN01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80"/>
    <s v="2TETN005HXT"/>
    <s v="2TETN-179VIE"/>
    <s v="KW"/>
    <s v="R2TETN179VIE_KW"/>
    <s v="气动截止阀开反馈"/>
    <s v="TETN"/>
    <s v="1812-B1132YKS07-001-066"/>
    <x v="3"/>
    <s v="DI211"/>
    <x v="28"/>
    <s v="2TEKC005AR210DI"/>
    <n v="2"/>
    <x v="8"/>
    <x v="8"/>
    <n v="20"/>
    <m/>
    <s v="TB222"/>
    <s v="210BN"/>
    <s v="9A"/>
    <s v="9B"/>
    <s v="--"/>
    <s v="--"/>
    <s v="NR"/>
    <s v="NA"/>
    <s v="DI"/>
    <n v="1"/>
    <s v="DCS"/>
    <s v="DI1"/>
    <m/>
    <m/>
    <m/>
    <m/>
    <m/>
    <m/>
    <m/>
    <m/>
    <m/>
    <m/>
    <s v="2TETN01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81"/>
    <s v="2TETN005HXT"/>
    <s v="2TETN-179VIE"/>
    <s v="GW"/>
    <s v="R2TETN179VIE_GW"/>
    <s v="气动截止阀关反馈"/>
    <s v="TETN"/>
    <s v="1812-B1132YKS07-001-066"/>
    <x v="3"/>
    <s v="DI211"/>
    <x v="28"/>
    <s v="2TEKC005AR210DI"/>
    <n v="2"/>
    <x v="8"/>
    <x v="9"/>
    <n v="20"/>
    <m/>
    <s v="TB222"/>
    <s v="210BN"/>
    <s v="10A"/>
    <s v="10B"/>
    <s v="--"/>
    <s v="--"/>
    <s v="NR"/>
    <s v="NA"/>
    <s v="DI"/>
    <n v="1"/>
    <s v="DCS"/>
    <s v="DI1"/>
    <m/>
    <m/>
    <m/>
    <m/>
    <m/>
    <m/>
    <m/>
    <m/>
    <m/>
    <m/>
    <s v="2TETN01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82"/>
    <s v="2TETN002HXT"/>
    <s v="2TETN-500VDE"/>
    <s v="KW"/>
    <s v="R2TETN500VDE_KW"/>
    <s v="气动截止阀开反馈"/>
    <s v="TETN"/>
    <s v="1812-B1132YKS07-001-087"/>
    <x v="3"/>
    <s v="DI211"/>
    <x v="28"/>
    <s v="2TEKC005AR210DI"/>
    <n v="2"/>
    <x v="8"/>
    <x v="10"/>
    <n v="20"/>
    <m/>
    <s v="TB222"/>
    <s v="210BN"/>
    <s v="11A"/>
    <s v="11B"/>
    <s v="--"/>
    <s v="--"/>
    <s v="NR"/>
    <s v="NA"/>
    <s v="DI"/>
    <n v="1"/>
    <s v="DCS"/>
    <s v="DI1"/>
    <m/>
    <m/>
    <m/>
    <m/>
    <m/>
    <m/>
    <m/>
    <m/>
    <m/>
    <m/>
    <s v="2TETN01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83"/>
    <s v="2TETN002HXT"/>
    <s v="2TETN-500VDE"/>
    <s v="GW"/>
    <s v="R2TETN500VDE_GW"/>
    <s v="气动截止阀关反馈"/>
    <s v="TETN"/>
    <s v="1812-B1132YKS07-001-087"/>
    <x v="3"/>
    <s v="DI211"/>
    <x v="28"/>
    <s v="2TEKC005AR210DI"/>
    <n v="2"/>
    <x v="8"/>
    <x v="11"/>
    <n v="20"/>
    <m/>
    <s v="TB222"/>
    <s v="210BN"/>
    <s v="12A"/>
    <s v="12B"/>
    <s v="--"/>
    <s v="--"/>
    <s v="NR"/>
    <s v="NA"/>
    <s v="DI"/>
    <n v="1"/>
    <s v="DCS"/>
    <s v="DI1"/>
    <m/>
    <m/>
    <m/>
    <m/>
    <m/>
    <m/>
    <m/>
    <m/>
    <m/>
    <m/>
    <s v="2TETN01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84"/>
    <s v="备用"/>
    <s v="2TEKC005AR210DICH13"/>
    <m/>
    <s v="R2TEKC005AR210DICH13"/>
    <s v="备用"/>
    <s v="TETN"/>
    <m/>
    <x v="3"/>
    <s v="DI211"/>
    <x v="28"/>
    <s v="2TEKC005AR210DI"/>
    <n v="2"/>
    <x v="8"/>
    <x v="12"/>
    <n v="20"/>
    <m/>
    <s v="TB222"/>
    <s v="210BN"/>
    <s v="13A"/>
    <s v="13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85"/>
    <s v="备用"/>
    <s v="2TEKC005AR210DICH14"/>
    <m/>
    <s v="R2TEKC005AR210DICH14"/>
    <s v="备用"/>
    <s v="TETN"/>
    <m/>
    <x v="3"/>
    <s v="DI211"/>
    <x v="28"/>
    <s v="2TEKC005AR210DI"/>
    <n v="2"/>
    <x v="8"/>
    <x v="13"/>
    <n v="20"/>
    <m/>
    <s v="TB222"/>
    <s v="210BN"/>
    <s v="14A"/>
    <s v="14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86"/>
    <s v="备用"/>
    <s v="2TEKC005AR210DICH15"/>
    <m/>
    <s v="R2TEKC005AR210DICH15"/>
    <s v="备用"/>
    <s v="TETN"/>
    <m/>
    <x v="3"/>
    <s v="DI211"/>
    <x v="28"/>
    <s v="2TEKC005AR210DI"/>
    <n v="2"/>
    <x v="8"/>
    <x v="14"/>
    <n v="20"/>
    <m/>
    <s v="TB222"/>
    <s v="210BN"/>
    <s v="15A"/>
    <s v="15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87"/>
    <s v="备用"/>
    <s v="2TEKC005AR210DICH16"/>
    <m/>
    <s v="R2TEKC005AR210DICH16"/>
    <s v="备用"/>
    <s v="TETN"/>
    <m/>
    <x v="3"/>
    <s v="DI211"/>
    <x v="28"/>
    <s v="2TEKC005AR210DI"/>
    <n v="2"/>
    <x v="8"/>
    <x v="15"/>
    <n v="20"/>
    <m/>
    <s v="TB222"/>
    <s v="210BN"/>
    <s v="16A"/>
    <s v="16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88"/>
    <s v="2TETN006HXT"/>
    <s v="2TETN-026VBE"/>
    <s v="KW"/>
    <s v="R2TETN026VBE_KW"/>
    <s v="气动截止阀开反馈"/>
    <s v="TETN"/>
    <s v="1812-B1132YKS07-001-022"/>
    <x v="3"/>
    <s v="DI211"/>
    <x v="29"/>
    <s v="2TEKC005AR301DI"/>
    <n v="3"/>
    <x v="5"/>
    <x v="0"/>
    <n v="21"/>
    <m/>
    <s v="TB222"/>
    <s v="301BN"/>
    <s v="1A"/>
    <s v="1B"/>
    <s v="--"/>
    <s v="--"/>
    <s v="NR"/>
    <s v="NA"/>
    <s v="DI"/>
    <n v="1"/>
    <s v="DCS"/>
    <s v="DI1"/>
    <m/>
    <m/>
    <m/>
    <m/>
    <m/>
    <m/>
    <m/>
    <m/>
    <m/>
    <m/>
    <s v="2TETN01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89"/>
    <s v="2TETN006HXT"/>
    <s v="2TETN-026VBE"/>
    <s v="GW"/>
    <s v="R2TETN026VBE_GW"/>
    <s v="气动截止阀关反馈"/>
    <s v="TETN"/>
    <s v="1812-B1132YKS07-001-022"/>
    <x v="3"/>
    <s v="DI211"/>
    <x v="29"/>
    <s v="2TEKC005AR301DI"/>
    <n v="3"/>
    <x v="5"/>
    <x v="1"/>
    <n v="21"/>
    <m/>
    <s v="TB222"/>
    <s v="301BN"/>
    <s v="2A"/>
    <s v="2B"/>
    <s v="--"/>
    <s v="--"/>
    <s v="NR"/>
    <s v="NA"/>
    <s v="DI"/>
    <n v="1"/>
    <s v="DCS"/>
    <s v="DI1"/>
    <m/>
    <m/>
    <m/>
    <m/>
    <m/>
    <m/>
    <m/>
    <m/>
    <m/>
    <m/>
    <s v="2TETN01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90"/>
    <s v="2TETN006HXT"/>
    <s v="2TETN-027VBE"/>
    <s v="KW"/>
    <s v="R2TETN027VBE_KW"/>
    <s v="气动截止阀开反馈"/>
    <s v="TETN"/>
    <s v="1812-B1132YKS07-001-023"/>
    <x v="3"/>
    <s v="DI211"/>
    <x v="29"/>
    <s v="2TEKC005AR301DI"/>
    <n v="3"/>
    <x v="5"/>
    <x v="2"/>
    <n v="21"/>
    <m/>
    <s v="TB222"/>
    <s v="301BN"/>
    <s v="3A"/>
    <s v="3B"/>
    <s v="--"/>
    <s v="--"/>
    <s v="NR"/>
    <s v="NA"/>
    <s v="DI"/>
    <n v="1"/>
    <s v="DCS"/>
    <s v="DI1"/>
    <m/>
    <m/>
    <m/>
    <m/>
    <m/>
    <m/>
    <m/>
    <m/>
    <m/>
    <m/>
    <s v="2TETN01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91"/>
    <s v="2TETN006HXT"/>
    <s v="2TETN-027VBE"/>
    <s v="GW"/>
    <s v="R2TETN027VBE_GW"/>
    <s v="气动截止阀关反馈"/>
    <s v="TETN"/>
    <s v="1812-B1132YKS07-001-023"/>
    <x v="3"/>
    <s v="DI211"/>
    <x v="29"/>
    <s v="2TEKC005AR301DI"/>
    <n v="3"/>
    <x v="5"/>
    <x v="3"/>
    <n v="21"/>
    <m/>
    <s v="TB222"/>
    <s v="301BN"/>
    <s v="4A"/>
    <s v="4B"/>
    <s v="--"/>
    <s v="--"/>
    <s v="NR"/>
    <s v="NA"/>
    <s v="DI"/>
    <n v="1"/>
    <s v="DCS"/>
    <s v="DI1"/>
    <m/>
    <m/>
    <m/>
    <m/>
    <m/>
    <m/>
    <m/>
    <m/>
    <m/>
    <m/>
    <s v="2TETN01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92"/>
    <s v="2TETN006HXT"/>
    <s v="2TETN-029VBE"/>
    <s v="KW"/>
    <s v="R2TETN029VBE_KW"/>
    <s v="气动截止阀开反馈"/>
    <s v="TETN"/>
    <s v="1812-B1132YKS07-001-025"/>
    <x v="3"/>
    <s v="DI211"/>
    <x v="29"/>
    <s v="2TEKC005AR301DI"/>
    <n v="3"/>
    <x v="5"/>
    <x v="4"/>
    <n v="21"/>
    <m/>
    <s v="TB222"/>
    <s v="301BN"/>
    <s v="5A"/>
    <s v="5B"/>
    <s v="--"/>
    <s v="--"/>
    <s v="NR"/>
    <s v="NA"/>
    <s v="DI"/>
    <n v="1"/>
    <s v="DCS"/>
    <s v="DI1"/>
    <m/>
    <m/>
    <m/>
    <m/>
    <m/>
    <m/>
    <m/>
    <m/>
    <m/>
    <m/>
    <s v="2TETN01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93"/>
    <s v="2TETN006HXT"/>
    <s v="2TETN-029VBE"/>
    <s v="GW"/>
    <s v="R2TETN029VBE_GW"/>
    <s v="气动截止阀关反馈"/>
    <s v="TETN"/>
    <s v="1812-B1132YKS07-001-025"/>
    <x v="3"/>
    <s v="DI211"/>
    <x v="29"/>
    <s v="2TEKC005AR301DI"/>
    <n v="3"/>
    <x v="5"/>
    <x v="5"/>
    <n v="21"/>
    <m/>
    <s v="TB222"/>
    <s v="301BN"/>
    <s v="6A"/>
    <s v="6B"/>
    <s v="--"/>
    <s v="--"/>
    <s v="NR"/>
    <s v="NA"/>
    <s v="DI"/>
    <n v="1"/>
    <s v="DCS"/>
    <s v="DI1"/>
    <m/>
    <m/>
    <m/>
    <m/>
    <m/>
    <m/>
    <m/>
    <m/>
    <m/>
    <m/>
    <s v="2TETN01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94"/>
    <s v="2TETN006HXT"/>
    <s v="2TETN-212VIE"/>
    <s v="KW"/>
    <s v="R2TETN212VIE_KW"/>
    <s v="气动截止阀开反馈"/>
    <s v="TETN"/>
    <s v="1812-B1132YKS07-001-068"/>
    <x v="3"/>
    <s v="DI211"/>
    <x v="29"/>
    <s v="2TEKC005AR301DI"/>
    <n v="3"/>
    <x v="5"/>
    <x v="6"/>
    <n v="21"/>
    <m/>
    <s v="TB222"/>
    <s v="301BN"/>
    <s v="7A"/>
    <s v="7B"/>
    <s v="--"/>
    <s v="--"/>
    <s v="NR"/>
    <s v="NA"/>
    <s v="DI"/>
    <n v="1"/>
    <s v="DCS"/>
    <s v="DI1"/>
    <m/>
    <m/>
    <m/>
    <m/>
    <m/>
    <m/>
    <m/>
    <m/>
    <m/>
    <m/>
    <s v="2TETN01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95"/>
    <s v="2TETN006HXT"/>
    <s v="2TETN-212VIE"/>
    <s v="GW"/>
    <s v="R2TETN212VIE_GW"/>
    <s v="气动截止阀关反馈"/>
    <s v="TETN"/>
    <s v="1812-B1132YKS07-001-068"/>
    <x v="3"/>
    <s v="DI211"/>
    <x v="29"/>
    <s v="2TEKC005AR301DI"/>
    <n v="3"/>
    <x v="5"/>
    <x v="7"/>
    <n v="21"/>
    <m/>
    <s v="TB222"/>
    <s v="301BN"/>
    <s v="8A"/>
    <s v="8B"/>
    <s v="--"/>
    <s v="--"/>
    <s v="NR"/>
    <s v="NA"/>
    <s v="DI"/>
    <n v="1"/>
    <s v="DCS"/>
    <s v="DI1"/>
    <m/>
    <m/>
    <m/>
    <m/>
    <m/>
    <m/>
    <m/>
    <m/>
    <m/>
    <m/>
    <s v="2TETN01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96"/>
    <s v="2TETN006HXT"/>
    <s v="2TETN-213VIE"/>
    <s v="KW"/>
    <s v="R2TETN213VIE_KW"/>
    <s v="气动截止阀开反馈"/>
    <s v="TETN"/>
    <s v="1812-B1132YKS07-001-069"/>
    <x v="3"/>
    <s v="DI211"/>
    <x v="29"/>
    <s v="2TEKC005AR301DI"/>
    <n v="3"/>
    <x v="5"/>
    <x v="8"/>
    <n v="21"/>
    <m/>
    <s v="TB222"/>
    <s v="301BN"/>
    <s v="9A"/>
    <s v="9B"/>
    <s v="--"/>
    <s v="--"/>
    <s v="NR"/>
    <s v="NA"/>
    <s v="DI"/>
    <n v="1"/>
    <s v="DCS"/>
    <s v="DI1"/>
    <m/>
    <m/>
    <m/>
    <m/>
    <m/>
    <m/>
    <m/>
    <m/>
    <m/>
    <m/>
    <s v="2TETN01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97"/>
    <s v="2TETN006HXT"/>
    <s v="2TETN-213VIE"/>
    <s v="GW"/>
    <s v="R2TETN213VIE_GW"/>
    <s v="气动截止阀关反馈"/>
    <s v="TETN"/>
    <s v="1812-B1132YKS07-001-069"/>
    <x v="3"/>
    <s v="DI211"/>
    <x v="29"/>
    <s v="2TEKC005AR301DI"/>
    <n v="3"/>
    <x v="5"/>
    <x v="9"/>
    <n v="21"/>
    <m/>
    <s v="TB222"/>
    <s v="301BN"/>
    <s v="10A"/>
    <s v="10B"/>
    <s v="--"/>
    <s v="--"/>
    <s v="NR"/>
    <s v="NA"/>
    <s v="DI"/>
    <n v="1"/>
    <s v="DCS"/>
    <s v="DI1"/>
    <m/>
    <m/>
    <m/>
    <m/>
    <m/>
    <m/>
    <m/>
    <m/>
    <m/>
    <m/>
    <s v="2TETN01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98"/>
    <s v="2TETN006HXT"/>
    <s v="2TETN-222VIE"/>
    <s v="KW"/>
    <s v="R2TETN222VIE_KW"/>
    <s v="气动截止阀开反馈"/>
    <s v="TETN"/>
    <s v="1812-B1132YKS07-001-071"/>
    <x v="3"/>
    <s v="DI211"/>
    <x v="29"/>
    <s v="2TEKC005AR301DI"/>
    <n v="3"/>
    <x v="5"/>
    <x v="10"/>
    <n v="21"/>
    <m/>
    <s v="TB222"/>
    <s v="301BN"/>
    <s v="11A"/>
    <s v="11B"/>
    <s v="--"/>
    <s v="--"/>
    <s v="NR"/>
    <s v="NA"/>
    <s v="DI"/>
    <n v="1"/>
    <s v="DCS"/>
    <s v="DI1"/>
    <m/>
    <m/>
    <m/>
    <m/>
    <m/>
    <m/>
    <m/>
    <m/>
    <m/>
    <m/>
    <s v="2TETN01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099"/>
    <s v="2TETN006HXT"/>
    <s v="2TETN-222VIE"/>
    <s v="GW"/>
    <s v="R2TETN222VIE_GW"/>
    <s v="气动截止阀关反馈"/>
    <s v="TETN"/>
    <s v="1812-B1132YKS07-001-071"/>
    <x v="3"/>
    <s v="DI211"/>
    <x v="29"/>
    <s v="2TEKC005AR301DI"/>
    <n v="3"/>
    <x v="5"/>
    <x v="11"/>
    <n v="21"/>
    <m/>
    <s v="TB222"/>
    <s v="301BN"/>
    <s v="12A"/>
    <s v="12B"/>
    <s v="--"/>
    <s v="--"/>
    <s v="NR"/>
    <s v="NA"/>
    <s v="DI"/>
    <n v="1"/>
    <s v="DCS"/>
    <s v="DI1"/>
    <m/>
    <m/>
    <m/>
    <m/>
    <m/>
    <m/>
    <m/>
    <m/>
    <m/>
    <m/>
    <s v="2TETN01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00"/>
    <s v="2TETN006HXT"/>
    <s v="2TETN-223VIE"/>
    <s v="KW"/>
    <s v="R2TETN223VIE_KW"/>
    <s v="气动截止阀开反馈"/>
    <s v="TETN"/>
    <s v="1812-B1132YKS07-001-072"/>
    <x v="3"/>
    <s v="DI211"/>
    <x v="29"/>
    <s v="2TEKC005AR301DI"/>
    <n v="3"/>
    <x v="5"/>
    <x v="12"/>
    <n v="21"/>
    <m/>
    <s v="TB222"/>
    <s v="301BN"/>
    <s v="13A"/>
    <s v="13B"/>
    <s v="--"/>
    <s v="--"/>
    <s v="NR"/>
    <s v="NA"/>
    <s v="DI"/>
    <n v="1"/>
    <s v="DCS"/>
    <s v="DI1"/>
    <m/>
    <m/>
    <m/>
    <m/>
    <m/>
    <m/>
    <m/>
    <m/>
    <m/>
    <m/>
    <s v="2TETN01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01"/>
    <s v="2TETN006HXT"/>
    <s v="2TETN-223VIE"/>
    <s v="GW"/>
    <s v="R2TETN223VIE_GW"/>
    <s v="气动截止阀关反馈"/>
    <s v="TETN"/>
    <s v="1812-B1132YKS07-001-072"/>
    <x v="3"/>
    <s v="DI211"/>
    <x v="29"/>
    <s v="2TEKC005AR301DI"/>
    <n v="3"/>
    <x v="5"/>
    <x v="13"/>
    <n v="21"/>
    <m/>
    <s v="TB222"/>
    <s v="301BN"/>
    <s v="14A"/>
    <s v="14B"/>
    <s v="--"/>
    <s v="--"/>
    <s v="NR"/>
    <s v="NA"/>
    <s v="DI"/>
    <n v="1"/>
    <s v="DCS"/>
    <s v="DI1"/>
    <m/>
    <m/>
    <m/>
    <m/>
    <m/>
    <m/>
    <m/>
    <m/>
    <m/>
    <m/>
    <s v="2TETN01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02"/>
    <s v="备用"/>
    <s v="2TEKC005AR301DICH15"/>
    <m/>
    <s v="R2TEKC005AR301DICH15"/>
    <s v="备用"/>
    <s v="TETN"/>
    <m/>
    <x v="3"/>
    <s v="DI211"/>
    <x v="29"/>
    <s v="2TEKC005AR301DI"/>
    <n v="3"/>
    <x v="5"/>
    <x v="14"/>
    <n v="21"/>
    <m/>
    <s v="TB222"/>
    <s v="301BN"/>
    <s v="15A"/>
    <s v="15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03"/>
    <s v="备用"/>
    <s v="2TEKC005AR301DICH16"/>
    <m/>
    <s v="R2TEKC005AR301DICH16"/>
    <s v="备用"/>
    <s v="TETN"/>
    <m/>
    <x v="3"/>
    <s v="DI211"/>
    <x v="29"/>
    <s v="2TEKC005AR301DI"/>
    <n v="3"/>
    <x v="5"/>
    <x v="15"/>
    <n v="21"/>
    <m/>
    <s v="TB222"/>
    <s v="301BN"/>
    <s v="16A"/>
    <s v="16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04"/>
    <s v="2TETN006HXT"/>
    <s v="2TETN-211VIE"/>
    <s v="KW"/>
    <s v="R2TETN211VIE_KW"/>
    <s v="气动截止阀开反馈"/>
    <s v="TETN"/>
    <s v="1812-B1132YKS07-001-067"/>
    <x v="3"/>
    <s v="DI211"/>
    <x v="30"/>
    <s v="2TEKC005AR302DI"/>
    <n v="3"/>
    <x v="9"/>
    <x v="0"/>
    <n v="22"/>
    <m/>
    <s v="TB222"/>
    <s v="302BN"/>
    <s v="1A"/>
    <s v="1B"/>
    <s v="--"/>
    <s v="--"/>
    <s v="NR"/>
    <s v="NA"/>
    <s v="DI"/>
    <n v="1"/>
    <s v="DCS"/>
    <s v="DI1"/>
    <m/>
    <m/>
    <m/>
    <m/>
    <m/>
    <m/>
    <m/>
    <m/>
    <m/>
    <m/>
    <s v="2TETN018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05"/>
    <s v="2TETN006HXT"/>
    <s v="2TETN-211VIE"/>
    <s v="GW"/>
    <s v="R2TETN211VIE_GW"/>
    <s v="气动截止阀关反馈"/>
    <s v="TETN"/>
    <s v="1812-B1132YKS07-001-067"/>
    <x v="3"/>
    <s v="DI211"/>
    <x v="30"/>
    <s v="2TEKC005AR302DI"/>
    <n v="3"/>
    <x v="9"/>
    <x v="1"/>
    <n v="22"/>
    <m/>
    <s v="TB222"/>
    <s v="302BN"/>
    <s v="2A"/>
    <s v="2B"/>
    <s v="--"/>
    <s v="--"/>
    <s v="NR"/>
    <s v="NA"/>
    <s v="DI"/>
    <n v="1"/>
    <s v="DCS"/>
    <s v="DI1"/>
    <m/>
    <m/>
    <m/>
    <m/>
    <m/>
    <m/>
    <m/>
    <m/>
    <m/>
    <m/>
    <s v="2TETN018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06"/>
    <s v="2TETN006HXT"/>
    <s v="2TETN-276VIE"/>
    <s v="KW"/>
    <s v="R2TETN276VIE_KW"/>
    <s v="气动截止阀开反馈"/>
    <s v="TETN"/>
    <s v="1812-B1132YKS07-001-083"/>
    <x v="3"/>
    <s v="DI211"/>
    <x v="30"/>
    <s v="2TEKC005AR302DI"/>
    <n v="3"/>
    <x v="9"/>
    <x v="2"/>
    <n v="22"/>
    <m/>
    <s v="TB222"/>
    <s v="302BN"/>
    <s v="3A"/>
    <s v="3B"/>
    <s v="--"/>
    <s v="--"/>
    <s v="NR"/>
    <s v="NA"/>
    <s v="DI"/>
    <n v="1"/>
    <s v="DCS"/>
    <s v="DI1"/>
    <m/>
    <m/>
    <m/>
    <m/>
    <m/>
    <m/>
    <m/>
    <m/>
    <m/>
    <m/>
    <s v="2TETN018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07"/>
    <s v="2TETN006HXT"/>
    <s v="2TETN-276VIE"/>
    <s v="GW"/>
    <s v="R2TETN276VIE_GW"/>
    <s v="气动截止阀关反馈"/>
    <s v="TETN"/>
    <s v="1812-B1132YKS07-001-083"/>
    <x v="3"/>
    <s v="DI211"/>
    <x v="30"/>
    <s v="2TEKC005AR302DI"/>
    <n v="3"/>
    <x v="9"/>
    <x v="3"/>
    <n v="22"/>
    <m/>
    <s v="TB222"/>
    <s v="302BN"/>
    <s v="4A"/>
    <s v="4B"/>
    <s v="--"/>
    <s v="--"/>
    <s v="NR"/>
    <s v="NA"/>
    <s v="DI"/>
    <n v="1"/>
    <s v="DCS"/>
    <s v="DI1"/>
    <m/>
    <m/>
    <m/>
    <m/>
    <m/>
    <m/>
    <m/>
    <m/>
    <m/>
    <m/>
    <s v="2TETN018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08"/>
    <s v="2TETN006HXT/2TETN007HXT"/>
    <s v="2TETN-277VIE"/>
    <s v="KW"/>
    <s v="R2TETN277VIE_KW"/>
    <s v="气动截止阀开反馈"/>
    <s v="TETN"/>
    <s v="1812-B1132YKS07-001-084"/>
    <x v="3"/>
    <s v="DI211"/>
    <x v="30"/>
    <s v="2TEKC005AR302DI"/>
    <n v="3"/>
    <x v="9"/>
    <x v="4"/>
    <n v="22"/>
    <m/>
    <s v="TB222"/>
    <s v="302BN"/>
    <s v="5A"/>
    <s v="5B"/>
    <s v="--"/>
    <s v="--"/>
    <s v="NR"/>
    <s v="NA"/>
    <s v="DI"/>
    <n v="1"/>
    <s v="DCS"/>
    <s v="DI1"/>
    <m/>
    <m/>
    <m/>
    <m/>
    <m/>
    <m/>
    <m/>
    <m/>
    <m/>
    <m/>
    <s v="2TETN018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09"/>
    <s v="2TETN006HXT/2TETN007HXT"/>
    <s v="2TETN-277VIE"/>
    <s v="GW"/>
    <s v="R2TETN277VIE_GW"/>
    <s v="气动截止阀关反馈"/>
    <s v="TETN"/>
    <s v="1812-B1132YKS07-001-084"/>
    <x v="3"/>
    <s v="DI211"/>
    <x v="30"/>
    <s v="2TEKC005AR302DI"/>
    <n v="3"/>
    <x v="9"/>
    <x v="5"/>
    <n v="22"/>
    <m/>
    <s v="TB222"/>
    <s v="302BN"/>
    <s v="6A"/>
    <s v="6B"/>
    <s v="--"/>
    <s v="--"/>
    <s v="NR"/>
    <s v="NA"/>
    <s v="DI"/>
    <n v="1"/>
    <s v="DCS"/>
    <s v="DI1"/>
    <m/>
    <m/>
    <m/>
    <m/>
    <m/>
    <m/>
    <m/>
    <m/>
    <m/>
    <m/>
    <s v="2TETN018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10"/>
    <s v="2TETN007HXT"/>
    <s v="2TETN-278VIE"/>
    <s v="KW"/>
    <s v="R2TETN278VIE_KW"/>
    <s v="气动截止阀开反馈"/>
    <s v="TETN"/>
    <s v="1812-B1132YKS07-001-085"/>
    <x v="3"/>
    <s v="DI211"/>
    <x v="30"/>
    <s v="2TEKC005AR302DI"/>
    <n v="3"/>
    <x v="9"/>
    <x v="6"/>
    <n v="22"/>
    <m/>
    <s v="TB222"/>
    <s v="302BN"/>
    <s v="7A"/>
    <s v="7B"/>
    <s v="--"/>
    <s v="--"/>
    <s v="NR"/>
    <s v="NA"/>
    <s v="DI"/>
    <n v="1"/>
    <s v="DCS"/>
    <s v="DI1"/>
    <m/>
    <m/>
    <m/>
    <m/>
    <m/>
    <m/>
    <m/>
    <m/>
    <m/>
    <m/>
    <s v="2TETN018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11"/>
    <s v="2TETN007HXT"/>
    <s v="2TETN-278VIE"/>
    <s v="GW"/>
    <s v="R2TETN278VIE_GW"/>
    <s v="气动截止阀关反馈"/>
    <s v="TETN"/>
    <s v="1812-B1132YKS07-001-085"/>
    <x v="3"/>
    <s v="DI211"/>
    <x v="30"/>
    <s v="2TEKC005AR302DI"/>
    <n v="3"/>
    <x v="9"/>
    <x v="7"/>
    <n v="22"/>
    <m/>
    <s v="TB222"/>
    <s v="302BN"/>
    <s v="8A"/>
    <s v="8B"/>
    <s v="--"/>
    <s v="--"/>
    <s v="NR"/>
    <s v="NA"/>
    <s v="DI"/>
    <n v="1"/>
    <s v="DCS"/>
    <s v="DI1"/>
    <m/>
    <m/>
    <m/>
    <m/>
    <m/>
    <m/>
    <m/>
    <m/>
    <m/>
    <m/>
    <s v="2TETN018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12"/>
    <s v="2TETN008HXT"/>
    <s v="2TETN-279VIE"/>
    <s v="KW"/>
    <s v="R2TETN279VIE_KW"/>
    <s v="气动截止阀开反馈"/>
    <s v="TETN"/>
    <s v="1812-B1132YKS07-001-086"/>
    <x v="3"/>
    <s v="DI211"/>
    <x v="30"/>
    <s v="2TEKC005AR302DI"/>
    <n v="3"/>
    <x v="9"/>
    <x v="8"/>
    <n v="22"/>
    <m/>
    <s v="TB222"/>
    <s v="302BN"/>
    <s v="9A"/>
    <s v="9B"/>
    <s v="--"/>
    <s v="--"/>
    <s v="NR"/>
    <s v="NA"/>
    <s v="DI"/>
    <n v="1"/>
    <s v="DCS"/>
    <s v="DI1"/>
    <m/>
    <m/>
    <m/>
    <m/>
    <m/>
    <m/>
    <m/>
    <m/>
    <m/>
    <m/>
    <s v="2TETN018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13"/>
    <s v="2TETN008HXT"/>
    <s v="2TETN-279VIE"/>
    <s v="GW"/>
    <s v="R2TETN279VIE_GW"/>
    <s v="气动截止阀关反馈"/>
    <s v="TETN"/>
    <s v="1812-B1132YKS07-001-086"/>
    <x v="3"/>
    <s v="DI211"/>
    <x v="30"/>
    <s v="2TEKC005AR302DI"/>
    <n v="3"/>
    <x v="9"/>
    <x v="9"/>
    <n v="22"/>
    <m/>
    <s v="TB222"/>
    <s v="302BN"/>
    <s v="10A"/>
    <s v="10B"/>
    <s v="--"/>
    <s v="--"/>
    <s v="NR"/>
    <s v="NA"/>
    <s v="DI"/>
    <n v="1"/>
    <s v="DCS"/>
    <s v="DI1"/>
    <m/>
    <m/>
    <m/>
    <m/>
    <m/>
    <m/>
    <m/>
    <m/>
    <m/>
    <m/>
    <s v="2TETN018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14"/>
    <s v="备用"/>
    <s v="2TEKC005AR302DICH11"/>
    <m/>
    <s v="R2TEKC005AR302DICH11"/>
    <s v="备用"/>
    <s v="TETN"/>
    <m/>
    <x v="3"/>
    <s v="DI211"/>
    <x v="30"/>
    <s v="2TEKC005AR302DI"/>
    <n v="3"/>
    <x v="9"/>
    <x v="10"/>
    <n v="22"/>
    <m/>
    <s v="TB222"/>
    <s v="302BN"/>
    <s v="11A"/>
    <s v="11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15"/>
    <s v="备用"/>
    <s v="2TEKC005AR302DICH12"/>
    <m/>
    <s v="R2TEKC005AR302DICH12"/>
    <s v="备用"/>
    <s v="TETN"/>
    <m/>
    <x v="3"/>
    <s v="DI211"/>
    <x v="30"/>
    <s v="2TEKC005AR302DI"/>
    <n v="3"/>
    <x v="9"/>
    <x v="11"/>
    <n v="22"/>
    <m/>
    <s v="TB222"/>
    <s v="302BN"/>
    <s v="12A"/>
    <s v="12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16"/>
    <s v="备用"/>
    <s v="2TEKC005AR302DICH13"/>
    <m/>
    <s v="R2TEKC005AR302DICH13"/>
    <s v="备用"/>
    <s v="TETN"/>
    <m/>
    <x v="3"/>
    <s v="DI211"/>
    <x v="30"/>
    <s v="2TEKC005AR302DI"/>
    <n v="3"/>
    <x v="9"/>
    <x v="12"/>
    <n v="22"/>
    <m/>
    <s v="TB222"/>
    <s v="302BN"/>
    <s v="13A"/>
    <s v="13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17"/>
    <s v="备用"/>
    <s v="2TEKC005AR302DICH14"/>
    <m/>
    <s v="R2TEKC005AR302DICH14"/>
    <s v="备用"/>
    <s v="TETN"/>
    <m/>
    <x v="3"/>
    <s v="DI211"/>
    <x v="30"/>
    <s v="2TEKC005AR302DI"/>
    <n v="3"/>
    <x v="9"/>
    <x v="13"/>
    <n v="22"/>
    <m/>
    <s v="TB222"/>
    <s v="302BN"/>
    <s v="14A"/>
    <s v="14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18"/>
    <s v="备用"/>
    <s v="2TEKC005AR302DICH15"/>
    <m/>
    <s v="R2TEKC005AR302DICH15"/>
    <s v="备用"/>
    <s v="TETN"/>
    <m/>
    <x v="3"/>
    <s v="DI211"/>
    <x v="30"/>
    <s v="2TEKC005AR302DI"/>
    <n v="3"/>
    <x v="9"/>
    <x v="14"/>
    <n v="22"/>
    <m/>
    <s v="TB222"/>
    <s v="302BN"/>
    <s v="15A"/>
    <s v="15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19"/>
    <s v="备用"/>
    <s v="2TEKC005AR302DICH16"/>
    <m/>
    <s v="R2TEKC005AR302DICH16"/>
    <s v="备用"/>
    <s v="TETN"/>
    <m/>
    <x v="3"/>
    <s v="DI211"/>
    <x v="30"/>
    <s v="2TEKC005AR302DI"/>
    <n v="3"/>
    <x v="9"/>
    <x v="15"/>
    <n v="22"/>
    <m/>
    <s v="TB222"/>
    <s v="302BN"/>
    <s v="16A"/>
    <s v="16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20"/>
    <s v="2TETN007HXT"/>
    <s v="2TETN-032VBE"/>
    <s v="KW"/>
    <s v="R2TETN032VBE_KW"/>
    <s v="气动截止阀开反馈"/>
    <s v="TETN"/>
    <s v="1812-B1132YKS07-001-028"/>
    <x v="3"/>
    <s v="DI211"/>
    <x v="10"/>
    <s v="2TEKC005AR303DI"/>
    <n v="3"/>
    <x v="0"/>
    <x v="0"/>
    <n v="23"/>
    <m/>
    <s v="TB222"/>
    <s v="303BN"/>
    <s v="1A"/>
    <s v="1B"/>
    <s v="--"/>
    <s v="--"/>
    <s v="NR"/>
    <s v="NA"/>
    <s v="DI"/>
    <n v="1"/>
    <s v="DCS"/>
    <s v="DI1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21"/>
    <s v="2TETN007HXT"/>
    <s v="2TETN-032VBE"/>
    <s v="GW"/>
    <s v="R2TETN032VBE_GW"/>
    <s v="气动截止阀关反馈"/>
    <s v="TETN"/>
    <s v="1812-B1132YKS07-001-028"/>
    <x v="3"/>
    <s v="DI211"/>
    <x v="10"/>
    <s v="2TEKC005AR303DI"/>
    <n v="3"/>
    <x v="0"/>
    <x v="1"/>
    <n v="23"/>
    <m/>
    <s v="TB222"/>
    <s v="303BN"/>
    <s v="2A"/>
    <s v="2B"/>
    <s v="--"/>
    <s v="--"/>
    <s v="NR"/>
    <s v="NA"/>
    <s v="DI"/>
    <n v="1"/>
    <s v="DCS"/>
    <s v="DI1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22"/>
    <s v="2TETN007HXT"/>
    <s v="2TETN-035VBE"/>
    <s v="KW"/>
    <s v="R2TETN035VBE_KW"/>
    <s v="气动截止阀开反馈"/>
    <s v="TETN"/>
    <s v="1812-B1132YKS07-001-031"/>
    <x v="3"/>
    <s v="DI211"/>
    <x v="10"/>
    <s v="2TEKC005AR303DI"/>
    <n v="3"/>
    <x v="0"/>
    <x v="2"/>
    <n v="23"/>
    <m/>
    <s v="TB222"/>
    <s v="303BN"/>
    <s v="3A"/>
    <s v="3B"/>
    <s v="--"/>
    <s v="--"/>
    <s v="NR"/>
    <s v="NA"/>
    <s v="DI"/>
    <n v="1"/>
    <s v="DCS"/>
    <s v="DI1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23"/>
    <s v="2TETN007HXT"/>
    <s v="2TETN-035VBE"/>
    <s v="GW"/>
    <s v="R2TETN035VBE_GW"/>
    <s v="气动截止阀关反馈"/>
    <s v="TETN"/>
    <s v="1812-B1132YKS07-001-031"/>
    <x v="3"/>
    <s v="DI211"/>
    <x v="10"/>
    <s v="2TEKC005AR303DI"/>
    <n v="3"/>
    <x v="0"/>
    <x v="3"/>
    <n v="23"/>
    <m/>
    <s v="TB222"/>
    <s v="303BN"/>
    <s v="4A"/>
    <s v="4B"/>
    <s v="--"/>
    <s v="--"/>
    <s v="NR"/>
    <s v="NA"/>
    <s v="DI"/>
    <n v="1"/>
    <s v="DCS"/>
    <s v="DI1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24"/>
    <s v="2TETN008HXT"/>
    <s v="2TETN-038VBE"/>
    <s v="KW"/>
    <s v="R2TETN038VBE_KW"/>
    <s v="气动截止阀开反馈"/>
    <s v="TETN"/>
    <s v="1812-B1132YKS07-001-034"/>
    <x v="3"/>
    <s v="DI211"/>
    <x v="10"/>
    <s v="2TEKC005AR303DI"/>
    <n v="3"/>
    <x v="0"/>
    <x v="4"/>
    <n v="23"/>
    <m/>
    <s v="TB222"/>
    <s v="303BN"/>
    <s v="5A"/>
    <s v="5B"/>
    <s v="--"/>
    <s v="--"/>
    <s v="NR"/>
    <s v="NA"/>
    <s v="DI"/>
    <n v="1"/>
    <s v="DCS"/>
    <s v="DI1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25"/>
    <s v="2TETN008HXT"/>
    <s v="2TETN-038VBE"/>
    <s v="GW"/>
    <s v="R2TETN038VBE_GW"/>
    <s v="气动截止阀关反馈"/>
    <s v="TETN"/>
    <s v="1812-B1132YKS07-001-034"/>
    <x v="3"/>
    <s v="DI211"/>
    <x v="10"/>
    <s v="2TEKC005AR303DI"/>
    <n v="3"/>
    <x v="0"/>
    <x v="5"/>
    <n v="23"/>
    <m/>
    <s v="TB222"/>
    <s v="303BN"/>
    <s v="6A"/>
    <s v="6B"/>
    <s v="--"/>
    <s v="--"/>
    <s v="NR"/>
    <s v="NA"/>
    <s v="DI"/>
    <n v="1"/>
    <s v="DCS"/>
    <s v="DI1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26"/>
    <s v="2TETN007HXT"/>
    <s v="2TETN-232VIE"/>
    <s v="KW"/>
    <s v="R2TETN232VIE_KW"/>
    <s v="气动截止阀开反馈"/>
    <s v="TETN"/>
    <s v="1812-B1132YKS07-001-074"/>
    <x v="3"/>
    <s v="DI211"/>
    <x v="10"/>
    <s v="2TEKC005AR303DI"/>
    <n v="3"/>
    <x v="0"/>
    <x v="6"/>
    <n v="23"/>
    <m/>
    <s v="TB222"/>
    <s v="303BN"/>
    <s v="7A"/>
    <s v="7B"/>
    <s v="--"/>
    <s v="--"/>
    <s v="NR"/>
    <s v="NA"/>
    <s v="DI"/>
    <n v="1"/>
    <s v="DCS"/>
    <s v="DI1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27"/>
    <s v="2TETN007HXT"/>
    <s v="2TETN-232VIE"/>
    <s v="GW"/>
    <s v="R2TETN232VIE_GW"/>
    <s v="气动截止阀关反馈"/>
    <s v="TETN"/>
    <s v="1812-B1132YKS07-001-074"/>
    <x v="3"/>
    <s v="DI211"/>
    <x v="10"/>
    <s v="2TEKC005AR303DI"/>
    <n v="3"/>
    <x v="0"/>
    <x v="7"/>
    <n v="23"/>
    <m/>
    <s v="TB222"/>
    <s v="303BN"/>
    <s v="8A"/>
    <s v="8B"/>
    <s v="--"/>
    <s v="--"/>
    <s v="NR"/>
    <s v="NA"/>
    <s v="DI"/>
    <n v="1"/>
    <s v="DCS"/>
    <s v="DI1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28"/>
    <s v="2TETN007HXT"/>
    <s v="2TETN-233VIE"/>
    <s v="KW"/>
    <s v="R2TETN233VIE_KW"/>
    <s v="气动截止阀开反馈"/>
    <s v="TETN"/>
    <s v="1812-B1132YKS07-001-075"/>
    <x v="3"/>
    <s v="DI211"/>
    <x v="10"/>
    <s v="2TEKC005AR303DI"/>
    <n v="3"/>
    <x v="0"/>
    <x v="8"/>
    <n v="23"/>
    <m/>
    <s v="TB222"/>
    <s v="303BN"/>
    <s v="9A"/>
    <s v="9B"/>
    <s v="--"/>
    <s v="--"/>
    <s v="NR"/>
    <s v="NA"/>
    <s v="DI"/>
    <n v="1"/>
    <s v="DCS"/>
    <s v="DI1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29"/>
    <s v="2TETN007HXT"/>
    <s v="2TETN-233VIE"/>
    <s v="GW"/>
    <s v="R2TETN233VIE_GW"/>
    <s v="气动截止阀关反馈"/>
    <s v="TETN"/>
    <s v="1812-B1132YKS07-001-075"/>
    <x v="3"/>
    <s v="DI211"/>
    <x v="10"/>
    <s v="2TEKC005AR303DI"/>
    <n v="3"/>
    <x v="0"/>
    <x v="9"/>
    <n v="23"/>
    <m/>
    <s v="TB222"/>
    <s v="303BN"/>
    <s v="10A"/>
    <s v="10B"/>
    <s v="--"/>
    <s v="--"/>
    <s v="NR"/>
    <s v="NA"/>
    <s v="DI"/>
    <n v="1"/>
    <s v="DCS"/>
    <s v="DI1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30"/>
    <s v="2TETN007HXT"/>
    <s v="2TETN-242VIE"/>
    <s v="KW"/>
    <s v="R2TETN242VIE_KW"/>
    <s v="气动截止阀开反馈"/>
    <s v="TETN"/>
    <s v="1812-B1132YKS07-001-077"/>
    <x v="3"/>
    <s v="DI211"/>
    <x v="10"/>
    <s v="2TEKC005AR303DI"/>
    <n v="3"/>
    <x v="0"/>
    <x v="10"/>
    <n v="23"/>
    <m/>
    <s v="TB222"/>
    <s v="303BN"/>
    <s v="11A"/>
    <s v="11B"/>
    <s v="--"/>
    <s v="--"/>
    <s v="NR"/>
    <s v="NA"/>
    <s v="DI"/>
    <n v="1"/>
    <s v="DCS"/>
    <s v="DI1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31"/>
    <s v="2TETN007HXT"/>
    <s v="2TETN-242VIE"/>
    <s v="GW"/>
    <s v="R2TETN242VIE_GW"/>
    <s v="气动截止阀关反馈"/>
    <s v="TETN"/>
    <s v="1812-B1132YKS07-001-077"/>
    <x v="3"/>
    <s v="DI211"/>
    <x v="10"/>
    <s v="2TEKC005AR303DI"/>
    <n v="3"/>
    <x v="0"/>
    <x v="11"/>
    <n v="23"/>
    <m/>
    <s v="TB222"/>
    <s v="303BN"/>
    <s v="12A"/>
    <s v="12B"/>
    <s v="--"/>
    <s v="--"/>
    <s v="NR"/>
    <s v="NA"/>
    <s v="DI"/>
    <n v="1"/>
    <s v="DCS"/>
    <s v="DI1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32"/>
    <s v="备用"/>
    <s v="2TEKC005AR303DICH13"/>
    <m/>
    <s v="R2TEKC005AR303DICH13"/>
    <s v="备用"/>
    <s v="TETN"/>
    <m/>
    <x v="3"/>
    <s v="DI211"/>
    <x v="10"/>
    <s v="2TEKC005AR303DI"/>
    <n v="3"/>
    <x v="0"/>
    <x v="12"/>
    <n v="23"/>
    <m/>
    <s v="TB222"/>
    <s v="303BN"/>
    <s v="13A"/>
    <s v="13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33"/>
    <s v="备用"/>
    <s v="2TEKC005AR303DICH14"/>
    <m/>
    <s v="R2TEKC005AR303DICH14"/>
    <s v="备用"/>
    <s v="TETN"/>
    <m/>
    <x v="3"/>
    <s v="DI211"/>
    <x v="10"/>
    <s v="2TEKC005AR303DI"/>
    <n v="3"/>
    <x v="0"/>
    <x v="13"/>
    <n v="23"/>
    <m/>
    <s v="TB222"/>
    <s v="303BN"/>
    <s v="14A"/>
    <s v="14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34"/>
    <s v="备用"/>
    <s v="2TEKC005AR303DICH15"/>
    <m/>
    <s v="R2TEKC005AR303DICH15"/>
    <s v="备用"/>
    <s v="TETN"/>
    <m/>
    <x v="3"/>
    <s v="DI211"/>
    <x v="10"/>
    <s v="2TEKC005AR303DI"/>
    <n v="3"/>
    <x v="0"/>
    <x v="14"/>
    <n v="23"/>
    <m/>
    <s v="TB222"/>
    <s v="303BN"/>
    <s v="15A"/>
    <s v="15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35"/>
    <s v="备用"/>
    <s v="2TEKC005AR303DICH16"/>
    <m/>
    <s v="R2TEKC005AR303DICH16"/>
    <s v="备用"/>
    <s v="TETN"/>
    <m/>
    <x v="3"/>
    <s v="DI211"/>
    <x v="10"/>
    <s v="2TEKC005AR303DI"/>
    <n v="3"/>
    <x v="0"/>
    <x v="15"/>
    <n v="23"/>
    <m/>
    <s v="TB222"/>
    <s v="303BN"/>
    <s v="16A"/>
    <s v="16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36"/>
    <s v="2TETN007HXT"/>
    <s v="2TETN-243VIE"/>
    <s v="KW"/>
    <s v="R2TETN243VIE_KW"/>
    <s v="气动截止阀开反馈"/>
    <s v="TETN"/>
    <s v="1812-B1132YKS07-001-078"/>
    <x v="3"/>
    <s v="DI211"/>
    <x v="31"/>
    <s v="2TEKC005AR304DI"/>
    <n v="3"/>
    <x v="1"/>
    <x v="0"/>
    <n v="24"/>
    <m/>
    <s v="TB222"/>
    <s v="304BN"/>
    <s v="1A"/>
    <s v="1B"/>
    <s v="--"/>
    <s v="--"/>
    <s v="NR"/>
    <s v="NA"/>
    <s v="DI"/>
    <n v="1"/>
    <s v="DCS"/>
    <s v="DI1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37"/>
    <s v="2TETN007HXT"/>
    <s v="2TETN-243VIE"/>
    <s v="GW"/>
    <s v="R2TETN243VIE_GW"/>
    <s v="气动截止阀关反馈"/>
    <s v="TETN"/>
    <s v="1812-B1132YKS07-001-078"/>
    <x v="3"/>
    <s v="DI211"/>
    <x v="31"/>
    <s v="2TEKC005AR304DI"/>
    <n v="3"/>
    <x v="1"/>
    <x v="1"/>
    <n v="24"/>
    <m/>
    <s v="TB222"/>
    <s v="304BN"/>
    <s v="2A"/>
    <s v="2B"/>
    <s v="--"/>
    <s v="--"/>
    <s v="NR"/>
    <s v="NA"/>
    <s v="DI"/>
    <n v="1"/>
    <s v="DCS"/>
    <s v="DI1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38"/>
    <s v="2TETN008HXT"/>
    <s v="2TETN-252VIE"/>
    <s v="KW"/>
    <s v="R2TETN252VIE_KW"/>
    <s v="气动截止阀开反馈"/>
    <s v="TETN"/>
    <s v="1812-B1132YKS07-001-080"/>
    <x v="3"/>
    <s v="DI211"/>
    <x v="31"/>
    <s v="2TEKC005AR304DI"/>
    <n v="3"/>
    <x v="1"/>
    <x v="2"/>
    <n v="24"/>
    <m/>
    <s v="TB222"/>
    <s v="304BN"/>
    <s v="3A"/>
    <s v="3B"/>
    <s v="--"/>
    <s v="--"/>
    <s v="NR"/>
    <s v="NA"/>
    <s v="DI"/>
    <n v="1"/>
    <s v="DCS"/>
    <s v="DI1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39"/>
    <s v="2TETN008HXT"/>
    <s v="2TETN-252VIE"/>
    <s v="GW"/>
    <s v="R2TETN252VIE_GW"/>
    <s v="气动截止阀关反馈"/>
    <s v="TETN"/>
    <s v="1812-B1132YKS07-001-080"/>
    <x v="3"/>
    <s v="DI211"/>
    <x v="31"/>
    <s v="2TEKC005AR304DI"/>
    <n v="3"/>
    <x v="1"/>
    <x v="3"/>
    <n v="24"/>
    <m/>
    <s v="TB222"/>
    <s v="304BN"/>
    <s v="4A"/>
    <s v="4B"/>
    <s v="--"/>
    <s v="--"/>
    <s v="NR"/>
    <s v="NA"/>
    <s v="DI"/>
    <n v="1"/>
    <s v="DCS"/>
    <s v="DI1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40"/>
    <s v="2TETN008HXT"/>
    <s v="2TETN-253VIE"/>
    <s v="KW"/>
    <s v="R2TETN253VIE_KW"/>
    <s v="气动截止阀开反馈"/>
    <s v="TETN"/>
    <s v="1812-B1132YKS07-001-081"/>
    <x v="3"/>
    <s v="DI211"/>
    <x v="31"/>
    <s v="2TEKC005AR304DI"/>
    <n v="3"/>
    <x v="1"/>
    <x v="4"/>
    <n v="24"/>
    <m/>
    <s v="TB222"/>
    <s v="304BN"/>
    <s v="5A"/>
    <s v="5B"/>
    <s v="--"/>
    <s v="--"/>
    <s v="NR"/>
    <s v="NA"/>
    <s v="DI"/>
    <n v="1"/>
    <s v="DCS"/>
    <s v="DI1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41"/>
    <s v="2TETN008HXT"/>
    <s v="2TETN-253VIE"/>
    <s v="GW"/>
    <s v="R2TETN253VIE_GW"/>
    <s v="气动截止阀关反馈"/>
    <s v="TETN"/>
    <s v="1812-B1132YKS07-001-081"/>
    <x v="3"/>
    <s v="DI211"/>
    <x v="31"/>
    <s v="2TEKC005AR304DI"/>
    <n v="3"/>
    <x v="1"/>
    <x v="5"/>
    <n v="24"/>
    <m/>
    <s v="TB222"/>
    <s v="304BN"/>
    <s v="6A"/>
    <s v="6B"/>
    <s v="--"/>
    <s v="--"/>
    <s v="NR"/>
    <s v="NA"/>
    <s v="DI"/>
    <n v="1"/>
    <s v="DCS"/>
    <s v="DI1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42"/>
    <s v="备用"/>
    <s v="2TEKC005AR304DICH07"/>
    <m/>
    <s v="R2TEKC005AR304DICH07"/>
    <s v="备用"/>
    <s v="TETN"/>
    <m/>
    <x v="3"/>
    <s v="DI211"/>
    <x v="31"/>
    <s v="2TEKC005AR304DI"/>
    <n v="3"/>
    <x v="1"/>
    <x v="6"/>
    <n v="24"/>
    <m/>
    <s v="TB222"/>
    <s v="304BN"/>
    <s v="7A"/>
    <s v="7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43"/>
    <s v="备用"/>
    <s v="2TEKC005AR304DICH08"/>
    <m/>
    <s v="R2TEKC005AR304DICH08"/>
    <s v="备用"/>
    <s v="TETN"/>
    <m/>
    <x v="3"/>
    <s v="DI211"/>
    <x v="31"/>
    <s v="2TEKC005AR304DI"/>
    <n v="3"/>
    <x v="1"/>
    <x v="7"/>
    <n v="24"/>
    <m/>
    <s v="TB222"/>
    <s v="304BN"/>
    <s v="8A"/>
    <s v="8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44"/>
    <s v="备用"/>
    <s v="2TEKC005AR304DICH09"/>
    <m/>
    <s v="R2TEKC005AR304DICH09"/>
    <s v="备用"/>
    <s v="TETN"/>
    <m/>
    <x v="3"/>
    <s v="DI211"/>
    <x v="31"/>
    <s v="2TEKC005AR304DI"/>
    <n v="3"/>
    <x v="1"/>
    <x v="8"/>
    <n v="24"/>
    <m/>
    <s v="TB222"/>
    <s v="304BN"/>
    <s v="9A"/>
    <s v="9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45"/>
    <s v="备用"/>
    <s v="2TEKC005AR304DICH10"/>
    <m/>
    <s v="R2TEKC005AR304DICH10"/>
    <s v="备用"/>
    <s v="TETN"/>
    <m/>
    <x v="3"/>
    <s v="DI211"/>
    <x v="31"/>
    <s v="2TEKC005AR304DI"/>
    <n v="3"/>
    <x v="1"/>
    <x v="9"/>
    <n v="24"/>
    <m/>
    <s v="TB222"/>
    <s v="304BN"/>
    <s v="10A"/>
    <s v="10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46"/>
    <m/>
    <s v="2TEKC005AR"/>
    <s v="PWFA"/>
    <s v="R2TEKC005AR_PWFA"/>
    <s v="控制柜2TEKC005AR机柜电源A故障报警"/>
    <s v="TETN"/>
    <m/>
    <x v="3"/>
    <s v="DI211"/>
    <x v="31"/>
    <s v="2TEKC005AR304DI"/>
    <n v="3"/>
    <x v="1"/>
    <x v="10"/>
    <n v="24"/>
    <m/>
    <s v="TB222"/>
    <s v="304BN"/>
    <s v="11A"/>
    <s v="11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47"/>
    <m/>
    <s v="2TEKC005AR"/>
    <s v="PWFB"/>
    <s v="R2TEKC005AR_PWFB"/>
    <s v="控制柜2TEKC005AR机柜电源B故障报警"/>
    <s v="TETN"/>
    <m/>
    <x v="3"/>
    <s v="DI211"/>
    <x v="31"/>
    <s v="2TEKC005AR304DI"/>
    <n v="3"/>
    <x v="1"/>
    <x v="11"/>
    <n v="24"/>
    <m/>
    <s v="TB222"/>
    <s v="304BN"/>
    <s v="12A"/>
    <s v="12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48"/>
    <m/>
    <s v="2TEKC005AR"/>
    <s v="DROP"/>
    <s v="R2TEKC005AR_DROP"/>
    <s v="控制柜2TEKC005AR机柜门开报警"/>
    <s v="TETN"/>
    <m/>
    <x v="3"/>
    <s v="DI211"/>
    <x v="31"/>
    <s v="2TEKC005AR304DI"/>
    <n v="3"/>
    <x v="1"/>
    <x v="12"/>
    <n v="24"/>
    <m/>
    <s v="TB222"/>
    <s v="304BN"/>
    <s v="13A"/>
    <s v="13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49"/>
    <m/>
    <s v="2TEKC005AR"/>
    <s v="TEPH"/>
    <s v="R2TEKC005AR_TEPH"/>
    <s v="控制柜2TEKC005AR机柜温度高报警"/>
    <s v="TETN"/>
    <m/>
    <x v="3"/>
    <s v="DI211"/>
    <x v="31"/>
    <s v="2TEKC005AR304DI"/>
    <n v="3"/>
    <x v="1"/>
    <x v="13"/>
    <n v="24"/>
    <m/>
    <s v="TB222"/>
    <s v="304BN"/>
    <s v="14A"/>
    <s v="14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50"/>
    <m/>
    <s v="2TEKC005AR"/>
    <s v="FAN"/>
    <s v="R2TEKC005AR_FAN"/>
    <s v="控制柜2TEKC005AR机柜风扇故障"/>
    <s v="TETN"/>
    <m/>
    <x v="3"/>
    <s v="DI211"/>
    <x v="31"/>
    <s v="2TEKC005AR304DI"/>
    <n v="3"/>
    <x v="1"/>
    <x v="14"/>
    <n v="24"/>
    <m/>
    <s v="TB222"/>
    <s v="304BN"/>
    <s v="15A"/>
    <s v="15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51"/>
    <m/>
    <s v="2TEKC005AR"/>
    <s v="SWF"/>
    <s v="R2TEKC005AR_SWF"/>
    <s v="控制柜2TEKC005AR机柜网络故障"/>
    <s v="TETN"/>
    <m/>
    <x v="3"/>
    <s v="DI211"/>
    <x v="31"/>
    <s v="2TEKC005AR304DI"/>
    <n v="3"/>
    <x v="1"/>
    <x v="15"/>
    <n v="24"/>
    <m/>
    <s v="TB222"/>
    <s v="304BN"/>
    <s v="16A"/>
    <s v="16B"/>
    <s v="--"/>
    <s v="--"/>
    <s v="NR"/>
    <s v="NA"/>
    <s v="DI"/>
    <n v="1"/>
    <s v="DCS"/>
    <s v="DI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52"/>
    <s v="2TETN003HXT/2TETN006HXT"/>
    <s v="2TETN-117VIE"/>
    <s v="KG"/>
    <s v="R2TETN117VIE_KG"/>
    <s v="气动截止阀开/关"/>
    <s v="TETN"/>
    <s v="1812-B1132YKS07-001-049"/>
    <x v="3"/>
    <s v="DO211"/>
    <x v="44"/>
    <s v="2TEKC005AR305DO"/>
    <n v="3"/>
    <x v="2"/>
    <x v="0"/>
    <n v="25"/>
    <m/>
    <s v="TB233"/>
    <s v="305BN"/>
    <s v="1B"/>
    <s v="1C"/>
    <s v="--"/>
    <s v="--"/>
    <s v="NR"/>
    <s v="NA"/>
    <s v="DO"/>
    <n v="1"/>
    <s v="DCS"/>
    <s v="DO2"/>
    <m/>
    <m/>
    <m/>
    <m/>
    <m/>
    <m/>
    <m/>
    <m/>
    <m/>
    <m/>
    <s v="2TETN01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53"/>
    <s v="2TETN003HXT"/>
    <s v="2TETN-127VIE"/>
    <s v="KG"/>
    <s v="R2TETN127VIE_KG"/>
    <s v="气动截止阀开/关"/>
    <s v="TETN"/>
    <s v="1812-B1132YKS07-001-052"/>
    <x v="3"/>
    <s v="DO211"/>
    <x v="44"/>
    <s v="2TEKC005AR305DO"/>
    <n v="3"/>
    <x v="2"/>
    <x v="1"/>
    <n v="25"/>
    <m/>
    <s v="TB233"/>
    <s v="305BN"/>
    <s v="2B"/>
    <s v="2C"/>
    <s v="--"/>
    <s v="--"/>
    <s v="NR"/>
    <s v="NA"/>
    <s v="DO"/>
    <n v="1"/>
    <s v="DCS"/>
    <s v="DO2"/>
    <m/>
    <m/>
    <m/>
    <m/>
    <m/>
    <m/>
    <m/>
    <m/>
    <m/>
    <m/>
    <s v="2TETN01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54"/>
    <s v="2TETN004HXT"/>
    <s v="2TETN-137VIE"/>
    <s v="KG"/>
    <s v="R2TETN137VIE_KG"/>
    <s v="气动截止阀开/关"/>
    <s v="TETN"/>
    <s v="1812-B1132YKS07-001-055"/>
    <x v="3"/>
    <s v="DO211"/>
    <x v="44"/>
    <s v="2TEKC005AR305DO"/>
    <n v="3"/>
    <x v="2"/>
    <x v="2"/>
    <n v="25"/>
    <m/>
    <s v="TB233"/>
    <s v="305BN"/>
    <s v="3B"/>
    <s v="3C"/>
    <s v="--"/>
    <s v="--"/>
    <s v="NR"/>
    <s v="NA"/>
    <s v="DO"/>
    <n v="1"/>
    <s v="DCS"/>
    <s v="DO2"/>
    <m/>
    <m/>
    <m/>
    <m/>
    <m/>
    <m/>
    <m/>
    <m/>
    <m/>
    <m/>
    <s v="2TETN01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55"/>
    <m/>
    <s v="2TETN-147VIE"/>
    <s v="KG"/>
    <s v="R2TETN147VIE_KG"/>
    <s v="气动截止阀开/关"/>
    <s v="TETN"/>
    <s v="1812-B1132YKS07-001-058"/>
    <x v="3"/>
    <s v="DO211"/>
    <x v="44"/>
    <s v="2TEKC005AR305DO"/>
    <n v="3"/>
    <x v="2"/>
    <x v="3"/>
    <n v="25"/>
    <m/>
    <s v="TB233"/>
    <s v="305BN"/>
    <s v="4B"/>
    <s v="4C"/>
    <s v="--"/>
    <s v="--"/>
    <s v="NR"/>
    <s v="NA"/>
    <s v="DO"/>
    <n v="1"/>
    <s v="DCS"/>
    <s v="DO2"/>
    <m/>
    <m/>
    <m/>
    <m/>
    <m/>
    <m/>
    <m/>
    <m/>
    <m/>
    <m/>
    <s v="2TETN01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56"/>
    <s v="2TETN002HXT/2TETN004HXT"/>
    <s v="2TETN-150VIE"/>
    <s v="KG"/>
    <s v="R2TETN150VIE_KG"/>
    <s v="气动截止阀开/关"/>
    <s v="TETN"/>
    <s v="1812-B1132YKS07-001-059"/>
    <x v="3"/>
    <s v="DO211"/>
    <x v="44"/>
    <s v="2TEKC005AR305DO"/>
    <n v="3"/>
    <x v="2"/>
    <x v="4"/>
    <n v="25"/>
    <m/>
    <s v="TB233"/>
    <s v="305BN"/>
    <s v="5B"/>
    <s v="5C"/>
    <s v="--"/>
    <s v="--"/>
    <s v="NR"/>
    <s v="NA"/>
    <s v="DO"/>
    <n v="1"/>
    <s v="DCS"/>
    <s v="DO2"/>
    <m/>
    <m/>
    <m/>
    <m/>
    <m/>
    <m/>
    <m/>
    <m/>
    <m/>
    <m/>
    <s v="2TETN01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57"/>
    <s v="2TETN005HXT"/>
    <s v="2TETN-157VIE"/>
    <s v="KG"/>
    <s v="R2TETN157VIE_KG"/>
    <s v="气动截止阀开/关"/>
    <s v="TETN"/>
    <s v="1812-B1132YKS07-001-062"/>
    <x v="3"/>
    <s v="DO211"/>
    <x v="44"/>
    <s v="2TEKC005AR305DO"/>
    <n v="3"/>
    <x v="2"/>
    <x v="5"/>
    <n v="25"/>
    <m/>
    <s v="TB233"/>
    <s v="305BN"/>
    <s v="6B"/>
    <s v="6C"/>
    <s v="--"/>
    <s v="--"/>
    <s v="NR"/>
    <s v="NA"/>
    <s v="DO"/>
    <n v="1"/>
    <s v="DCS"/>
    <s v="DO2"/>
    <m/>
    <m/>
    <m/>
    <m/>
    <m/>
    <m/>
    <m/>
    <m/>
    <m/>
    <m/>
    <s v="2TETN01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58"/>
    <m/>
    <s v="2TETN-217VIE"/>
    <s v="KG"/>
    <s v="R2TETN217VIE_KG"/>
    <s v="气动截止阀开/关"/>
    <s v="TETN"/>
    <s v="1812-B1132YKS07-001-070"/>
    <x v="3"/>
    <s v="DO211"/>
    <x v="44"/>
    <s v="2TEKC005AR305DO"/>
    <n v="3"/>
    <x v="2"/>
    <x v="6"/>
    <n v="25"/>
    <m/>
    <s v="TB233"/>
    <s v="305BN"/>
    <s v="7B"/>
    <s v="7C"/>
    <s v="--"/>
    <s v="--"/>
    <s v="NR"/>
    <s v="NA"/>
    <s v="DO"/>
    <n v="1"/>
    <s v="DCS"/>
    <s v="DO2"/>
    <m/>
    <m/>
    <m/>
    <m/>
    <m/>
    <m/>
    <m/>
    <m/>
    <m/>
    <m/>
    <s v="2TETN01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59"/>
    <s v="2TETN006HXT"/>
    <s v="2TETN-227VIE"/>
    <s v="KG"/>
    <s v="R2TETN227VIE_KG"/>
    <s v="气动截止阀开/关"/>
    <s v="TETN"/>
    <s v="1812-B1132YKS07-001-073"/>
    <x v="3"/>
    <s v="DO211"/>
    <x v="44"/>
    <s v="2TEKC005AR305DO"/>
    <n v="3"/>
    <x v="2"/>
    <x v="7"/>
    <n v="25"/>
    <m/>
    <s v="TB233"/>
    <s v="305BN"/>
    <s v="8B"/>
    <s v="8C"/>
    <s v="--"/>
    <s v="--"/>
    <s v="NR"/>
    <s v="NA"/>
    <s v="DO"/>
    <n v="1"/>
    <s v="DCS"/>
    <s v="DO2"/>
    <m/>
    <m/>
    <m/>
    <m/>
    <m/>
    <m/>
    <m/>
    <m/>
    <m/>
    <m/>
    <s v="2TETN01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60"/>
    <s v="2TETN007HXT"/>
    <s v="2TETN-237VIE"/>
    <s v="KG"/>
    <s v="R2TETN237VIE_KG"/>
    <s v="气动截止阀开/关"/>
    <s v="TETN"/>
    <s v="1812-B1132YKS07-001-076"/>
    <x v="3"/>
    <s v="DO211"/>
    <x v="44"/>
    <s v="2TEKC005AR305DO"/>
    <n v="3"/>
    <x v="2"/>
    <x v="8"/>
    <n v="25"/>
    <m/>
    <s v="TB233"/>
    <s v="305BN"/>
    <s v="9B"/>
    <s v="9C"/>
    <s v="--"/>
    <s v="--"/>
    <s v="NR"/>
    <s v="NA"/>
    <s v="DO"/>
    <n v="1"/>
    <s v="DCS"/>
    <s v="DO2"/>
    <m/>
    <m/>
    <m/>
    <m/>
    <m/>
    <m/>
    <m/>
    <m/>
    <m/>
    <m/>
    <s v="2TETN01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61"/>
    <s v="2TETN007HXT"/>
    <s v="2TETN-247VIE"/>
    <s v="KG"/>
    <s v="R2TETN247VIE_KG"/>
    <s v="气动截止阀开/关"/>
    <s v="TETN"/>
    <s v="1812-B1132YKS07-001-079"/>
    <x v="3"/>
    <s v="DO211"/>
    <x v="44"/>
    <s v="2TEKC005AR305DO"/>
    <n v="3"/>
    <x v="2"/>
    <x v="9"/>
    <n v="25"/>
    <m/>
    <s v="TB233"/>
    <s v="305BN"/>
    <s v="10B"/>
    <s v="10C"/>
    <s v="--"/>
    <s v="--"/>
    <s v="NR"/>
    <s v="NA"/>
    <s v="DO"/>
    <n v="1"/>
    <s v="DCS"/>
    <s v="DO2"/>
    <m/>
    <m/>
    <m/>
    <m/>
    <m/>
    <m/>
    <m/>
    <m/>
    <m/>
    <m/>
    <s v="2TETN01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62"/>
    <s v="2TETN008HXT"/>
    <s v="2TETN-257VIE"/>
    <s v="KG"/>
    <s v="R2TETN257VIE_KG"/>
    <s v="气动截止阀开/关"/>
    <s v="TETN"/>
    <s v="1812-B1132YKS07-001-082"/>
    <x v="3"/>
    <s v="DO211"/>
    <x v="44"/>
    <s v="2TEKC005AR305DO"/>
    <n v="3"/>
    <x v="2"/>
    <x v="10"/>
    <n v="25"/>
    <m/>
    <s v="TB233"/>
    <s v="305BN"/>
    <s v="11B"/>
    <s v="11C"/>
    <s v="--"/>
    <s v="--"/>
    <s v="NR"/>
    <s v="NA"/>
    <s v="DO"/>
    <n v="1"/>
    <s v="DCS"/>
    <s v="DO2"/>
    <m/>
    <m/>
    <m/>
    <m/>
    <m/>
    <m/>
    <m/>
    <m/>
    <m/>
    <m/>
    <s v="2TETN013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63"/>
    <s v="备用"/>
    <s v="2TEKC005AR305DOCH12"/>
    <m/>
    <s v="R2TEKC005AR305DOCH12"/>
    <s v="备用"/>
    <s v="TETN"/>
    <m/>
    <x v="3"/>
    <s v="DO211"/>
    <x v="44"/>
    <s v="2TEKC005AR305DO"/>
    <n v="3"/>
    <x v="2"/>
    <x v="11"/>
    <n v="25"/>
    <m/>
    <s v="TB233"/>
    <s v="305BN"/>
    <s v="12B"/>
    <s v="12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64"/>
    <s v="备用"/>
    <s v="2TEKC005AR305DOCH13"/>
    <m/>
    <s v="R2TEKC005AR305DOCH13"/>
    <s v="备用"/>
    <s v="TETN"/>
    <m/>
    <x v="3"/>
    <s v="DO211"/>
    <x v="44"/>
    <s v="2TEKC005AR305DO"/>
    <n v="3"/>
    <x v="2"/>
    <x v="12"/>
    <n v="25"/>
    <m/>
    <s v="TB233"/>
    <s v="305BN"/>
    <s v="13B"/>
    <s v="13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65"/>
    <s v="备用"/>
    <s v="2TEKC005AR305DOCH14"/>
    <m/>
    <s v="R2TEKC005AR305DOCH14"/>
    <s v="备用"/>
    <s v="TETN"/>
    <m/>
    <x v="3"/>
    <s v="DO211"/>
    <x v="44"/>
    <s v="2TEKC005AR305DO"/>
    <n v="3"/>
    <x v="2"/>
    <x v="13"/>
    <n v="25"/>
    <m/>
    <s v="TB233"/>
    <s v="305BN"/>
    <s v="14B"/>
    <s v="14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66"/>
    <s v="备用"/>
    <s v="2TEKC005AR305DOCH15"/>
    <m/>
    <s v="R2TEKC005AR305DOCH15"/>
    <s v="备用"/>
    <s v="TETN"/>
    <m/>
    <x v="3"/>
    <s v="DO211"/>
    <x v="44"/>
    <s v="2TEKC005AR305DO"/>
    <n v="3"/>
    <x v="2"/>
    <x v="14"/>
    <n v="25"/>
    <m/>
    <s v="TB233"/>
    <s v="305BN"/>
    <s v="15B"/>
    <s v="15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67"/>
    <s v="备用"/>
    <s v="2TEKC005AR305DOCH16"/>
    <m/>
    <s v="R2TEKC005AR305DOCH16"/>
    <s v="备用"/>
    <s v="TETN"/>
    <m/>
    <x v="3"/>
    <s v="DO211"/>
    <x v="44"/>
    <s v="2TEKC005AR305DO"/>
    <n v="3"/>
    <x v="2"/>
    <x v="15"/>
    <n v="25"/>
    <m/>
    <s v="TB233"/>
    <s v="305BN"/>
    <s v="16B"/>
    <s v="16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68"/>
    <s v="2TETN003HXT"/>
    <s v="2TETN-111VIE"/>
    <s v="KG"/>
    <s v="R2TETN111VIE_KG"/>
    <s v="气动截止阀开/关"/>
    <s v="TETN"/>
    <s v="1812-B1132YKS07-001-046"/>
    <x v="3"/>
    <s v="DO211"/>
    <x v="45"/>
    <s v="2TEKC005AR306DO"/>
    <n v="3"/>
    <x v="3"/>
    <x v="0"/>
    <n v="26"/>
    <m/>
    <s v="TB233"/>
    <s v="306BN"/>
    <s v="1B"/>
    <s v="1C"/>
    <s v="--"/>
    <s v="--"/>
    <s v="NR"/>
    <s v="NA"/>
    <s v="DO"/>
    <n v="1"/>
    <s v="DCS"/>
    <s v="DO2"/>
    <m/>
    <m/>
    <m/>
    <m/>
    <m/>
    <m/>
    <m/>
    <m/>
    <m/>
    <m/>
    <s v="2TETN01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69"/>
    <s v="2TETN003HXT"/>
    <s v="2TETN-176VIE"/>
    <s v="KG"/>
    <s v="R2TETN176VIE_KG"/>
    <s v="气动截止阀开/关"/>
    <s v="TETN"/>
    <s v="1812-B1132YKS07-001-063"/>
    <x v="3"/>
    <s v="DO211"/>
    <x v="45"/>
    <s v="2TEKC005AR306DO"/>
    <n v="3"/>
    <x v="3"/>
    <x v="1"/>
    <n v="26"/>
    <m/>
    <s v="TB233"/>
    <s v="306BN"/>
    <s v="2B"/>
    <s v="2C"/>
    <s v="--"/>
    <s v="--"/>
    <s v="NR"/>
    <s v="NA"/>
    <s v="DO"/>
    <n v="1"/>
    <s v="DCS"/>
    <s v="DO2"/>
    <m/>
    <m/>
    <m/>
    <m/>
    <m/>
    <m/>
    <m/>
    <m/>
    <m/>
    <m/>
    <s v="2TETN01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70"/>
    <s v="2TETN004HXT"/>
    <s v="2TETN-177VIE"/>
    <s v="KG"/>
    <s v="R2TETN177VIE_KG"/>
    <s v="气动截止阀开/关"/>
    <s v="TETN"/>
    <s v="1812-B1132YKS07-001-064"/>
    <x v="3"/>
    <s v="DO211"/>
    <x v="45"/>
    <s v="2TEKC005AR306DO"/>
    <n v="3"/>
    <x v="3"/>
    <x v="2"/>
    <n v="26"/>
    <m/>
    <s v="TB233"/>
    <s v="306BN"/>
    <s v="3B"/>
    <s v="3C"/>
    <s v="--"/>
    <s v="--"/>
    <s v="NR"/>
    <s v="NA"/>
    <s v="DO"/>
    <n v="1"/>
    <s v="DCS"/>
    <s v="DO2"/>
    <m/>
    <m/>
    <m/>
    <m/>
    <m/>
    <m/>
    <m/>
    <m/>
    <m/>
    <m/>
    <s v="2TETN01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71"/>
    <s v="2TETN004HXT"/>
    <s v="2TETN-178VIE"/>
    <s v="KG"/>
    <s v="R2TETN178VIE_KG"/>
    <s v="气动截止阀开/关"/>
    <s v="TETN"/>
    <s v="1812-B1132YKS07-001-065"/>
    <x v="3"/>
    <s v="DO211"/>
    <x v="45"/>
    <s v="2TEKC005AR306DO"/>
    <n v="3"/>
    <x v="3"/>
    <x v="3"/>
    <n v="26"/>
    <m/>
    <s v="TB233"/>
    <s v="306BN"/>
    <s v="4B"/>
    <s v="4C"/>
    <s v="--"/>
    <s v="--"/>
    <s v="NR"/>
    <s v="NA"/>
    <s v="DO"/>
    <n v="1"/>
    <s v="DCS"/>
    <s v="DO2"/>
    <m/>
    <m/>
    <m/>
    <m/>
    <m/>
    <m/>
    <m/>
    <m/>
    <m/>
    <m/>
    <s v="2TETN01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72"/>
    <s v="2TETN005HXT"/>
    <s v="2TETN-179VIE"/>
    <s v="KG"/>
    <s v="R2TETN179VIE_KG"/>
    <s v="气动截止阀开/关"/>
    <s v="TETN"/>
    <s v="1812-B1132YKS07-001-066"/>
    <x v="3"/>
    <s v="DO211"/>
    <x v="45"/>
    <s v="2TEKC005AR306DO"/>
    <n v="3"/>
    <x v="3"/>
    <x v="4"/>
    <n v="26"/>
    <m/>
    <s v="TB233"/>
    <s v="306BN"/>
    <s v="5B"/>
    <s v="5C"/>
    <s v="--"/>
    <s v="--"/>
    <s v="NR"/>
    <s v="NA"/>
    <s v="DO"/>
    <n v="1"/>
    <s v="DCS"/>
    <s v="DO2"/>
    <m/>
    <m/>
    <m/>
    <m/>
    <m/>
    <m/>
    <m/>
    <m/>
    <m/>
    <m/>
    <s v="2TETN01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73"/>
    <s v="2TETN002HXT"/>
    <s v="2TETN-500VDE"/>
    <s v="KG"/>
    <s v="R2TETN500VDE_KG"/>
    <s v="气动截止阀开/关"/>
    <s v="TETN"/>
    <s v="1812-B1132YKS07-001-087"/>
    <x v="3"/>
    <s v="DO211"/>
    <x v="45"/>
    <s v="2TEKC005AR306DO"/>
    <n v="3"/>
    <x v="3"/>
    <x v="5"/>
    <n v="26"/>
    <m/>
    <s v="TB233"/>
    <s v="306BN"/>
    <s v="6B"/>
    <s v="6C"/>
    <s v="--"/>
    <s v="--"/>
    <s v="NR"/>
    <s v="NA"/>
    <s v="DO"/>
    <n v="1"/>
    <s v="DCS"/>
    <s v="DO2"/>
    <m/>
    <m/>
    <m/>
    <m/>
    <m/>
    <m/>
    <m/>
    <m/>
    <m/>
    <m/>
    <s v="2TETN015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74"/>
    <s v="2TETN006HXT"/>
    <s v="2TETN-026VBE"/>
    <s v="KG"/>
    <s v="R2TETN026VBE_KG"/>
    <s v="气动截止阀开/关"/>
    <s v="TETN"/>
    <s v="1812-B1132YKS07-001-022"/>
    <x v="3"/>
    <s v="DO211"/>
    <x v="45"/>
    <s v="2TEKC005AR306DO"/>
    <n v="3"/>
    <x v="3"/>
    <x v="6"/>
    <n v="26"/>
    <m/>
    <s v="TB233"/>
    <s v="306BN"/>
    <s v="7B"/>
    <s v="7C"/>
    <s v="--"/>
    <s v="--"/>
    <s v="NR"/>
    <s v="NA"/>
    <s v="DO"/>
    <n v="1"/>
    <s v="DCS"/>
    <s v="DO2"/>
    <m/>
    <m/>
    <m/>
    <m/>
    <m/>
    <m/>
    <m/>
    <m/>
    <m/>
    <m/>
    <s v="2TETN01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75"/>
    <s v="2TETN006HXT"/>
    <s v="2TETN-027VBE"/>
    <s v="KG"/>
    <s v="R2TETN027VBE_KG"/>
    <s v="气动截止阀开/关"/>
    <s v="TETN"/>
    <s v="1812-B1132YKS07-001-023"/>
    <x v="3"/>
    <s v="DO211"/>
    <x v="45"/>
    <s v="2TEKC005AR306DO"/>
    <n v="3"/>
    <x v="3"/>
    <x v="7"/>
    <n v="26"/>
    <m/>
    <s v="TB233"/>
    <s v="306BN"/>
    <s v="8B"/>
    <s v="8C"/>
    <s v="--"/>
    <s v="--"/>
    <s v="NR"/>
    <s v="NA"/>
    <s v="DO"/>
    <n v="1"/>
    <s v="DCS"/>
    <s v="DO2"/>
    <m/>
    <m/>
    <m/>
    <m/>
    <m/>
    <m/>
    <m/>
    <m/>
    <m/>
    <m/>
    <s v="2TETN01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76"/>
    <s v="2TETN006HXT"/>
    <s v="2TETN-029VBE"/>
    <s v="KG"/>
    <s v="R2TETN029VBE_KG"/>
    <s v="气动截止阀开/关"/>
    <s v="TETN"/>
    <s v="1812-B1132YKS07-001-025"/>
    <x v="3"/>
    <s v="DO211"/>
    <x v="45"/>
    <s v="2TEKC005AR306DO"/>
    <n v="3"/>
    <x v="3"/>
    <x v="8"/>
    <n v="26"/>
    <m/>
    <s v="TB233"/>
    <s v="306BN"/>
    <s v="9B"/>
    <s v="9C"/>
    <s v="--"/>
    <s v="--"/>
    <s v="NR"/>
    <s v="NA"/>
    <s v="DO"/>
    <n v="1"/>
    <s v="DCS"/>
    <s v="DO2"/>
    <m/>
    <m/>
    <m/>
    <m/>
    <m/>
    <m/>
    <m/>
    <m/>
    <m/>
    <m/>
    <s v="2TETN01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77"/>
    <s v="2TETN006HXT"/>
    <s v="2TETN-212VIE"/>
    <s v="KG"/>
    <s v="R2TETN212VIE_KG"/>
    <s v="气动截止阀开/关"/>
    <s v="TETN"/>
    <s v="1812-B1132YKS07-001-068"/>
    <x v="3"/>
    <s v="DO211"/>
    <x v="45"/>
    <s v="2TEKC005AR306DO"/>
    <n v="3"/>
    <x v="3"/>
    <x v="9"/>
    <n v="26"/>
    <m/>
    <s v="TB233"/>
    <s v="306BN"/>
    <s v="10B"/>
    <s v="10C"/>
    <s v="--"/>
    <s v="--"/>
    <s v="NR"/>
    <s v="NA"/>
    <s v="DO"/>
    <n v="1"/>
    <s v="DCS"/>
    <s v="DO2"/>
    <m/>
    <m/>
    <m/>
    <m/>
    <m/>
    <m/>
    <m/>
    <m/>
    <m/>
    <m/>
    <s v="2TETN01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78"/>
    <s v="2TETN006HXT"/>
    <s v="2TETN-213VIE"/>
    <s v="KG"/>
    <s v="R2TETN213VIE_KG"/>
    <s v="气动截止阀开/关"/>
    <s v="TETN"/>
    <s v="1812-B1132YKS07-001-069"/>
    <x v="3"/>
    <s v="DO211"/>
    <x v="45"/>
    <s v="2TEKC005AR306DO"/>
    <n v="3"/>
    <x v="3"/>
    <x v="10"/>
    <n v="26"/>
    <m/>
    <s v="TB233"/>
    <s v="306BN"/>
    <s v="11B"/>
    <s v="11C"/>
    <s v="--"/>
    <s v="--"/>
    <s v="NR"/>
    <s v="NA"/>
    <s v="DO"/>
    <n v="1"/>
    <s v="DCS"/>
    <s v="DO2"/>
    <m/>
    <m/>
    <m/>
    <m/>
    <m/>
    <m/>
    <m/>
    <m/>
    <m/>
    <m/>
    <s v="2TETN01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79"/>
    <s v="2TETN006HXT"/>
    <s v="2TETN-222VIE"/>
    <s v="KG"/>
    <s v="R2TETN222VIE_KG"/>
    <s v="气动截止阀开/关"/>
    <s v="TETN"/>
    <s v="1812-B1132YKS07-001-071"/>
    <x v="3"/>
    <s v="DO211"/>
    <x v="45"/>
    <s v="2TEKC005AR306DO"/>
    <n v="3"/>
    <x v="3"/>
    <x v="11"/>
    <n v="26"/>
    <m/>
    <s v="TB233"/>
    <s v="306BN"/>
    <s v="12B"/>
    <s v="12C"/>
    <s v="--"/>
    <s v="--"/>
    <s v="NR"/>
    <s v="NA"/>
    <s v="DO"/>
    <n v="1"/>
    <s v="DCS"/>
    <s v="DO2"/>
    <m/>
    <m/>
    <m/>
    <m/>
    <m/>
    <m/>
    <m/>
    <m/>
    <m/>
    <m/>
    <s v="2TETN01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80"/>
    <s v="2TETN006HXT"/>
    <s v="2TETN-223VIE"/>
    <s v="KG"/>
    <s v="R2TETN223VIE_KG"/>
    <s v="气动截止阀开/关"/>
    <s v="TETN"/>
    <s v="1812-B1132YKS07-001-072"/>
    <x v="3"/>
    <s v="DO211"/>
    <x v="45"/>
    <s v="2TEKC005AR306DO"/>
    <n v="3"/>
    <x v="3"/>
    <x v="12"/>
    <n v="26"/>
    <m/>
    <s v="TB233"/>
    <s v="306BN"/>
    <s v="13B"/>
    <s v="13C"/>
    <s v="--"/>
    <s v="--"/>
    <s v="NR"/>
    <s v="NA"/>
    <s v="DO"/>
    <n v="1"/>
    <s v="DCS"/>
    <s v="DO2"/>
    <m/>
    <m/>
    <m/>
    <m/>
    <m/>
    <m/>
    <m/>
    <m/>
    <m/>
    <m/>
    <s v="2TETN017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81"/>
    <s v="备用"/>
    <s v="2TEKC005AR306DOCH14"/>
    <m/>
    <s v="R2TEKC005AR306DOCH14"/>
    <s v="备用"/>
    <s v="TETN"/>
    <m/>
    <x v="3"/>
    <s v="DO211"/>
    <x v="45"/>
    <s v="2TEKC005AR306DO"/>
    <n v="3"/>
    <x v="3"/>
    <x v="13"/>
    <n v="26"/>
    <m/>
    <s v="TB233"/>
    <s v="306BN"/>
    <s v="14B"/>
    <s v="14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82"/>
    <s v="备用"/>
    <s v="2TEKC005AR306DOCH15"/>
    <m/>
    <s v="R2TEKC005AR306DOCH15"/>
    <s v="备用"/>
    <s v="TETN"/>
    <m/>
    <x v="3"/>
    <s v="DO211"/>
    <x v="45"/>
    <s v="2TEKC005AR306DO"/>
    <n v="3"/>
    <x v="3"/>
    <x v="14"/>
    <n v="26"/>
    <m/>
    <s v="TB233"/>
    <s v="306BN"/>
    <s v="15B"/>
    <s v="15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83"/>
    <s v="备用"/>
    <s v="2TEKC005AR306DOCH16"/>
    <m/>
    <s v="R2TEKC005AR306DOCH16"/>
    <s v="备用"/>
    <s v="TETN"/>
    <m/>
    <x v="3"/>
    <s v="DO211"/>
    <x v="45"/>
    <s v="2TEKC005AR306DO"/>
    <n v="3"/>
    <x v="3"/>
    <x v="15"/>
    <n v="26"/>
    <m/>
    <s v="TB233"/>
    <s v="306BN"/>
    <s v="16B"/>
    <s v="16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84"/>
    <s v="2TETN006HXT"/>
    <s v="2TETN-211VIE"/>
    <s v="KG"/>
    <s v="R2TETN211VIE_KG"/>
    <s v="气动截止阀开/关"/>
    <s v="TETN"/>
    <s v="1812-B1132YKS07-001-067"/>
    <x v="3"/>
    <s v="DO211"/>
    <x v="46"/>
    <s v="2TEKC005AR307DO"/>
    <n v="3"/>
    <x v="4"/>
    <x v="0"/>
    <n v="27"/>
    <m/>
    <s v="TB233"/>
    <s v="307BN"/>
    <s v="1B"/>
    <s v="1C"/>
    <s v="--"/>
    <s v="--"/>
    <s v="NR"/>
    <s v="NA"/>
    <s v="DO"/>
    <n v="1"/>
    <s v="DCS"/>
    <s v="DO2"/>
    <m/>
    <m/>
    <m/>
    <m/>
    <m/>
    <m/>
    <m/>
    <m/>
    <m/>
    <m/>
    <s v="2TETN018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85"/>
    <s v="2TETN006HXT"/>
    <s v="2TETN-276VIE"/>
    <s v="KG"/>
    <s v="R2TETN276VIE_KG"/>
    <s v="气动截止阀开/关"/>
    <s v="TETN"/>
    <s v="1812-B1132YKS07-001-083"/>
    <x v="3"/>
    <s v="DO211"/>
    <x v="46"/>
    <s v="2TEKC005AR307DO"/>
    <n v="3"/>
    <x v="4"/>
    <x v="1"/>
    <n v="27"/>
    <m/>
    <s v="TB233"/>
    <s v="307BN"/>
    <s v="2B"/>
    <s v="2C"/>
    <s v="--"/>
    <s v="--"/>
    <s v="NR"/>
    <s v="NA"/>
    <s v="DO"/>
    <n v="1"/>
    <s v="DCS"/>
    <s v="DO2"/>
    <m/>
    <m/>
    <m/>
    <m/>
    <m/>
    <m/>
    <m/>
    <m/>
    <m/>
    <m/>
    <s v="2TETN018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86"/>
    <s v="2TETN006HXT/2TETN007HXT"/>
    <s v="2TETN-277VIE"/>
    <s v="KG"/>
    <s v="R2TETN277VIE_KG"/>
    <s v="气动截止阀开/关"/>
    <s v="TETN"/>
    <s v="1812-B1132YKS07-001-084"/>
    <x v="3"/>
    <s v="DO211"/>
    <x v="46"/>
    <s v="2TEKC005AR307DO"/>
    <n v="3"/>
    <x v="4"/>
    <x v="2"/>
    <n v="27"/>
    <m/>
    <s v="TB233"/>
    <s v="307BN"/>
    <s v="3B"/>
    <s v="3C"/>
    <s v="--"/>
    <s v="--"/>
    <s v="NR"/>
    <s v="NA"/>
    <s v="DO"/>
    <n v="1"/>
    <s v="DCS"/>
    <s v="DO2"/>
    <m/>
    <m/>
    <m/>
    <m/>
    <m/>
    <m/>
    <m/>
    <m/>
    <m/>
    <m/>
    <s v="2TETN018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87"/>
    <s v="2TETN007HXT"/>
    <s v="2TETN-278VIE"/>
    <s v="KG"/>
    <s v="R2TETN278VIE_KG"/>
    <s v="气动截止阀开/关"/>
    <s v="TETN"/>
    <s v="1812-B1132YKS07-001-085"/>
    <x v="3"/>
    <s v="DO211"/>
    <x v="46"/>
    <s v="2TEKC005AR307DO"/>
    <n v="3"/>
    <x v="4"/>
    <x v="3"/>
    <n v="27"/>
    <m/>
    <s v="TB233"/>
    <s v="307BN"/>
    <s v="4B"/>
    <s v="4C"/>
    <s v="--"/>
    <s v="--"/>
    <s v="NR"/>
    <s v="NA"/>
    <s v="DO"/>
    <n v="1"/>
    <s v="DCS"/>
    <s v="DO2"/>
    <m/>
    <m/>
    <m/>
    <m/>
    <m/>
    <m/>
    <m/>
    <m/>
    <m/>
    <m/>
    <s v="2TETN018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88"/>
    <s v="2TETN008HXT"/>
    <s v="2TETN-279VIE"/>
    <s v="KG"/>
    <s v="R2TETN279VIE_KG"/>
    <s v="气动截止阀开/关"/>
    <s v="TETN"/>
    <s v="1812-B1132YKS07-001-086"/>
    <x v="3"/>
    <s v="DO211"/>
    <x v="46"/>
    <s v="2TEKC005AR307DO"/>
    <n v="3"/>
    <x v="4"/>
    <x v="4"/>
    <n v="27"/>
    <m/>
    <s v="TB233"/>
    <s v="307BN"/>
    <s v="5B"/>
    <s v="5C"/>
    <s v="--"/>
    <s v="--"/>
    <s v="NR"/>
    <s v="NA"/>
    <s v="DO"/>
    <n v="1"/>
    <s v="DCS"/>
    <s v="DO2"/>
    <m/>
    <m/>
    <m/>
    <m/>
    <m/>
    <m/>
    <m/>
    <m/>
    <m/>
    <m/>
    <s v="2TETN018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89"/>
    <s v="2TETN007HXT"/>
    <s v="2TETN-032VBE"/>
    <s v="KG"/>
    <s v="R2TETN032VBE_KG"/>
    <s v="气动截止阀开/关"/>
    <s v="TETN"/>
    <s v="1812-B1132YKS07-001-028"/>
    <x v="3"/>
    <s v="DO211"/>
    <x v="46"/>
    <s v="2TEKC005AR307DO"/>
    <n v="3"/>
    <x v="4"/>
    <x v="5"/>
    <n v="27"/>
    <m/>
    <s v="TB233"/>
    <s v="307BN"/>
    <s v="6B"/>
    <s v="6C"/>
    <s v="--"/>
    <s v="--"/>
    <s v="NR"/>
    <s v="NA"/>
    <s v="DO"/>
    <n v="1"/>
    <s v="DCS"/>
    <s v="DO2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90"/>
    <s v="2TETN007HXT"/>
    <s v="2TETN-035VBE"/>
    <s v="KG"/>
    <s v="R2TETN035VBE_KG"/>
    <s v="气动截止阀开/关"/>
    <s v="TETN"/>
    <s v="1812-B1132YKS07-001-031"/>
    <x v="3"/>
    <s v="DO211"/>
    <x v="46"/>
    <s v="2TEKC005AR307DO"/>
    <n v="3"/>
    <x v="4"/>
    <x v="6"/>
    <n v="27"/>
    <m/>
    <s v="TB233"/>
    <s v="307BN"/>
    <s v="7B"/>
    <s v="7C"/>
    <s v="--"/>
    <s v="--"/>
    <s v="NR"/>
    <s v="NA"/>
    <s v="DO"/>
    <n v="1"/>
    <s v="DCS"/>
    <s v="DO2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91"/>
    <s v="2TETN008HXT"/>
    <s v="2TETN-038VBE"/>
    <s v="KG"/>
    <s v="R2TETN038VBE_KG"/>
    <s v="气动截止阀开/关"/>
    <s v="TETN"/>
    <s v="1812-B1132YKS07-001-034"/>
    <x v="3"/>
    <s v="DO211"/>
    <x v="46"/>
    <s v="2TEKC005AR307DO"/>
    <n v="3"/>
    <x v="4"/>
    <x v="7"/>
    <n v="27"/>
    <m/>
    <s v="TB233"/>
    <s v="307BN"/>
    <s v="8B"/>
    <s v="8C"/>
    <s v="--"/>
    <s v="--"/>
    <s v="NR"/>
    <s v="NA"/>
    <s v="DO"/>
    <n v="1"/>
    <s v="DCS"/>
    <s v="DO2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92"/>
    <s v="2TETN007HXT"/>
    <s v="2TETN-232VIE"/>
    <s v="KG"/>
    <s v="R2TETN232VIE_KG"/>
    <s v="气动截止阀开/关"/>
    <s v="TETN"/>
    <s v="1812-B1132YKS07-001-074"/>
    <x v="3"/>
    <s v="DO211"/>
    <x v="46"/>
    <s v="2TEKC005AR307DO"/>
    <n v="3"/>
    <x v="4"/>
    <x v="8"/>
    <n v="27"/>
    <m/>
    <s v="TB233"/>
    <s v="307BN"/>
    <s v="9B"/>
    <s v="9C"/>
    <s v="--"/>
    <s v="--"/>
    <s v="NR"/>
    <s v="NA"/>
    <s v="DO"/>
    <n v="1"/>
    <s v="DCS"/>
    <s v="DO2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93"/>
    <s v="2TETN007HXT"/>
    <s v="2TETN-233VIE"/>
    <s v="KG"/>
    <s v="R2TETN233VIE_KG"/>
    <s v="气动截止阀开/关"/>
    <s v="TETN"/>
    <s v="1812-B1132YKS07-001-075"/>
    <x v="3"/>
    <s v="DO211"/>
    <x v="46"/>
    <s v="2TEKC005AR307DO"/>
    <n v="3"/>
    <x v="4"/>
    <x v="9"/>
    <n v="27"/>
    <m/>
    <s v="TB233"/>
    <s v="307BN"/>
    <s v="10B"/>
    <s v="10C"/>
    <s v="--"/>
    <s v="--"/>
    <s v="NR"/>
    <s v="NA"/>
    <s v="DO"/>
    <n v="1"/>
    <s v="DCS"/>
    <s v="DO2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94"/>
    <s v="2TETN007HXT"/>
    <s v="2TETN-242VIE"/>
    <s v="KG"/>
    <s v="R2TETN242VIE_KG"/>
    <s v="气动截止阀开/关"/>
    <s v="TETN"/>
    <s v="1812-B1132YKS07-001-077"/>
    <x v="3"/>
    <s v="DO211"/>
    <x v="46"/>
    <s v="2TEKC005AR307DO"/>
    <n v="3"/>
    <x v="4"/>
    <x v="10"/>
    <n v="27"/>
    <m/>
    <s v="TB233"/>
    <s v="307BN"/>
    <s v="11B"/>
    <s v="11C"/>
    <s v="--"/>
    <s v="--"/>
    <s v="NR"/>
    <s v="NA"/>
    <s v="DO"/>
    <n v="1"/>
    <s v="DCS"/>
    <s v="DO2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95"/>
    <s v="2TETN007HXT"/>
    <s v="2TETN-243VIE"/>
    <s v="KG"/>
    <s v="R2TETN243VIE_KG"/>
    <s v="气动截止阀开/关"/>
    <s v="TETN"/>
    <s v="1812-B1132YKS07-001-078"/>
    <x v="3"/>
    <s v="DO211"/>
    <x v="46"/>
    <s v="2TEKC005AR307DO"/>
    <n v="3"/>
    <x v="4"/>
    <x v="11"/>
    <n v="27"/>
    <m/>
    <s v="TB233"/>
    <s v="307BN"/>
    <s v="12B"/>
    <s v="12C"/>
    <s v="--"/>
    <s v="--"/>
    <s v="NR"/>
    <s v="NA"/>
    <s v="DO"/>
    <n v="1"/>
    <s v="DCS"/>
    <s v="DO2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96"/>
    <s v="2TETN008HXT"/>
    <s v="2TETN-252VIE"/>
    <s v="KG"/>
    <s v="R2TETN252VIE_KG"/>
    <s v="气动截止阀开/关"/>
    <s v="TETN"/>
    <s v="1812-B1132YKS07-001-080"/>
    <x v="3"/>
    <s v="DO211"/>
    <x v="46"/>
    <s v="2TEKC005AR307DO"/>
    <n v="3"/>
    <x v="4"/>
    <x v="12"/>
    <n v="27"/>
    <m/>
    <s v="TB233"/>
    <s v="307BN"/>
    <s v="13B"/>
    <s v="13C"/>
    <s v="--"/>
    <s v="--"/>
    <s v="NR"/>
    <s v="NA"/>
    <s v="DO"/>
    <n v="1"/>
    <s v="DCS"/>
    <s v="DO2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97"/>
    <s v="2TETN008HXT"/>
    <s v="2TETN-253VIE"/>
    <s v="KG"/>
    <s v="R2TETN253VIE_KG"/>
    <s v="气动截止阀开/关"/>
    <s v="TETN"/>
    <s v="1812-B1132YKS07-001-081"/>
    <x v="3"/>
    <s v="DO211"/>
    <x v="46"/>
    <s v="2TEKC005AR307DO"/>
    <n v="3"/>
    <x v="4"/>
    <x v="13"/>
    <n v="27"/>
    <m/>
    <s v="TB233"/>
    <s v="307BN"/>
    <s v="14B"/>
    <s v="14C"/>
    <s v="--"/>
    <s v="--"/>
    <s v="NR"/>
    <s v="NA"/>
    <s v="DO"/>
    <n v="1"/>
    <s v="DCS"/>
    <s v="DO2"/>
    <m/>
    <m/>
    <m/>
    <m/>
    <m/>
    <m/>
    <m/>
    <m/>
    <m/>
    <m/>
    <s v="2TETN022CR"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98"/>
    <s v="备用"/>
    <s v="2TEKC005AR307DOCH15"/>
    <m/>
    <s v="R2TEKC005AR307DOCH15"/>
    <s v="备用"/>
    <s v="TETN"/>
    <m/>
    <x v="3"/>
    <s v="DO211"/>
    <x v="46"/>
    <s v="2TEKC005AR307DO"/>
    <n v="3"/>
    <x v="4"/>
    <x v="14"/>
    <n v="27"/>
    <m/>
    <s v="TB233"/>
    <s v="307BN"/>
    <s v="15B"/>
    <s v="15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199"/>
    <s v="备用"/>
    <s v="2TEKC005AR307DOCH16"/>
    <m/>
    <s v="R2TEKC005AR307DOCH16"/>
    <s v="备用"/>
    <s v="TETN"/>
    <m/>
    <x v="3"/>
    <s v="DO211"/>
    <x v="46"/>
    <s v="2TEKC005AR307DO"/>
    <n v="3"/>
    <x v="4"/>
    <x v="15"/>
    <n v="27"/>
    <m/>
    <s v="TB233"/>
    <s v="307BN"/>
    <s v="16B"/>
    <s v="16C"/>
    <s v="--"/>
    <s v="--"/>
    <s v="NR"/>
    <s v="NA"/>
    <s v="DO"/>
    <n v="1"/>
    <s v="DCS"/>
    <s v="DO2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00"/>
    <s v="不需要显示"/>
    <s v="BNAA-001_002PO"/>
    <s v="T"/>
    <s v="RBNAA001_002PO_T"/>
    <s v="联锁停214/2子项硝酸输送泵BNAA001/002PO"/>
    <s v="TETN"/>
    <m/>
    <x v="3"/>
    <s v="DO211"/>
    <x v="35"/>
    <s v="2TEKC005AR308DO"/>
    <n v="3"/>
    <x v="7"/>
    <x v="0"/>
    <n v="28"/>
    <m/>
    <s v="TB231"/>
    <s v="308BN"/>
    <s v="1C"/>
    <s v="1B"/>
    <s v="--"/>
    <s v="--"/>
    <s v="NR"/>
    <s v="NA"/>
    <s v="DO"/>
    <n v="1"/>
    <s v="USER"/>
    <s v="DO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01"/>
    <s v="不需要显示"/>
    <s v="BNAB-003_004PO"/>
    <s v="T"/>
    <s v="RBNAB003_004PO_T"/>
    <s v="联锁停214/2子项氢氧化钠输送泵BNAB003/004PO"/>
    <s v="TETN"/>
    <m/>
    <x v="3"/>
    <s v="DO211"/>
    <x v="35"/>
    <s v="2TEKC005AR308DO"/>
    <n v="3"/>
    <x v="7"/>
    <x v="1"/>
    <n v="28"/>
    <m/>
    <s v="TB231"/>
    <s v="308BN"/>
    <s v="2C"/>
    <s v="2B"/>
    <s v="--"/>
    <s v="--"/>
    <s v="NR"/>
    <s v="NA"/>
    <s v="DO"/>
    <n v="1"/>
    <s v="USER"/>
    <s v="DO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02"/>
    <s v="不需要显示"/>
    <s v="2TETN-LS1"/>
    <s v="DO"/>
    <s v="R2TETNLS1_DO"/>
    <s v="氮氧化物浓度高高联锁2TETN003OG"/>
    <s v="TETN"/>
    <s v="1812-B1132YKS07-001-128"/>
    <x v="3"/>
    <s v="DO211"/>
    <x v="35"/>
    <s v="2TEKC005AR308DO"/>
    <n v="3"/>
    <x v="7"/>
    <x v="2"/>
    <n v="28"/>
    <m/>
    <s v="TB231"/>
    <s v="308BN"/>
    <s v="3C"/>
    <s v="3B"/>
    <s v="--"/>
    <s v="--"/>
    <s v="NR"/>
    <s v="NA"/>
    <s v="DO"/>
    <n v="1"/>
    <s v="USER"/>
    <s v="DO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03"/>
    <s v="不需要显示"/>
    <s v="2TETN-LS2"/>
    <s v="DO"/>
    <s v="R2TETNLS2_DO"/>
    <s v="氮氧化物浓度高高联锁2TETN004OG"/>
    <s v="TETN"/>
    <s v="1812-B1132YKS07-001-128"/>
    <x v="3"/>
    <s v="DO211"/>
    <x v="35"/>
    <s v="2TEKC005AR308DO"/>
    <n v="3"/>
    <x v="7"/>
    <x v="3"/>
    <n v="28"/>
    <m/>
    <s v="TB231"/>
    <s v="308BN"/>
    <s v="4C"/>
    <s v="4B"/>
    <s v="--"/>
    <s v="--"/>
    <s v="NR"/>
    <s v="NA"/>
    <s v="DO"/>
    <n v="1"/>
    <s v="USER"/>
    <s v="DO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04"/>
    <s v="不需要显示"/>
    <s v="2TETN-LS3"/>
    <s v="DO"/>
    <s v="R2TETNLS3_DO"/>
    <s v="氮氧化物浓度高高联锁2TETN005OG"/>
    <s v="TETN"/>
    <s v="1812-B1132YKS07-001-128"/>
    <x v="3"/>
    <s v="DO211"/>
    <x v="35"/>
    <s v="2TEKC005AR308DO"/>
    <n v="3"/>
    <x v="7"/>
    <x v="4"/>
    <n v="28"/>
    <m/>
    <s v="TB231"/>
    <s v="308BN"/>
    <s v="5C"/>
    <s v="5B"/>
    <s v="--"/>
    <s v="--"/>
    <s v="NR"/>
    <s v="NA"/>
    <s v="DO"/>
    <n v="1"/>
    <s v="USER"/>
    <s v="DO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05"/>
    <s v="不需要显示"/>
    <s v="2TETN-LS4"/>
    <s v="DO"/>
    <s v="R2TETNLS4_DO"/>
    <s v="氮氧化物浓度高高联锁2TETN006OG"/>
    <s v="TETN"/>
    <s v="1812-B1132YKS07-001-128"/>
    <x v="3"/>
    <s v="DO211"/>
    <x v="35"/>
    <s v="2TEKC005AR308DO"/>
    <n v="3"/>
    <x v="7"/>
    <x v="5"/>
    <n v="28"/>
    <m/>
    <s v="TB231"/>
    <s v="308BN"/>
    <s v="6C"/>
    <s v="6B"/>
    <s v="--"/>
    <s v="--"/>
    <s v="NR"/>
    <s v="NA"/>
    <s v="DO"/>
    <n v="1"/>
    <s v="USER"/>
    <s v="DO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06"/>
    <s v="不需要显示"/>
    <s v="2TETN-LS5"/>
    <s v="DO"/>
    <s v="R2TETNLS5_DO"/>
    <s v="氮氧化物浓度高高联锁2TETN007OG"/>
    <s v="TETN"/>
    <s v="1812-B1132YKS07-001-128"/>
    <x v="3"/>
    <s v="DO211"/>
    <x v="35"/>
    <s v="2TEKC005AR308DO"/>
    <n v="3"/>
    <x v="7"/>
    <x v="6"/>
    <n v="28"/>
    <m/>
    <s v="TB231"/>
    <s v="308BN"/>
    <s v="7C"/>
    <s v="7B"/>
    <s v="--"/>
    <s v="--"/>
    <s v="NR"/>
    <s v="NA"/>
    <s v="DO"/>
    <n v="1"/>
    <s v="USER"/>
    <s v="DO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07"/>
    <s v="不需要显示"/>
    <s v="2TETN-LS6"/>
    <s v="DO"/>
    <s v="R2TETNLS6_DO"/>
    <s v="氮氧化物浓度高高联锁2TETN008OG"/>
    <s v="TETN"/>
    <s v="1812-B1132YKS07-001-128"/>
    <x v="3"/>
    <s v="DO211"/>
    <x v="35"/>
    <s v="2TEKC005AR308DO"/>
    <n v="3"/>
    <x v="7"/>
    <x v="7"/>
    <n v="28"/>
    <m/>
    <s v="TB231"/>
    <s v="308BN"/>
    <s v="8C"/>
    <s v="8B"/>
    <s v="--"/>
    <s v="--"/>
    <s v="NR"/>
    <s v="NA"/>
    <s v="DO"/>
    <n v="1"/>
    <s v="USER"/>
    <s v="DO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08"/>
    <s v="不需要显示"/>
    <s v="2TETN-LS7"/>
    <s v="DO"/>
    <s v="R2TETNLS7_DO"/>
    <s v="氮氧化物浓度高高联锁2TETN009OG"/>
    <s v="TETN"/>
    <s v="1812-B1132YKS07-001-128"/>
    <x v="3"/>
    <s v="DO211"/>
    <x v="35"/>
    <s v="2TEKC005AR308DO"/>
    <n v="3"/>
    <x v="7"/>
    <x v="8"/>
    <n v="28"/>
    <m/>
    <s v="TB231"/>
    <s v="308BN"/>
    <s v="9C"/>
    <s v="9B"/>
    <s v="--"/>
    <s v="--"/>
    <s v="NR"/>
    <s v="NA"/>
    <s v="DO"/>
    <n v="1"/>
    <s v="USER"/>
    <s v="DO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09"/>
    <s v="不需要显示"/>
    <s v="2TETN-LS8"/>
    <s v="DO"/>
    <s v="R2TETNLS8_DO"/>
    <s v="氮氧化物浓度高高联锁2TETN010OG"/>
    <s v="TETN"/>
    <s v="1812-B1132YKS07-001-128"/>
    <x v="3"/>
    <s v="DO211"/>
    <x v="35"/>
    <s v="2TEKC005AR308DO"/>
    <n v="3"/>
    <x v="7"/>
    <x v="9"/>
    <n v="28"/>
    <m/>
    <s v="TB231"/>
    <s v="308BN"/>
    <s v="10C"/>
    <s v="10B"/>
    <s v="--"/>
    <s v="--"/>
    <s v="NR"/>
    <s v="NA"/>
    <s v="DO"/>
    <n v="1"/>
    <s v="USER"/>
    <s v="DO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10"/>
    <s v="不需要显示"/>
    <s v="2TETN-LS9"/>
    <s v="DO"/>
    <s v="R2TETNLS9_DO"/>
    <s v="氮氧化物浓度高高联锁2TETN011OG"/>
    <s v="TETN"/>
    <s v="1812-B1132YKS07-001-128"/>
    <x v="3"/>
    <s v="DO211"/>
    <x v="35"/>
    <s v="2TEKC005AR308DO"/>
    <n v="3"/>
    <x v="7"/>
    <x v="10"/>
    <n v="28"/>
    <m/>
    <s v="TB231"/>
    <s v="308BN"/>
    <s v="11C"/>
    <s v="11B"/>
    <s v="--"/>
    <s v="--"/>
    <s v="NR"/>
    <s v="NA"/>
    <s v="DO"/>
    <n v="1"/>
    <s v="USER"/>
    <s v="DO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11"/>
    <s v="不需要显示"/>
    <s v="2TETN-LS10"/>
    <s v="DO"/>
    <s v="R2TETNLS10_DO"/>
    <s v="氮氧化物浓度高高联锁2TETN012OG"/>
    <s v="TETN"/>
    <s v="1812-B1132YKS07-001-128"/>
    <x v="3"/>
    <s v="DO211"/>
    <x v="35"/>
    <s v="2TEKC005AR308DO"/>
    <n v="3"/>
    <x v="7"/>
    <x v="11"/>
    <n v="28"/>
    <m/>
    <s v="TB231"/>
    <s v="308BN"/>
    <s v="12C"/>
    <s v="12B"/>
    <s v="--"/>
    <s v="--"/>
    <s v="NR"/>
    <s v="NA"/>
    <s v="DO"/>
    <n v="1"/>
    <s v="USER"/>
    <s v="DO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12"/>
    <s v="不需要显示"/>
    <s v="2TETN-LS11"/>
    <s v="DO"/>
    <s v="R2TETNLS11_DO"/>
    <s v="氮氧化物浓度高高联锁2TETN013OG"/>
    <s v="TETN"/>
    <s v="1812-B1132YKS07-001-128"/>
    <x v="3"/>
    <s v="DO211"/>
    <x v="35"/>
    <s v="2TEKC005AR308DO"/>
    <n v="3"/>
    <x v="7"/>
    <x v="12"/>
    <n v="28"/>
    <m/>
    <s v="TB231"/>
    <s v="308BN"/>
    <s v="13C"/>
    <s v="13B"/>
    <s v="--"/>
    <s v="--"/>
    <s v="NR"/>
    <s v="NA"/>
    <s v="DO"/>
    <n v="1"/>
    <s v="USER"/>
    <s v="DO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13"/>
    <s v="备用"/>
    <s v="2TEKC005AR308DOCH14"/>
    <m/>
    <s v="R2TEKC005AR308DOCH14"/>
    <s v="备用"/>
    <s v="TETN"/>
    <m/>
    <x v="3"/>
    <s v="DO211"/>
    <x v="35"/>
    <s v="2TEKC005AR308DO"/>
    <n v="3"/>
    <x v="7"/>
    <x v="13"/>
    <n v="28"/>
    <m/>
    <s v="TB231"/>
    <s v="308BN"/>
    <s v="14C"/>
    <s v="14B"/>
    <s v="--"/>
    <s v="--"/>
    <s v="NR"/>
    <s v="NA"/>
    <s v="DO"/>
    <n v="1"/>
    <s v="USER"/>
    <s v="DO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14"/>
    <s v="备用"/>
    <s v="2TEKC005AR308DOCH15"/>
    <m/>
    <s v="R2TEKC005AR308DOCH15"/>
    <s v="备用"/>
    <s v="TETN"/>
    <m/>
    <x v="3"/>
    <s v="DO211"/>
    <x v="35"/>
    <s v="2TEKC005AR308DO"/>
    <n v="3"/>
    <x v="7"/>
    <x v="14"/>
    <n v="28"/>
    <m/>
    <s v="TB231"/>
    <s v="308BN"/>
    <s v="15C"/>
    <s v="15B"/>
    <s v="--"/>
    <s v="--"/>
    <s v="NR"/>
    <s v="NA"/>
    <s v="DO"/>
    <n v="1"/>
    <s v="USER"/>
    <s v="DO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15"/>
    <s v="备用"/>
    <s v="2TEKC005AR308DOCH16"/>
    <m/>
    <s v="R2TEKC005AR308DOCH16"/>
    <s v="备用"/>
    <s v="TETN"/>
    <m/>
    <x v="3"/>
    <s v="DO211"/>
    <x v="35"/>
    <s v="2TEKC005AR308DO"/>
    <n v="3"/>
    <x v="7"/>
    <x v="15"/>
    <n v="28"/>
    <m/>
    <s v="TB231"/>
    <s v="308BN"/>
    <s v="16C"/>
    <s v="16B"/>
    <s v="--"/>
    <s v="--"/>
    <s v="NR"/>
    <s v="NA"/>
    <s v="DO"/>
    <n v="1"/>
    <s v="USER"/>
    <s v="DO4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16"/>
    <m/>
    <s v="2TETN-001BA-JBQ"/>
    <s v="Q"/>
    <s v="R2TETN001BAJBQ_Q"/>
    <s v="2TETN-001BA-搅拌器启动"/>
    <s v="TETN"/>
    <s v="1812-B1132YKS07-001-118"/>
    <x v="3"/>
    <s v="DO211"/>
    <x v="36"/>
    <s v="2TEKC005AR309DO"/>
    <n v="3"/>
    <x v="6"/>
    <x v="0"/>
    <n v="29"/>
    <m/>
    <s v="TB231"/>
    <s v="309BN"/>
    <s v="1C"/>
    <s v="1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17"/>
    <m/>
    <s v="2TETN-001BA-JBQ"/>
    <s v="T"/>
    <s v="R2TETN001BAJBQ_T"/>
    <s v="2TETN-001BA-搅拌器停止"/>
    <s v="TETN"/>
    <s v="1812-B1132YKS07-001-118"/>
    <x v="3"/>
    <s v="DO211"/>
    <x v="36"/>
    <s v="2TEKC005AR309DO"/>
    <n v="3"/>
    <x v="6"/>
    <x v="1"/>
    <n v="29"/>
    <m/>
    <s v="TB231"/>
    <s v="309BN"/>
    <s v="2C"/>
    <s v="2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18"/>
    <m/>
    <s v="2TETN-001BA-SSJ"/>
    <s v="Q"/>
    <s v="R2TETN001BASSJ_Q"/>
    <s v="2TETN-001BA-输送机启动"/>
    <s v="TETN"/>
    <s v="1812-B1132YKS07-001-119"/>
    <x v="3"/>
    <s v="DO211"/>
    <x v="36"/>
    <s v="2TEKC005AR309DO"/>
    <n v="3"/>
    <x v="6"/>
    <x v="2"/>
    <n v="29"/>
    <m/>
    <s v="TB231"/>
    <s v="309BN"/>
    <s v="3C"/>
    <s v="3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19"/>
    <m/>
    <s v="2TETN-001BA-SSJ"/>
    <s v="T"/>
    <s v="R2TETN001BASSJ_T"/>
    <s v="2TETN-001BA-输送机停止"/>
    <s v="TETN"/>
    <s v="1812-B1132YKS07-001-119"/>
    <x v="3"/>
    <s v="DO211"/>
    <x v="36"/>
    <s v="2TEKC005AR309DO"/>
    <n v="3"/>
    <x v="6"/>
    <x v="3"/>
    <n v="29"/>
    <m/>
    <s v="TB231"/>
    <s v="309BN"/>
    <s v="4C"/>
    <s v="4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20"/>
    <s v="2TETN005HXT"/>
    <s v="2TENT-001ZV"/>
    <s v="Q"/>
    <s v="R2TENT001ZV_Q"/>
    <s v="风机2TENT-001ZV启动"/>
    <s v="TETN"/>
    <s v="1812-B1132YKS07-001-120"/>
    <x v="3"/>
    <s v="DO211"/>
    <x v="36"/>
    <s v="2TEKC005AR309DO"/>
    <n v="3"/>
    <x v="6"/>
    <x v="4"/>
    <n v="29"/>
    <m/>
    <s v="TB231"/>
    <s v="309BN"/>
    <s v="5C"/>
    <s v="5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21"/>
    <s v="2TETN005HXT"/>
    <s v="2TENT-001ZV"/>
    <s v="T"/>
    <s v="R2TENT001ZV_T"/>
    <s v="风机2TENT-001ZV停止"/>
    <s v="TETN"/>
    <s v="1812-B1132YKS07-001-120"/>
    <x v="3"/>
    <s v="DO211"/>
    <x v="36"/>
    <s v="2TEKC005AR309DO"/>
    <n v="3"/>
    <x v="6"/>
    <x v="5"/>
    <n v="29"/>
    <m/>
    <s v="TB231"/>
    <s v="309BN"/>
    <s v="6C"/>
    <s v="6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22"/>
    <s v="2TETN005HXT"/>
    <s v="2TENT-002ZV"/>
    <s v="Q"/>
    <s v="R2TENT002ZV_Q"/>
    <s v="风机2TENT-002ZV启动"/>
    <s v="TETN"/>
    <s v="1812-B1132YKS07-001-121"/>
    <x v="3"/>
    <s v="DO211"/>
    <x v="36"/>
    <s v="2TEKC005AR309DO"/>
    <n v="3"/>
    <x v="6"/>
    <x v="6"/>
    <n v="29"/>
    <m/>
    <s v="TB231"/>
    <s v="309BN"/>
    <s v="7C"/>
    <s v="7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23"/>
    <s v="2TETN005HXT"/>
    <s v="2TENT-002ZV"/>
    <s v="T"/>
    <s v="R2TENT002ZV_T"/>
    <s v="风机2TENT-002ZV停止"/>
    <s v="TETN"/>
    <s v="1812-B1132YKS07-001-121"/>
    <x v="3"/>
    <s v="DO211"/>
    <x v="36"/>
    <s v="2TEKC005AR309DO"/>
    <n v="3"/>
    <x v="6"/>
    <x v="7"/>
    <n v="29"/>
    <m/>
    <s v="TB231"/>
    <s v="309BN"/>
    <s v="8C"/>
    <s v="8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24"/>
    <s v="2TETN008HXT"/>
    <s v="2TENT-003ZV"/>
    <s v="Q"/>
    <s v="R2TENT003ZV_Q"/>
    <s v="风机2TENT-003ZV启动"/>
    <s v="TETN"/>
    <s v="1812-B1132YKS07-001-122"/>
    <x v="3"/>
    <s v="DO211"/>
    <x v="36"/>
    <s v="2TEKC005AR309DO"/>
    <n v="3"/>
    <x v="6"/>
    <x v="8"/>
    <n v="29"/>
    <m/>
    <s v="TB231"/>
    <s v="309BN"/>
    <s v="9C"/>
    <s v="9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25"/>
    <s v="2TETN008HXT"/>
    <s v="2TENT-003ZV"/>
    <s v="T"/>
    <s v="R2TENT003ZV_T"/>
    <s v="风机2TENT-003ZV停止"/>
    <s v="TETN"/>
    <s v="1812-B1132YKS07-001-122"/>
    <x v="3"/>
    <s v="DO211"/>
    <x v="36"/>
    <s v="2TEKC005AR309DO"/>
    <n v="3"/>
    <x v="6"/>
    <x v="9"/>
    <n v="29"/>
    <m/>
    <s v="TB231"/>
    <s v="309BN"/>
    <s v="10C"/>
    <s v="10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26"/>
    <s v="2TETN008HXT"/>
    <s v="2TENT-004ZV"/>
    <s v="Q"/>
    <s v="R2TENT004ZV_Q"/>
    <s v="风机2TENT-004ZV启动"/>
    <s v="TETN"/>
    <s v="1812-B1132YKS07-001-123"/>
    <x v="3"/>
    <s v="DO211"/>
    <x v="36"/>
    <s v="2TEKC005AR309DO"/>
    <n v="3"/>
    <x v="6"/>
    <x v="10"/>
    <n v="29"/>
    <m/>
    <s v="TB231"/>
    <s v="309BN"/>
    <s v="11C"/>
    <s v="11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27"/>
    <s v="2TETN008HXT"/>
    <s v="2TENT-004ZV"/>
    <s v="T"/>
    <s v="R2TENT004ZV_T"/>
    <s v="风机2TENT-004ZV停止"/>
    <s v="TETN"/>
    <s v="1812-B1132YKS07-001-123"/>
    <x v="3"/>
    <s v="DO211"/>
    <x v="36"/>
    <s v="2TEKC005AR309DO"/>
    <n v="3"/>
    <x v="6"/>
    <x v="11"/>
    <n v="29"/>
    <m/>
    <s v="TB231"/>
    <s v="309BN"/>
    <s v="12C"/>
    <s v="12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28"/>
    <s v="2TETN002HXT"/>
    <s v="2TETN-810VR"/>
    <s v="K"/>
    <s v="R2TETN810VR_K"/>
    <s v="电动焊接闸阀开"/>
    <s v="TETN"/>
    <s v="1812-B1132YKS07-001-088"/>
    <x v="3"/>
    <s v="DO211"/>
    <x v="36"/>
    <s v="2TEKC005AR309DO"/>
    <n v="3"/>
    <x v="6"/>
    <x v="12"/>
    <n v="29"/>
    <m/>
    <s v="TB231"/>
    <s v="309BN"/>
    <s v="13C"/>
    <s v="13B"/>
    <s v="--"/>
    <s v="--"/>
    <s v="NR"/>
    <s v="NA"/>
    <s v="DO"/>
    <s v="无源常开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29"/>
    <s v="2TETN002HXT"/>
    <s v="2TETN-810VR"/>
    <s v="G"/>
    <s v="R2TETN810VR_G"/>
    <s v="电动焊接闸阀关"/>
    <s v="TETN"/>
    <s v="1812-B1132YKS07-001-088"/>
    <x v="3"/>
    <s v="DO211"/>
    <x v="36"/>
    <s v="2TEKC005AR309DO"/>
    <n v="3"/>
    <x v="6"/>
    <x v="13"/>
    <n v="29"/>
    <m/>
    <s v="TB231"/>
    <s v="309BN"/>
    <s v="14C"/>
    <s v="14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30"/>
    <s v="备用"/>
    <s v="2TEKC005AR309DOCH15"/>
    <m/>
    <s v="R2TEKC005AR309DOCH15"/>
    <s v="备用"/>
    <s v="TETN"/>
    <m/>
    <x v="3"/>
    <s v="DO211"/>
    <x v="36"/>
    <s v="2TEKC005AR309DO"/>
    <n v="3"/>
    <x v="6"/>
    <x v="14"/>
    <n v="29"/>
    <m/>
    <s v="TB231"/>
    <s v="309BN"/>
    <s v="15C"/>
    <s v="15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31"/>
    <s v="备用"/>
    <s v="2TEKC005AR309DOCH16"/>
    <m/>
    <s v="R2TEKC005AR309DOCH16"/>
    <s v="备用"/>
    <s v="TETN"/>
    <m/>
    <x v="3"/>
    <s v="DO211"/>
    <x v="36"/>
    <s v="2TEKC005AR309DO"/>
    <n v="3"/>
    <x v="6"/>
    <x v="15"/>
    <n v="29"/>
    <m/>
    <s v="TB231"/>
    <s v="309BN"/>
    <s v="16C"/>
    <s v="16B"/>
    <s v="--"/>
    <s v="--"/>
    <s v="NR"/>
    <s v="NA"/>
    <s v="DO"/>
    <s v="无源常闭"/>
    <s v="USER"/>
    <s v="DO5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s v=""/>
    <m/>
  </r>
  <r>
    <n v="1232"/>
    <m/>
    <s v="2TEKC005AR"/>
    <s v="ALM"/>
    <s v="R2TEKC005AR_ALM"/>
    <s v="控制柜2TEKC005AR机柜报警灯"/>
    <s v="TETN"/>
    <m/>
    <x v="3"/>
    <s v="DO211"/>
    <x v="37"/>
    <s v="2TEKC005AR310DO"/>
    <n v="3"/>
    <x v="8"/>
    <x v="0"/>
    <n v="30"/>
    <m/>
    <s v="TB233"/>
    <s v="310BN"/>
    <s v="1B"/>
    <s v="1C"/>
    <s v="--"/>
    <s v="--"/>
    <s v="NR"/>
    <s v="NA"/>
    <s v="DO"/>
    <s v="有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m/>
    <m/>
  </r>
  <r>
    <n v="1233"/>
    <m/>
    <s v="2TEKC005AR310DOCH02"/>
    <m/>
    <s v="R2TEKC005AR310DOCH02"/>
    <s v="备用"/>
    <s v="TETN"/>
    <m/>
    <x v="3"/>
    <s v="DO211"/>
    <x v="37"/>
    <s v="2TEKC005AR310DO"/>
    <n v="3"/>
    <x v="8"/>
    <x v="1"/>
    <n v="30"/>
    <m/>
    <s v="TB233"/>
    <s v="310BN"/>
    <s v="2B"/>
    <s v="2C"/>
    <s v="--"/>
    <s v="--"/>
    <s v="NR"/>
    <s v="NA"/>
    <s v="DO"/>
    <s v="有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m/>
    <m/>
  </r>
  <r>
    <n v="1234"/>
    <m/>
    <s v="2TEKC005AR310DOCH03"/>
    <m/>
    <s v="R2TEKC005AR310DOCH03"/>
    <s v="备用"/>
    <s v="TETN"/>
    <m/>
    <x v="3"/>
    <s v="DO211"/>
    <x v="37"/>
    <s v="2TEKC005AR310DO"/>
    <n v="3"/>
    <x v="8"/>
    <x v="2"/>
    <n v="30"/>
    <m/>
    <s v="TB233"/>
    <s v="310BN"/>
    <s v="3B"/>
    <s v="3C"/>
    <s v="--"/>
    <s v="--"/>
    <s v="NR"/>
    <s v="NA"/>
    <s v="DO"/>
    <s v="有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m/>
    <m/>
  </r>
  <r>
    <n v="1235"/>
    <m/>
    <s v="2TEKC005AR310DOCH04"/>
    <m/>
    <s v="R2TEKC005AR310DOCH04"/>
    <s v="备用"/>
    <s v="TETN"/>
    <m/>
    <x v="3"/>
    <s v="DO211"/>
    <x v="37"/>
    <s v="2TEKC005AR310DO"/>
    <n v="3"/>
    <x v="8"/>
    <x v="3"/>
    <n v="30"/>
    <m/>
    <s v="TB233"/>
    <s v="310BN"/>
    <s v="4B"/>
    <s v="4C"/>
    <s v="--"/>
    <s v="--"/>
    <s v="NR"/>
    <s v="NA"/>
    <s v="DO"/>
    <s v="有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m/>
    <m/>
  </r>
  <r>
    <n v="1236"/>
    <m/>
    <s v="2TEKC005AR310DOCH05"/>
    <m/>
    <s v="R2TEKC005AR310DOCH05"/>
    <s v="备用"/>
    <s v="TETN"/>
    <m/>
    <x v="3"/>
    <s v="DO211"/>
    <x v="37"/>
    <s v="2TEKC005AR310DO"/>
    <n v="3"/>
    <x v="8"/>
    <x v="4"/>
    <n v="30"/>
    <m/>
    <s v="TB233"/>
    <s v="310BN"/>
    <s v="5B"/>
    <s v="5C"/>
    <s v="--"/>
    <s v="--"/>
    <s v="NR"/>
    <s v="NA"/>
    <s v="DO"/>
    <s v="有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m/>
    <m/>
  </r>
  <r>
    <n v="1237"/>
    <m/>
    <s v="2TEKC005AR310DOCH06"/>
    <m/>
    <s v="R2TEKC005AR310DOCH06"/>
    <s v="备用"/>
    <s v="TETN"/>
    <m/>
    <x v="3"/>
    <s v="DO211"/>
    <x v="37"/>
    <s v="2TEKC005AR310DO"/>
    <n v="3"/>
    <x v="8"/>
    <x v="5"/>
    <n v="30"/>
    <m/>
    <s v="TB233"/>
    <s v="310BN"/>
    <s v="6B"/>
    <s v="6C"/>
    <s v="--"/>
    <s v="--"/>
    <s v="NR"/>
    <s v="NA"/>
    <s v="DO"/>
    <s v="有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m/>
    <m/>
  </r>
  <r>
    <n v="1238"/>
    <m/>
    <s v="2TEKC005AR310DOCH07"/>
    <m/>
    <s v="R2TEKC005AR310DOCH07"/>
    <s v="备用"/>
    <s v="TETN"/>
    <m/>
    <x v="3"/>
    <s v="DO211"/>
    <x v="37"/>
    <s v="2TEKC005AR310DO"/>
    <n v="3"/>
    <x v="8"/>
    <x v="6"/>
    <n v="30"/>
    <m/>
    <s v="TB233"/>
    <s v="310BN"/>
    <s v="7B"/>
    <s v="7C"/>
    <s v="--"/>
    <s v="--"/>
    <s v="NR"/>
    <s v="NA"/>
    <s v="DO"/>
    <s v="有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m/>
    <m/>
  </r>
  <r>
    <n v="1239"/>
    <m/>
    <s v="2TEKC005AR310DOCH08"/>
    <m/>
    <s v="R2TEKC005AR310DOCH08"/>
    <s v="备用"/>
    <s v="TETN"/>
    <m/>
    <x v="3"/>
    <s v="DO211"/>
    <x v="37"/>
    <s v="2TEKC005AR310DO"/>
    <n v="3"/>
    <x v="8"/>
    <x v="7"/>
    <n v="30"/>
    <m/>
    <s v="TB233"/>
    <s v="310BN"/>
    <s v="8B"/>
    <s v="8C"/>
    <s v="--"/>
    <s v="--"/>
    <s v="NR"/>
    <s v="NA"/>
    <s v="DO"/>
    <s v="有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m/>
    <m/>
  </r>
  <r>
    <n v="1240"/>
    <m/>
    <s v="2TEKC005AR310DOCH09"/>
    <m/>
    <s v="R2TEKC005AR310DOCH09"/>
    <s v="备用"/>
    <s v="TETN"/>
    <m/>
    <x v="3"/>
    <s v="DO211"/>
    <x v="37"/>
    <s v="2TEKC005AR310DO"/>
    <n v="3"/>
    <x v="8"/>
    <x v="8"/>
    <n v="30"/>
    <m/>
    <s v="TB233"/>
    <s v="310BN"/>
    <s v="9B"/>
    <s v="9C"/>
    <s v="--"/>
    <s v="--"/>
    <s v="NR"/>
    <s v="NA"/>
    <s v="DO"/>
    <s v="有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m/>
    <m/>
  </r>
  <r>
    <n v="1241"/>
    <m/>
    <s v="2TEKC005AR310DOCH10"/>
    <m/>
    <s v="R2TEKC005AR310DOCH10"/>
    <s v="备用"/>
    <s v="TETN"/>
    <m/>
    <x v="3"/>
    <s v="DO211"/>
    <x v="37"/>
    <s v="2TEKC005AR310DO"/>
    <n v="3"/>
    <x v="8"/>
    <x v="9"/>
    <n v="30"/>
    <m/>
    <s v="TB233"/>
    <s v="310BN"/>
    <s v="10B"/>
    <s v="10C"/>
    <s v="--"/>
    <s v="--"/>
    <s v="NR"/>
    <s v="NA"/>
    <s v="DO"/>
    <s v="有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m/>
    <m/>
  </r>
  <r>
    <n v="1242"/>
    <m/>
    <s v="2TEKC005AR310DOCH11"/>
    <m/>
    <s v="R2TEKC005AR310DOCH11"/>
    <s v="备用"/>
    <s v="TETN"/>
    <m/>
    <x v="3"/>
    <s v="DO211"/>
    <x v="37"/>
    <s v="2TEKC005AR310DO"/>
    <n v="3"/>
    <x v="8"/>
    <x v="10"/>
    <n v="30"/>
    <m/>
    <s v="TB233"/>
    <s v="310BN"/>
    <s v="11B"/>
    <s v="11C"/>
    <s v="--"/>
    <s v="--"/>
    <s v="NR"/>
    <s v="NA"/>
    <s v="DO"/>
    <s v="有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m/>
    <m/>
  </r>
  <r>
    <n v="1243"/>
    <m/>
    <s v="2TEKC005AR310DOCH12"/>
    <m/>
    <s v="R2TEKC005AR310DOCH12"/>
    <s v="备用"/>
    <s v="TETN"/>
    <m/>
    <x v="3"/>
    <s v="DO211"/>
    <x v="37"/>
    <s v="2TEKC005AR310DO"/>
    <n v="3"/>
    <x v="8"/>
    <x v="11"/>
    <n v="30"/>
    <m/>
    <s v="TB233"/>
    <s v="310BN"/>
    <s v="12B"/>
    <s v="12C"/>
    <s v="--"/>
    <s v="--"/>
    <s v="NR"/>
    <s v="NA"/>
    <s v="DO"/>
    <s v="有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m/>
    <m/>
  </r>
  <r>
    <n v="1244"/>
    <m/>
    <s v="2TEKC005AR310DOCH13"/>
    <m/>
    <s v="R2TEKC005AR310DOCH13"/>
    <s v="备用"/>
    <s v="TETN"/>
    <m/>
    <x v="3"/>
    <s v="DO211"/>
    <x v="37"/>
    <s v="2TEKC005AR310DO"/>
    <n v="3"/>
    <x v="8"/>
    <x v="12"/>
    <n v="30"/>
    <m/>
    <s v="TB233"/>
    <s v="310BN"/>
    <s v="13B"/>
    <s v="13C"/>
    <s v="--"/>
    <s v="--"/>
    <s v="NR"/>
    <s v="NA"/>
    <s v="DO"/>
    <s v="有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m/>
    <m/>
  </r>
  <r>
    <n v="1245"/>
    <m/>
    <s v="2TEKC005AR310DOCH14"/>
    <m/>
    <s v="R2TEKC005AR310DOCH14"/>
    <s v="备用"/>
    <s v="TETN"/>
    <m/>
    <x v="3"/>
    <s v="DO211"/>
    <x v="37"/>
    <s v="2TEKC005AR310DO"/>
    <n v="3"/>
    <x v="8"/>
    <x v="13"/>
    <n v="30"/>
    <m/>
    <s v="TB233"/>
    <s v="310BN"/>
    <s v="14B"/>
    <s v="14C"/>
    <s v="--"/>
    <s v="--"/>
    <s v="NR"/>
    <s v="NA"/>
    <s v="DO"/>
    <s v="有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m/>
    <m/>
  </r>
  <r>
    <n v="1246"/>
    <m/>
    <s v="2TEKC005AR310DOCH15"/>
    <m/>
    <s v="R2TEKC005AR310DOCH15"/>
    <s v="备用"/>
    <s v="TETN"/>
    <m/>
    <x v="3"/>
    <s v="DO211"/>
    <x v="37"/>
    <s v="2TEKC005AR310DO"/>
    <n v="3"/>
    <x v="8"/>
    <x v="14"/>
    <n v="30"/>
    <m/>
    <s v="TB233"/>
    <s v="310BN"/>
    <s v="15B"/>
    <s v="15C"/>
    <s v="--"/>
    <s v="--"/>
    <s v="NR"/>
    <s v="NA"/>
    <s v="DO"/>
    <s v="有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m/>
    <m/>
  </r>
  <r>
    <n v="1247"/>
    <m/>
    <s v="2TEKC005AR310DOCH16"/>
    <m/>
    <s v="R2TEKC005AR310DOCH16"/>
    <s v="备用"/>
    <s v="TETN"/>
    <m/>
    <x v="3"/>
    <s v="DO211"/>
    <x v="37"/>
    <s v="2TEKC005AR310DO"/>
    <n v="3"/>
    <x v="8"/>
    <x v="15"/>
    <n v="30"/>
    <m/>
    <s v="TB233"/>
    <s v="310BN"/>
    <s v="16B"/>
    <s v="16C"/>
    <s v="--"/>
    <s v="--"/>
    <s v="NR"/>
    <s v="NA"/>
    <s v="DO"/>
    <s v="有源常闭"/>
    <s v="DCS"/>
    <s v="DO1"/>
    <m/>
    <m/>
    <m/>
    <m/>
    <m/>
    <m/>
    <m/>
    <m/>
    <m/>
    <m/>
    <m/>
    <s v="A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n v="5"/>
    <n v="1"/>
    <m/>
    <m/>
    <m/>
  </r>
  <r>
    <m/>
    <m/>
    <m/>
    <m/>
    <m/>
    <m/>
    <m/>
    <m/>
    <x v="4"/>
    <m/>
    <x v="49"/>
    <m/>
    <m/>
    <x v="10"/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1" cacheId="0" autoFormatId="1" applyNumberFormats="0" applyBorderFormats="0" applyFontFormats="0" applyPatternFormats="0" applyAlignmentFormats="0" applyWidthHeightFormats="1" dataCaption="值" updatedVersion="6" minRefreshableVersion="3" createdVersion="6" useAutoFormatting="1" indent="0" outline="1" outlineData="1" showDrill="1" multipleFieldFilters="0">
  <location ref="A1:S104" firstHeaderRow="1" firstDataRow="2" firstDataCol="1"/>
  <pivotFields count="83"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6">
        <item x="0"/>
        <item x="1"/>
        <item x="2"/>
        <item x="3"/>
        <item x="4"/>
        <item t="default"/>
      </items>
    </pivotField>
    <pivotField showAll="0"/>
    <pivotField axis="axisRow" showAll="0">
      <items count="53">
        <item x="0"/>
        <item x="12"/>
        <item x="1"/>
        <item x="13"/>
        <item x="2"/>
        <item x="14"/>
        <item x="3"/>
        <item x="15"/>
        <item x="4"/>
        <item x="16"/>
        <item x="17"/>
        <item x="6"/>
        <item x="38"/>
        <item x="18"/>
        <item x="19"/>
        <item x="5"/>
        <item x="20"/>
        <item x="47"/>
        <item x="21"/>
        <item x="39"/>
        <item m="1" x="50"/>
        <item x="22"/>
        <item x="48"/>
        <item x="40"/>
        <item x="23"/>
        <item x="41"/>
        <item m="1" x="51"/>
        <item x="24"/>
        <item x="42"/>
        <item x="43"/>
        <item x="25"/>
        <item x="7"/>
        <item x="26"/>
        <item x="27"/>
        <item x="8"/>
        <item x="28"/>
        <item x="29"/>
        <item x="9"/>
        <item x="30"/>
        <item x="10"/>
        <item x="31"/>
        <item x="11"/>
        <item x="32"/>
        <item x="44"/>
        <item x="33"/>
        <item x="45"/>
        <item x="34"/>
        <item x="46"/>
        <item x="35"/>
        <item x="36"/>
        <item x="37"/>
        <item x="49"/>
        <item t="default"/>
      </items>
    </pivotField>
    <pivotField showAll="0"/>
    <pivotField showAll="0"/>
    <pivotField showAll="0">
      <items count="12">
        <item x="5"/>
        <item x="9"/>
        <item x="0"/>
        <item x="1"/>
        <item x="2"/>
        <item x="3"/>
        <item x="4"/>
        <item x="7"/>
        <item x="6"/>
        <item x="8"/>
        <item x="10"/>
        <item t="default"/>
      </items>
    </pivotField>
    <pivotField axis="axisCol" dataField="1" showAll="0">
      <items count="1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2">
    <field x="8"/>
    <field x="10"/>
  </rowFields>
  <rowItems count="102">
    <i>
      <x/>
    </i>
    <i r="1">
      <x/>
    </i>
    <i r="1">
      <x v="2"/>
    </i>
    <i r="1">
      <x v="4"/>
    </i>
    <i r="1">
      <x v="6"/>
    </i>
    <i r="1">
      <x v="8"/>
    </i>
    <i r="1">
      <x v="11"/>
    </i>
    <i r="1">
      <x v="15"/>
    </i>
    <i r="1">
      <x v="31"/>
    </i>
    <i r="1">
      <x v="34"/>
    </i>
    <i r="1">
      <x v="37"/>
    </i>
    <i r="1">
      <x v="39"/>
    </i>
    <i r="1">
      <x v="41"/>
    </i>
    <i>
      <x v="1"/>
    </i>
    <i r="1">
      <x/>
    </i>
    <i r="1">
      <x v="1"/>
    </i>
    <i r="1">
      <x v="3"/>
    </i>
    <i r="1">
      <x v="5"/>
    </i>
    <i r="1">
      <x v="7"/>
    </i>
    <i r="1">
      <x v="9"/>
    </i>
    <i r="1">
      <x v="10"/>
    </i>
    <i r="1">
      <x v="13"/>
    </i>
    <i r="1">
      <x v="14"/>
    </i>
    <i r="1">
      <x v="16"/>
    </i>
    <i r="1">
      <x v="18"/>
    </i>
    <i r="1">
      <x v="21"/>
    </i>
    <i r="1">
      <x v="24"/>
    </i>
    <i r="1">
      <x v="27"/>
    </i>
    <i r="1">
      <x v="30"/>
    </i>
    <i r="1">
      <x v="32"/>
    </i>
    <i r="1">
      <x v="33"/>
    </i>
    <i r="1">
      <x v="35"/>
    </i>
    <i r="1">
      <x v="36"/>
    </i>
    <i r="1">
      <x v="38"/>
    </i>
    <i r="1">
      <x v="39"/>
    </i>
    <i r="1">
      <x v="40"/>
    </i>
    <i r="1">
      <x v="42"/>
    </i>
    <i r="1">
      <x v="44"/>
    </i>
    <i r="1">
      <x v="46"/>
    </i>
    <i r="1">
      <x v="48"/>
    </i>
    <i r="1">
      <x v="49"/>
    </i>
    <i r="1">
      <x v="50"/>
    </i>
    <i>
      <x v="2"/>
    </i>
    <i r="1">
      <x/>
    </i>
    <i r="1">
      <x v="1"/>
    </i>
    <i r="1">
      <x v="3"/>
    </i>
    <i r="1">
      <x v="5"/>
    </i>
    <i r="1">
      <x v="7"/>
    </i>
    <i r="1">
      <x v="9"/>
    </i>
    <i r="1">
      <x v="10"/>
    </i>
    <i r="1">
      <x v="12"/>
    </i>
    <i r="1">
      <x v="14"/>
    </i>
    <i r="1">
      <x v="16"/>
    </i>
    <i r="1">
      <x v="19"/>
    </i>
    <i r="1">
      <x v="23"/>
    </i>
    <i r="1">
      <x v="25"/>
    </i>
    <i r="1">
      <x v="28"/>
    </i>
    <i r="1">
      <x v="29"/>
    </i>
    <i r="1">
      <x v="32"/>
    </i>
    <i r="1">
      <x v="33"/>
    </i>
    <i r="1">
      <x v="35"/>
    </i>
    <i r="1">
      <x v="36"/>
    </i>
    <i r="1">
      <x v="38"/>
    </i>
    <i r="1">
      <x v="39"/>
    </i>
    <i r="1">
      <x v="41"/>
    </i>
    <i r="1">
      <x v="43"/>
    </i>
    <i r="1">
      <x v="45"/>
    </i>
    <i r="1">
      <x v="47"/>
    </i>
    <i r="1">
      <x v="48"/>
    </i>
    <i r="1">
      <x v="49"/>
    </i>
    <i>
      <x v="3"/>
    </i>
    <i r="1">
      <x/>
    </i>
    <i r="1">
      <x v="1"/>
    </i>
    <i r="1">
      <x v="3"/>
    </i>
    <i r="1">
      <x v="5"/>
    </i>
    <i r="1">
      <x v="7"/>
    </i>
    <i r="1">
      <x v="9"/>
    </i>
    <i r="1">
      <x v="10"/>
    </i>
    <i r="1">
      <x v="12"/>
    </i>
    <i r="1">
      <x v="14"/>
    </i>
    <i r="1">
      <x v="17"/>
    </i>
    <i r="1">
      <x v="19"/>
    </i>
    <i r="1">
      <x v="22"/>
    </i>
    <i r="1">
      <x v="25"/>
    </i>
    <i r="1">
      <x v="28"/>
    </i>
    <i r="1">
      <x v="29"/>
    </i>
    <i r="1">
      <x v="32"/>
    </i>
    <i r="1">
      <x v="33"/>
    </i>
    <i r="1">
      <x v="35"/>
    </i>
    <i r="1">
      <x v="36"/>
    </i>
    <i r="1">
      <x v="38"/>
    </i>
    <i r="1">
      <x v="39"/>
    </i>
    <i r="1">
      <x v="40"/>
    </i>
    <i r="1">
      <x v="43"/>
    </i>
    <i r="1">
      <x v="45"/>
    </i>
    <i r="1">
      <x v="47"/>
    </i>
    <i r="1">
      <x v="48"/>
    </i>
    <i r="1">
      <x v="49"/>
    </i>
    <i r="1">
      <x v="50"/>
    </i>
    <i>
      <x v="4"/>
    </i>
    <i r="1">
      <x v="51"/>
    </i>
    <i t="grand">
      <x/>
    </i>
  </rowItems>
  <colFields count="1">
    <field x="14"/>
  </colFields>
  <colItems count="1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 t="grand">
      <x/>
    </i>
  </colItems>
  <dataFields count="1">
    <dataField name="计数项:通道" fld="14" subtotal="count" baseField="0" baseItem="0"/>
  </dataFields>
  <pivotTableStyleInfo name="PivotStyleLight16" showRowHeaders="1" showColHeader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1"/>
  <dimension ref="A1:H49"/>
  <sheetViews>
    <sheetView topLeftCell="A19" workbookViewId="0">
      <selection activeCell="L9" sqref="L9"/>
    </sheetView>
  </sheetViews>
  <sheetFormatPr defaultColWidth="9" defaultRowHeight="14.25" outlineLevelCol="7"/>
  <cols>
    <col min="1" max="1" width="12.375" style="258" customWidth="1"/>
    <col min="2" max="2" width="10.5" style="258" customWidth="1"/>
    <col min="3" max="3" width="14" style="258" customWidth="1"/>
    <col min="4" max="4" width="14.75" style="258" customWidth="1"/>
    <col min="5" max="5" width="4.375" style="258" customWidth="1"/>
    <col min="6" max="6" width="11" style="258" customWidth="1"/>
    <col min="7" max="7" width="1.375" style="258" customWidth="1"/>
    <col min="8" max="9" width="12.75" style="258" customWidth="1"/>
    <col min="10" max="16384" width="9" style="258"/>
  </cols>
  <sheetData>
    <row r="1" ht="18.75" customHeight="1" spans="1:8">
      <c r="A1" s="290" t="s">
        <v>0</v>
      </c>
      <c r="B1" s="291"/>
      <c r="C1" s="291"/>
      <c r="D1" s="291"/>
      <c r="E1" s="291"/>
      <c r="F1" s="291"/>
      <c r="G1" s="291"/>
      <c r="H1" s="291"/>
    </row>
    <row r="2" ht="81.75" customHeight="1" spans="1:8">
      <c r="A2" s="292"/>
      <c r="B2" s="292"/>
      <c r="C2" s="292"/>
      <c r="D2" s="292"/>
      <c r="E2" s="292"/>
      <c r="F2" s="292"/>
      <c r="G2" s="292"/>
      <c r="H2" s="292"/>
    </row>
    <row r="3" ht="24.95" customHeight="1" spans="1:8">
      <c r="A3" s="293" t="s">
        <v>1</v>
      </c>
      <c r="B3" s="294" t="s">
        <v>2</v>
      </c>
      <c r="C3" s="295"/>
      <c r="D3" s="295"/>
      <c r="E3" s="295"/>
      <c r="F3" s="296" t="s">
        <v>3</v>
      </c>
      <c r="G3" s="297"/>
      <c r="H3" s="298" t="s">
        <v>4</v>
      </c>
    </row>
    <row r="4" ht="24.95" customHeight="1" spans="1:8">
      <c r="A4" s="299" t="s">
        <v>5</v>
      </c>
      <c r="B4" s="300"/>
      <c r="C4" s="300"/>
      <c r="D4" s="300"/>
      <c r="E4" s="300"/>
      <c r="F4" s="301" t="s">
        <v>6</v>
      </c>
      <c r="G4" s="302"/>
      <c r="H4" s="303"/>
    </row>
    <row r="5" ht="45" customHeight="1" spans="1:8">
      <c r="A5" s="304" t="s">
        <v>7</v>
      </c>
      <c r="B5" s="295" t="s">
        <v>8</v>
      </c>
      <c r="C5" s="295"/>
      <c r="D5" s="295"/>
      <c r="E5" s="295"/>
      <c r="F5" s="305"/>
      <c r="G5" s="305"/>
      <c r="H5" s="306"/>
    </row>
    <row r="6" ht="24.95" customHeight="1" spans="1:8">
      <c r="A6" s="296" t="s">
        <v>9</v>
      </c>
      <c r="B6" s="307"/>
      <c r="C6" s="307"/>
      <c r="D6" s="307"/>
      <c r="E6" s="307"/>
      <c r="F6" s="308" t="s">
        <v>10</v>
      </c>
      <c r="G6" s="307"/>
      <c r="H6" s="307"/>
    </row>
    <row r="7" ht="24.95" customHeight="1" spans="1:8">
      <c r="A7" s="301" t="s">
        <v>11</v>
      </c>
      <c r="B7" s="307"/>
      <c r="C7" s="307"/>
      <c r="D7" s="307"/>
      <c r="E7" s="307"/>
      <c r="F7" s="308"/>
      <c r="G7" s="307"/>
      <c r="H7" s="307"/>
    </row>
    <row r="8" ht="21" customHeight="1" spans="1:8">
      <c r="A8" s="274" t="s">
        <v>12</v>
      </c>
      <c r="B8" s="288" t="s">
        <v>13</v>
      </c>
      <c r="C8" s="309"/>
      <c r="D8" s="309"/>
      <c r="E8" s="309"/>
      <c r="F8" s="307"/>
      <c r="G8" s="307"/>
      <c r="H8" s="307"/>
    </row>
    <row r="9" ht="20.1" customHeight="1" spans="1:8">
      <c r="A9" s="277" t="s">
        <v>14</v>
      </c>
      <c r="B9" s="308"/>
      <c r="C9" s="307"/>
      <c r="D9" s="307"/>
      <c r="E9" s="307"/>
      <c r="F9" s="307"/>
      <c r="G9" s="307"/>
      <c r="H9" s="307"/>
    </row>
    <row r="10" ht="24.95" customHeight="1" spans="1:8">
      <c r="A10" s="274" t="s">
        <v>15</v>
      </c>
      <c r="B10" s="274" t="s">
        <v>16</v>
      </c>
      <c r="C10" s="274"/>
      <c r="D10" s="274"/>
      <c r="E10" s="274"/>
      <c r="F10" s="274"/>
      <c r="G10" s="274"/>
      <c r="H10" s="274"/>
    </row>
    <row r="11" ht="24.95" customHeight="1" spans="1:8">
      <c r="A11" s="277" t="s">
        <v>17</v>
      </c>
      <c r="B11" s="310" t="s">
        <v>18</v>
      </c>
      <c r="C11" s="310"/>
      <c r="D11" s="310"/>
      <c r="E11" s="310"/>
      <c r="F11" s="310"/>
      <c r="G11" s="310"/>
      <c r="H11" s="310"/>
    </row>
    <row r="12" ht="24.95" customHeight="1" spans="1:8">
      <c r="A12" s="296" t="s">
        <v>19</v>
      </c>
      <c r="B12" s="296" t="s">
        <v>20</v>
      </c>
      <c r="C12" s="296" t="s">
        <v>21</v>
      </c>
      <c r="D12" s="296" t="s">
        <v>22</v>
      </c>
      <c r="E12" s="311" t="s">
        <v>23</v>
      </c>
      <c r="F12" s="297"/>
      <c r="G12" s="311" t="s">
        <v>24</v>
      </c>
      <c r="H12" s="297"/>
    </row>
    <row r="13" ht="18" customHeight="1" spans="1:8">
      <c r="A13" s="312" t="s">
        <v>25</v>
      </c>
      <c r="B13" s="312" t="s">
        <v>26</v>
      </c>
      <c r="C13" s="312" t="s">
        <v>27</v>
      </c>
      <c r="D13" s="312" t="s">
        <v>28</v>
      </c>
      <c r="E13" s="312" t="s">
        <v>29</v>
      </c>
      <c r="F13" s="313"/>
      <c r="G13" s="312" t="s">
        <v>30</v>
      </c>
      <c r="H13" s="313"/>
    </row>
    <row r="14" ht="24" customHeight="1" spans="1:8">
      <c r="A14" s="307" t="s">
        <v>31</v>
      </c>
      <c r="B14" s="307" t="s">
        <v>32</v>
      </c>
      <c r="C14" s="314"/>
      <c r="D14" s="314"/>
      <c r="E14" s="314"/>
      <c r="F14" s="307"/>
      <c r="G14" s="314"/>
      <c r="H14" s="307"/>
    </row>
    <row r="15" ht="24" customHeight="1" spans="1:8">
      <c r="A15" s="307"/>
      <c r="B15" s="307"/>
      <c r="C15" s="314"/>
      <c r="D15" s="314"/>
      <c r="E15" s="314"/>
      <c r="F15" s="307"/>
      <c r="G15" s="314"/>
      <c r="H15" s="307"/>
    </row>
    <row r="16" ht="24" customHeight="1" spans="1:8">
      <c r="A16" s="307"/>
      <c r="B16" s="307"/>
      <c r="C16" s="314"/>
      <c r="D16" s="314"/>
      <c r="E16" s="314"/>
      <c r="F16" s="307"/>
      <c r="G16" s="314"/>
      <c r="H16" s="307"/>
    </row>
    <row r="17" ht="24" customHeight="1" spans="1:8">
      <c r="A17" s="307"/>
      <c r="B17" s="307"/>
      <c r="C17" s="307"/>
      <c r="D17" s="307"/>
      <c r="E17" s="307"/>
      <c r="F17" s="307"/>
      <c r="G17" s="307"/>
      <c r="H17" s="307"/>
    </row>
    <row r="18" ht="24" customHeight="1" spans="1:8">
      <c r="A18" s="307"/>
      <c r="B18" s="307"/>
      <c r="C18" s="315"/>
      <c r="D18" s="315"/>
      <c r="E18" s="315"/>
      <c r="F18" s="315"/>
      <c r="G18" s="315"/>
      <c r="H18" s="315"/>
    </row>
    <row r="19" ht="18" customHeight="1" spans="1:8">
      <c r="A19" s="307" t="s">
        <v>33</v>
      </c>
      <c r="B19" s="307"/>
      <c r="C19" s="274" t="s">
        <v>34</v>
      </c>
      <c r="D19" s="274"/>
      <c r="E19" s="274" t="s">
        <v>35</v>
      </c>
      <c r="F19" s="274"/>
      <c r="G19" s="274" t="s">
        <v>36</v>
      </c>
      <c r="H19" s="274"/>
    </row>
    <row r="20" ht="18" customHeight="1" spans="1:8">
      <c r="A20" s="307"/>
      <c r="B20" s="307"/>
      <c r="C20" s="277" t="s">
        <v>37</v>
      </c>
      <c r="D20" s="277"/>
      <c r="E20" s="277" t="s">
        <v>38</v>
      </c>
      <c r="F20" s="277"/>
      <c r="G20" s="277" t="s">
        <v>39</v>
      </c>
      <c r="H20" s="277"/>
    </row>
    <row r="21" ht="24" customHeight="1" spans="1:8">
      <c r="A21" s="307"/>
      <c r="B21" s="307"/>
      <c r="C21" s="316" t="s">
        <v>40</v>
      </c>
      <c r="D21" s="316"/>
      <c r="E21" s="307"/>
      <c r="F21" s="307"/>
      <c r="G21" s="307"/>
      <c r="H21" s="307"/>
    </row>
    <row r="22" ht="24" customHeight="1" spans="1:8">
      <c r="A22" s="307"/>
      <c r="B22" s="307"/>
      <c r="C22" s="316" t="s">
        <v>41</v>
      </c>
      <c r="D22" s="316"/>
      <c r="E22" s="307"/>
      <c r="F22" s="307"/>
      <c r="G22" s="307"/>
      <c r="H22" s="307"/>
    </row>
    <row r="23" ht="24" customHeight="1" spans="1:8">
      <c r="A23" s="307"/>
      <c r="B23" s="307"/>
      <c r="C23" s="316" t="s">
        <v>42</v>
      </c>
      <c r="D23" s="316"/>
      <c r="E23" s="307"/>
      <c r="F23" s="307"/>
      <c r="G23" s="307"/>
      <c r="H23" s="307"/>
    </row>
    <row r="24" ht="24" customHeight="1" spans="1:8">
      <c r="A24" s="307"/>
      <c r="B24" s="307"/>
      <c r="C24" s="316" t="s">
        <v>43</v>
      </c>
      <c r="D24" s="316"/>
      <c r="E24" s="307"/>
      <c r="F24" s="307"/>
      <c r="G24" s="307"/>
      <c r="H24" s="307"/>
    </row>
    <row r="25" ht="24" customHeight="1" spans="1:8">
      <c r="A25" s="307"/>
      <c r="B25" s="307"/>
      <c r="C25" s="316" t="s">
        <v>44</v>
      </c>
      <c r="D25" s="316"/>
      <c r="E25" s="307"/>
      <c r="F25" s="307"/>
      <c r="G25" s="307"/>
      <c r="H25" s="307"/>
    </row>
    <row r="26" ht="24" customHeight="1" spans="1:8">
      <c r="A26" s="307"/>
      <c r="B26" s="307"/>
      <c r="C26" s="316" t="s">
        <v>45</v>
      </c>
      <c r="D26" s="316"/>
      <c r="E26" s="307"/>
      <c r="F26" s="307"/>
      <c r="G26" s="307"/>
      <c r="H26" s="307"/>
    </row>
    <row r="27" ht="24" customHeight="1" spans="1:8">
      <c r="A27" s="307"/>
      <c r="B27" s="307"/>
      <c r="C27" s="316" t="s">
        <v>46</v>
      </c>
      <c r="D27" s="316"/>
      <c r="E27" s="307"/>
      <c r="F27" s="307"/>
      <c r="G27" s="307"/>
      <c r="H27" s="307"/>
    </row>
    <row r="28" ht="24" customHeight="1" spans="1:8">
      <c r="A28" s="307"/>
      <c r="B28" s="307"/>
      <c r="C28" s="316" t="s">
        <v>47</v>
      </c>
      <c r="D28" s="316"/>
      <c r="E28" s="307"/>
      <c r="F28" s="307"/>
      <c r="G28" s="307"/>
      <c r="H28" s="307"/>
    </row>
    <row r="29" ht="24" customHeight="1" spans="1:8">
      <c r="A29" s="307"/>
      <c r="B29" s="307"/>
      <c r="C29" s="316" t="s">
        <v>48</v>
      </c>
      <c r="D29" s="316"/>
      <c r="E29" s="307"/>
      <c r="F29" s="307"/>
      <c r="G29" s="307"/>
      <c r="H29" s="307"/>
    </row>
    <row r="30" ht="24" customHeight="1" spans="1:8">
      <c r="A30" s="307"/>
      <c r="B30" s="307"/>
      <c r="C30" s="316" t="s">
        <v>49</v>
      </c>
      <c r="D30" s="316"/>
      <c r="E30" s="307"/>
      <c r="F30" s="307"/>
      <c r="G30" s="307"/>
      <c r="H30" s="307"/>
    </row>
    <row r="31" ht="24" customHeight="1" spans="1:8">
      <c r="A31" s="307"/>
      <c r="B31" s="307"/>
      <c r="C31" s="316" t="s">
        <v>50</v>
      </c>
      <c r="D31" s="316"/>
      <c r="E31" s="307"/>
      <c r="F31" s="307"/>
      <c r="G31" s="307"/>
      <c r="H31" s="307"/>
    </row>
    <row r="32" ht="24" customHeight="1" spans="1:8">
      <c r="A32" s="307"/>
      <c r="B32" s="307"/>
      <c r="C32" s="316" t="s">
        <v>51</v>
      </c>
      <c r="D32" s="316"/>
      <c r="E32" s="307"/>
      <c r="F32" s="307"/>
      <c r="G32" s="307"/>
      <c r="H32" s="307"/>
    </row>
    <row r="33" ht="24" customHeight="1" spans="1:8">
      <c r="A33" s="307"/>
      <c r="B33" s="307"/>
      <c r="C33" s="317" t="s">
        <v>52</v>
      </c>
      <c r="D33" s="316"/>
      <c r="E33" s="307"/>
      <c r="F33" s="307"/>
      <c r="G33" s="307"/>
      <c r="H33" s="307"/>
    </row>
    <row r="34" ht="24" customHeight="1" spans="1:8">
      <c r="A34" s="307"/>
      <c r="B34" s="307"/>
      <c r="C34" s="318" t="s">
        <v>53</v>
      </c>
      <c r="D34" s="319"/>
      <c r="E34" s="320"/>
      <c r="F34" s="308"/>
      <c r="G34" s="320"/>
      <c r="H34" s="308"/>
    </row>
    <row r="35" ht="24" customHeight="1" spans="1:8">
      <c r="A35" s="321" t="s">
        <v>54</v>
      </c>
      <c r="B35" s="321"/>
      <c r="C35" s="321"/>
      <c r="D35" s="321"/>
      <c r="E35" s="321"/>
      <c r="F35" s="321"/>
      <c r="G35" s="321"/>
      <c r="H35" s="321"/>
    </row>
    <row r="36" ht="20.1" customHeight="1"/>
    <row r="37" ht="20.1" customHeight="1"/>
    <row r="38" ht="20.25" customHeight="1"/>
    <row r="39" ht="20.25" customHeight="1"/>
    <row r="40" ht="20.25" customHeight="1"/>
    <row r="41" ht="20.25" customHeight="1"/>
    <row r="42" ht="20.25" customHeight="1"/>
    <row r="43" ht="20.25" customHeight="1"/>
    <row r="44" ht="25.5" customHeight="1"/>
    <row r="45" ht="27.75" customHeight="1"/>
    <row r="46" ht="15.75" customHeight="1"/>
    <row r="47" ht="15.75" customHeight="1"/>
    <row r="48" ht="15.75" customHeight="1"/>
    <row r="49" ht="15.75" customHeight="1"/>
  </sheetData>
  <mergeCells count="76">
    <mergeCell ref="F3:G3"/>
    <mergeCell ref="F4:G4"/>
    <mergeCell ref="B5:H5"/>
    <mergeCell ref="B10:H10"/>
    <mergeCell ref="B11:H11"/>
    <mergeCell ref="E12:F12"/>
    <mergeCell ref="G12:H12"/>
    <mergeCell ref="E13:F13"/>
    <mergeCell ref="G13:H13"/>
    <mergeCell ref="E14:F14"/>
    <mergeCell ref="G14:H14"/>
    <mergeCell ref="E15:F15"/>
    <mergeCell ref="G15:H15"/>
    <mergeCell ref="E16:F16"/>
    <mergeCell ref="G16:H16"/>
    <mergeCell ref="E17:F17"/>
    <mergeCell ref="G17:H17"/>
    <mergeCell ref="E18:F18"/>
    <mergeCell ref="G18:H18"/>
    <mergeCell ref="C19:D19"/>
    <mergeCell ref="E19:F19"/>
    <mergeCell ref="G19:H19"/>
    <mergeCell ref="C20:D20"/>
    <mergeCell ref="E20:F20"/>
    <mergeCell ref="G20:H20"/>
    <mergeCell ref="C21:D21"/>
    <mergeCell ref="E21:F21"/>
    <mergeCell ref="G21:H21"/>
    <mergeCell ref="C22:D22"/>
    <mergeCell ref="E22:F22"/>
    <mergeCell ref="G22:H22"/>
    <mergeCell ref="C23:D23"/>
    <mergeCell ref="E23:F23"/>
    <mergeCell ref="G23:H23"/>
    <mergeCell ref="C24:D24"/>
    <mergeCell ref="E24:F24"/>
    <mergeCell ref="G24:H24"/>
    <mergeCell ref="C25:D25"/>
    <mergeCell ref="E25:F25"/>
    <mergeCell ref="G25:H25"/>
    <mergeCell ref="C26:D26"/>
    <mergeCell ref="E26:F26"/>
    <mergeCell ref="G26:H26"/>
    <mergeCell ref="C27:D27"/>
    <mergeCell ref="E27:F27"/>
    <mergeCell ref="G27:H27"/>
    <mergeCell ref="C28:D28"/>
    <mergeCell ref="E28:F28"/>
    <mergeCell ref="G28:H28"/>
    <mergeCell ref="C29:D29"/>
    <mergeCell ref="E29:F29"/>
    <mergeCell ref="G29:H29"/>
    <mergeCell ref="C30:D30"/>
    <mergeCell ref="E30:F30"/>
    <mergeCell ref="G30:H30"/>
    <mergeCell ref="C31:D31"/>
    <mergeCell ref="E31:F31"/>
    <mergeCell ref="G31:H31"/>
    <mergeCell ref="C32:D32"/>
    <mergeCell ref="E32:F32"/>
    <mergeCell ref="G32:H32"/>
    <mergeCell ref="C33:D33"/>
    <mergeCell ref="E33:F33"/>
    <mergeCell ref="G33:H33"/>
    <mergeCell ref="C34:D34"/>
    <mergeCell ref="E34:F34"/>
    <mergeCell ref="G34:H34"/>
    <mergeCell ref="A35:H35"/>
    <mergeCell ref="H3:H4"/>
    <mergeCell ref="H6:H9"/>
    <mergeCell ref="A19:B34"/>
    <mergeCell ref="A1:H2"/>
    <mergeCell ref="B3:E4"/>
    <mergeCell ref="B6:E7"/>
    <mergeCell ref="F6:G9"/>
    <mergeCell ref="B8:E9"/>
  </mergeCells>
  <printOptions horizontalCentered="1"/>
  <pageMargins left="0.984027777777778" right="0.786805555555556" top="0.81875" bottom="0.747916666666667" header="0.393055555555556" footer="0.236111111111111"/>
  <pageSetup paperSize="9" scale="81" fitToHeight="0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2"/>
  <dimension ref="A1:H45"/>
  <sheetViews>
    <sheetView view="pageLayout" zoomScaleNormal="100" workbookViewId="0">
      <selection activeCell="F16" sqref="F16"/>
    </sheetView>
  </sheetViews>
  <sheetFormatPr defaultColWidth="9" defaultRowHeight="14.25" outlineLevelCol="7"/>
  <cols>
    <col min="1" max="1" width="12.625" style="271" customWidth="1"/>
    <col min="2" max="2" width="7.25" style="271" customWidth="1"/>
    <col min="3" max="3" width="14.625" style="271" customWidth="1"/>
    <col min="4" max="4" width="15.25" style="271" customWidth="1"/>
    <col min="5" max="5" width="4.625" style="271" customWidth="1"/>
    <col min="6" max="6" width="10.625" style="271" customWidth="1"/>
    <col min="7" max="7" width="2.625" style="271" customWidth="1"/>
    <col min="8" max="8" width="12.625" style="271" customWidth="1"/>
    <col min="9" max="16384" width="9" style="271"/>
  </cols>
  <sheetData>
    <row r="1" ht="18" customHeight="1" spans="1:8">
      <c r="A1" s="272" t="s">
        <v>55</v>
      </c>
      <c r="B1" s="273"/>
      <c r="C1" s="274" t="s">
        <v>56</v>
      </c>
      <c r="D1" s="274"/>
      <c r="E1" s="274" t="s">
        <v>57</v>
      </c>
      <c r="F1" s="274"/>
      <c r="G1" s="274" t="s">
        <v>58</v>
      </c>
      <c r="H1" s="274"/>
    </row>
    <row r="2" ht="18" customHeight="1" spans="1:8">
      <c r="A2" s="275"/>
      <c r="B2" s="276"/>
      <c r="C2" s="277" t="s">
        <v>59</v>
      </c>
      <c r="D2" s="277"/>
      <c r="E2" s="277" t="s">
        <v>38</v>
      </c>
      <c r="F2" s="277"/>
      <c r="G2" s="277" t="s">
        <v>39</v>
      </c>
      <c r="H2" s="277"/>
    </row>
    <row r="3" ht="39.75" customHeight="1" spans="1:8">
      <c r="A3" s="275"/>
      <c r="B3" s="276"/>
      <c r="C3" s="278" t="s">
        <v>60</v>
      </c>
      <c r="D3" s="278"/>
      <c r="E3" s="279"/>
      <c r="F3" s="280"/>
      <c r="G3" s="279"/>
      <c r="H3" s="280"/>
    </row>
    <row r="4" ht="39.75" customHeight="1" spans="1:8">
      <c r="A4" s="275"/>
      <c r="B4" s="259"/>
      <c r="C4" s="281" t="s">
        <v>61</v>
      </c>
      <c r="D4" s="281"/>
      <c r="E4" s="282"/>
      <c r="F4" s="283"/>
      <c r="G4" s="279"/>
      <c r="H4" s="280"/>
    </row>
    <row r="5" ht="24" customHeight="1" spans="1:8">
      <c r="A5" s="275"/>
      <c r="B5" s="276"/>
      <c r="C5" s="284" t="s">
        <v>62</v>
      </c>
      <c r="D5" s="284"/>
      <c r="E5" s="279"/>
      <c r="F5" s="280"/>
      <c r="G5" s="279"/>
      <c r="H5" s="280"/>
    </row>
    <row r="6" ht="24" customHeight="1" spans="1:8">
      <c r="A6" s="275"/>
      <c r="B6" s="276"/>
      <c r="C6" s="281" t="s">
        <v>63</v>
      </c>
      <c r="D6" s="281"/>
      <c r="E6" s="279"/>
      <c r="F6" s="280"/>
      <c r="G6" s="279"/>
      <c r="H6" s="280"/>
    </row>
    <row r="7" ht="24" customHeight="1" spans="1:8">
      <c r="A7" s="275"/>
      <c r="B7" s="276"/>
      <c r="C7" s="281" t="s">
        <v>64</v>
      </c>
      <c r="D7" s="281"/>
      <c r="E7" s="279"/>
      <c r="F7" s="280"/>
      <c r="G7" s="279"/>
      <c r="H7" s="280"/>
    </row>
    <row r="8" ht="24" customHeight="1" spans="1:8">
      <c r="A8" s="275"/>
      <c r="B8" s="276"/>
      <c r="C8" s="281" t="s">
        <v>65</v>
      </c>
      <c r="D8" s="281"/>
      <c r="E8" s="279"/>
      <c r="F8" s="280"/>
      <c r="G8" s="279"/>
      <c r="H8" s="280"/>
    </row>
    <row r="9" ht="24" customHeight="1" spans="1:8">
      <c r="A9" s="275"/>
      <c r="B9" s="276"/>
      <c r="C9" s="285" t="s">
        <v>66</v>
      </c>
      <c r="D9" s="286"/>
      <c r="E9" s="279"/>
      <c r="F9" s="280"/>
      <c r="G9" s="279"/>
      <c r="H9" s="280"/>
    </row>
    <row r="10" ht="24" customHeight="1" spans="1:8">
      <c r="A10" s="275"/>
      <c r="B10" s="276"/>
      <c r="C10" s="281" t="s">
        <v>67</v>
      </c>
      <c r="D10" s="281"/>
      <c r="E10" s="279"/>
      <c r="F10" s="280"/>
      <c r="G10" s="279"/>
      <c r="H10" s="280"/>
    </row>
    <row r="11" ht="24" customHeight="1" spans="1:8">
      <c r="A11" s="287"/>
      <c r="B11" s="288"/>
      <c r="C11" s="281" t="s">
        <v>68</v>
      </c>
      <c r="D11" s="281"/>
      <c r="E11" s="279"/>
      <c r="F11" s="280"/>
      <c r="G11" s="279"/>
      <c r="H11" s="280"/>
    </row>
    <row r="12" ht="24" customHeight="1" spans="1:8">
      <c r="A12" s="289" t="s">
        <v>69</v>
      </c>
      <c r="B12" s="289"/>
      <c r="C12" s="289"/>
      <c r="D12" s="289"/>
      <c r="E12" s="289"/>
      <c r="F12" s="289"/>
      <c r="G12" s="289"/>
      <c r="H12" s="289"/>
    </row>
    <row r="13" spans="1:8">
      <c r="A13" s="258"/>
      <c r="B13" s="258"/>
      <c r="C13" s="258"/>
      <c r="D13" s="258"/>
      <c r="E13" s="258"/>
      <c r="F13" s="258"/>
      <c r="G13" s="258"/>
      <c r="H13" s="258"/>
    </row>
    <row r="14" customHeight="1" spans="1:8">
      <c r="A14" s="258"/>
      <c r="B14" s="258"/>
      <c r="C14" s="258"/>
      <c r="D14" s="258"/>
      <c r="E14" s="258"/>
      <c r="F14" s="258"/>
      <c r="G14" s="258"/>
      <c r="H14" s="258"/>
    </row>
    <row r="15" spans="1:8">
      <c r="A15" s="258"/>
      <c r="B15" s="258"/>
      <c r="C15" s="258"/>
      <c r="D15" s="258"/>
      <c r="E15" s="258"/>
      <c r="F15" s="258"/>
      <c r="G15" s="258"/>
      <c r="H15" s="258"/>
    </row>
    <row r="16" spans="1:8">
      <c r="A16" s="258"/>
      <c r="B16" s="258"/>
      <c r="C16" s="258"/>
      <c r="D16" s="258"/>
      <c r="E16" s="258"/>
      <c r="F16" s="258"/>
      <c r="G16" s="258"/>
      <c r="H16" s="258"/>
    </row>
    <row r="17" spans="1:8">
      <c r="A17" s="258"/>
      <c r="B17" s="258"/>
      <c r="C17" s="258"/>
      <c r="D17" s="258"/>
      <c r="E17" s="258"/>
      <c r="F17" s="258"/>
      <c r="G17" s="258"/>
      <c r="H17" s="258"/>
    </row>
    <row r="18" spans="1:8">
      <c r="A18" s="258"/>
      <c r="B18" s="258"/>
      <c r="C18" s="258"/>
      <c r="D18" s="258"/>
      <c r="E18" s="258"/>
      <c r="F18" s="258"/>
      <c r="G18" s="258"/>
      <c r="H18" s="258"/>
    </row>
    <row r="19" spans="1:8">
      <c r="A19" s="258"/>
      <c r="B19" s="258"/>
      <c r="C19" s="258"/>
      <c r="D19" s="258"/>
      <c r="E19" s="258"/>
      <c r="F19" s="258"/>
      <c r="G19" s="258"/>
      <c r="H19" s="258"/>
    </row>
    <row r="20" spans="1:8">
      <c r="A20" s="258"/>
      <c r="B20" s="258"/>
      <c r="C20" s="258"/>
      <c r="D20" s="258"/>
      <c r="E20" s="258"/>
      <c r="F20" s="258"/>
      <c r="G20" s="258"/>
      <c r="H20" s="258"/>
    </row>
    <row r="21" spans="1:8">
      <c r="A21" s="258"/>
      <c r="B21" s="258"/>
      <c r="C21" s="258"/>
      <c r="D21" s="258"/>
      <c r="E21" s="258"/>
      <c r="F21" s="258"/>
      <c r="G21" s="258"/>
      <c r="H21" s="258"/>
    </row>
    <row r="22" spans="1:8">
      <c r="A22" s="258"/>
      <c r="B22" s="258"/>
      <c r="C22" s="258"/>
      <c r="D22" s="258"/>
      <c r="E22" s="258"/>
      <c r="F22" s="258"/>
      <c r="G22" s="258"/>
      <c r="H22" s="258"/>
    </row>
    <row r="23" spans="1:8">
      <c r="A23" s="258"/>
      <c r="B23" s="258"/>
      <c r="C23" s="258"/>
      <c r="D23" s="258"/>
      <c r="E23" s="258"/>
      <c r="F23" s="258"/>
      <c r="G23" s="258"/>
      <c r="H23" s="258"/>
    </row>
    <row r="24" spans="1:8">
      <c r="A24" s="258"/>
      <c r="B24" s="258"/>
      <c r="C24" s="258"/>
      <c r="D24" s="258"/>
      <c r="E24" s="258"/>
      <c r="F24" s="258"/>
      <c r="G24" s="258"/>
      <c r="H24" s="258"/>
    </row>
    <row r="25" spans="1:8">
      <c r="A25" s="258"/>
      <c r="B25" s="258"/>
      <c r="C25" s="258"/>
      <c r="D25" s="258"/>
      <c r="E25" s="258"/>
      <c r="F25" s="258"/>
      <c r="G25" s="258"/>
      <c r="H25" s="258"/>
    </row>
    <row r="26" spans="1:8">
      <c r="A26" s="258"/>
      <c r="B26" s="258"/>
      <c r="C26" s="258"/>
      <c r="D26" s="258"/>
      <c r="E26" s="258"/>
      <c r="F26" s="258"/>
      <c r="G26" s="258"/>
      <c r="H26" s="258"/>
    </row>
    <row r="27" spans="1:8">
      <c r="A27" s="258"/>
      <c r="B27" s="258"/>
      <c r="C27" s="258"/>
      <c r="D27" s="258"/>
      <c r="E27" s="258"/>
      <c r="F27" s="258"/>
      <c r="G27" s="258"/>
      <c r="H27" s="258"/>
    </row>
    <row r="28" spans="1:8">
      <c r="A28" s="258"/>
      <c r="B28" s="258"/>
      <c r="C28" s="258"/>
      <c r="D28" s="258"/>
      <c r="E28" s="258"/>
      <c r="F28" s="258"/>
      <c r="G28" s="258"/>
      <c r="H28" s="258"/>
    </row>
    <row r="29" spans="1:8">
      <c r="A29" s="258"/>
      <c r="B29" s="258"/>
      <c r="C29" s="258"/>
      <c r="D29" s="258"/>
      <c r="E29" s="258"/>
      <c r="F29" s="258"/>
      <c r="G29" s="258"/>
      <c r="H29" s="258"/>
    </row>
    <row r="30" spans="1:8">
      <c r="A30" s="258"/>
      <c r="B30" s="258"/>
      <c r="C30" s="258"/>
      <c r="D30" s="258"/>
      <c r="E30" s="258"/>
      <c r="F30" s="258"/>
      <c r="G30" s="258"/>
      <c r="H30" s="258"/>
    </row>
    <row r="31" spans="1:8">
      <c r="A31" s="258"/>
      <c r="B31" s="258"/>
      <c r="C31" s="258"/>
      <c r="D31" s="258"/>
      <c r="E31" s="258"/>
      <c r="F31" s="258"/>
      <c r="G31" s="258"/>
      <c r="H31" s="258"/>
    </row>
    <row r="32" spans="1:8">
      <c r="A32" s="258"/>
      <c r="B32" s="258"/>
      <c r="C32" s="258"/>
      <c r="D32" s="258"/>
      <c r="E32" s="258"/>
      <c r="F32" s="258"/>
      <c r="G32" s="258"/>
      <c r="H32" s="258"/>
    </row>
    <row r="33" spans="1:8">
      <c r="A33" s="258"/>
      <c r="B33" s="258"/>
      <c r="C33" s="258"/>
      <c r="D33" s="258"/>
      <c r="E33" s="258"/>
      <c r="F33" s="258"/>
      <c r="G33" s="258"/>
      <c r="H33" s="258"/>
    </row>
    <row r="34" spans="1:8">
      <c r="A34" s="258"/>
      <c r="B34" s="258"/>
      <c r="C34" s="258"/>
      <c r="D34" s="258"/>
      <c r="E34" s="258"/>
      <c r="F34" s="258"/>
      <c r="G34" s="258"/>
      <c r="H34" s="258"/>
    </row>
    <row r="35" spans="1:8">
      <c r="A35" s="258"/>
      <c r="B35" s="258"/>
      <c r="C35" s="258"/>
      <c r="D35" s="258"/>
      <c r="E35" s="258"/>
      <c r="F35" s="258"/>
      <c r="G35" s="258"/>
      <c r="H35" s="258"/>
    </row>
    <row r="36" spans="1:8">
      <c r="A36" s="258"/>
      <c r="B36" s="258"/>
      <c r="C36" s="258"/>
      <c r="D36" s="258"/>
      <c r="E36" s="258"/>
      <c r="F36" s="258"/>
      <c r="G36" s="258"/>
      <c r="H36" s="258"/>
    </row>
    <row r="37" spans="1:8">
      <c r="A37" s="258"/>
      <c r="B37" s="258"/>
      <c r="C37" s="258"/>
      <c r="D37" s="258"/>
      <c r="E37" s="258"/>
      <c r="F37" s="258"/>
      <c r="G37" s="258"/>
      <c r="H37" s="258"/>
    </row>
    <row r="38" spans="1:8">
      <c r="A38" s="258"/>
      <c r="B38" s="258"/>
      <c r="C38" s="258"/>
      <c r="D38" s="258"/>
      <c r="E38" s="258"/>
      <c r="F38" s="258"/>
      <c r="G38" s="258"/>
      <c r="H38" s="258"/>
    </row>
    <row r="39" spans="1:8">
      <c r="A39" s="258"/>
      <c r="B39" s="258"/>
      <c r="C39" s="258"/>
      <c r="D39" s="258"/>
      <c r="E39" s="258"/>
      <c r="F39" s="258"/>
      <c r="G39" s="258"/>
      <c r="H39" s="258"/>
    </row>
    <row r="40" spans="1:8">
      <c r="A40" s="258"/>
      <c r="B40" s="258"/>
      <c r="C40" s="258"/>
      <c r="D40" s="258"/>
      <c r="E40" s="258"/>
      <c r="F40" s="258"/>
      <c r="G40" s="258"/>
      <c r="H40" s="258"/>
    </row>
    <row r="41" spans="1:8">
      <c r="A41" s="258"/>
      <c r="B41" s="258"/>
      <c r="C41" s="258"/>
      <c r="D41" s="258"/>
      <c r="E41" s="258"/>
      <c r="F41" s="258"/>
      <c r="G41" s="258"/>
      <c r="H41" s="258"/>
    </row>
    <row r="42" spans="1:8">
      <c r="A42" s="258"/>
      <c r="B42" s="258"/>
      <c r="C42" s="258"/>
      <c r="D42" s="258"/>
      <c r="E42" s="258"/>
      <c r="F42" s="258"/>
      <c r="G42" s="258"/>
      <c r="H42" s="258"/>
    </row>
    <row r="43" spans="1:8">
      <c r="A43" s="258"/>
      <c r="B43" s="258"/>
      <c r="C43" s="258"/>
      <c r="D43" s="258"/>
      <c r="E43" s="258"/>
      <c r="F43" s="258"/>
      <c r="G43" s="258"/>
      <c r="H43" s="258"/>
    </row>
    <row r="44" spans="1:8">
      <c r="A44" s="258"/>
      <c r="B44" s="258"/>
      <c r="C44" s="258"/>
      <c r="D44" s="258"/>
      <c r="E44" s="258"/>
      <c r="F44" s="258"/>
      <c r="G44" s="258"/>
      <c r="H44" s="258"/>
    </row>
    <row r="45" spans="1:8">
      <c r="A45" s="258"/>
      <c r="B45" s="258"/>
      <c r="C45" s="258"/>
      <c r="D45" s="258"/>
      <c r="E45" s="258"/>
      <c r="F45" s="258"/>
      <c r="G45" s="258"/>
      <c r="H45" s="258"/>
    </row>
  </sheetData>
  <mergeCells count="33">
    <mergeCell ref="C1:D1"/>
    <mergeCell ref="E1:F1"/>
    <mergeCell ref="G1:H1"/>
    <mergeCell ref="C2:D2"/>
    <mergeCell ref="E2:F2"/>
    <mergeCell ref="G2:H2"/>
    <mergeCell ref="C3:D3"/>
    <mergeCell ref="E3:F3"/>
    <mergeCell ref="G3:H3"/>
    <mergeCell ref="C4:D4"/>
    <mergeCell ref="E4:F4"/>
    <mergeCell ref="G4:H4"/>
    <mergeCell ref="C5:D5"/>
    <mergeCell ref="E5:F5"/>
    <mergeCell ref="G5:H5"/>
    <mergeCell ref="C6:D6"/>
    <mergeCell ref="E6:F6"/>
    <mergeCell ref="G6:H6"/>
    <mergeCell ref="C7:D7"/>
    <mergeCell ref="E7:F7"/>
    <mergeCell ref="G7:H7"/>
    <mergeCell ref="C8:D8"/>
    <mergeCell ref="E8:F8"/>
    <mergeCell ref="G8:H8"/>
    <mergeCell ref="C9:D9"/>
    <mergeCell ref="C10:D10"/>
    <mergeCell ref="E10:F10"/>
    <mergeCell ref="G10:H10"/>
    <mergeCell ref="C11:D11"/>
    <mergeCell ref="E11:F11"/>
    <mergeCell ref="G11:H11"/>
    <mergeCell ref="A12:H12"/>
    <mergeCell ref="A1:B11"/>
  </mergeCells>
  <printOptions horizontalCentered="1"/>
  <pageMargins left="0.984027777777778" right="0.786805555555556" top="0.81875" bottom="0.747916666666667" header="0.393055555555556" footer="0.236111111111111"/>
  <pageSetup paperSize="9" fitToHeight="0" orientation="portrait"/>
  <headerFooter>
    <oddHeader>&amp;LB113-1子项IO端接清单
A/CFC&amp;C
R2-DCS-D-SJ-113-X-LST-ES-005&amp;R
P&amp;P / P&amp;N</oddHeader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3"/>
  <dimension ref="A1:F37"/>
  <sheetViews>
    <sheetView view="pageLayout" zoomScaleNormal="100" workbookViewId="0">
      <selection activeCell="B14" sqref="B14"/>
    </sheetView>
  </sheetViews>
  <sheetFormatPr defaultColWidth="9" defaultRowHeight="14.25" outlineLevelCol="5"/>
  <cols>
    <col min="1" max="1" width="6.625" style="257" customWidth="1"/>
    <col min="2" max="2" width="6.25" style="258" customWidth="1"/>
    <col min="3" max="3" width="13.375" style="258" customWidth="1"/>
    <col min="4" max="4" width="11.5" style="258" customWidth="1"/>
    <col min="5" max="5" width="10.25" style="258" customWidth="1"/>
    <col min="6" max="6" width="35.625" style="258" customWidth="1"/>
    <col min="7" max="16384" width="9" style="258"/>
  </cols>
  <sheetData>
    <row r="1" s="256" customFormat="1" ht="58.5" customHeight="1" spans="1:6">
      <c r="A1" s="259" t="s">
        <v>70</v>
      </c>
      <c r="B1" s="259"/>
      <c r="C1" s="259"/>
      <c r="D1" s="259"/>
      <c r="E1" s="259"/>
      <c r="F1" s="259"/>
    </row>
    <row r="2" s="256" customFormat="1" ht="24.95" customHeight="1" spans="1:6">
      <c r="A2" s="260" t="s">
        <v>71</v>
      </c>
      <c r="B2" s="261" t="s">
        <v>72</v>
      </c>
      <c r="C2" s="261" t="s">
        <v>73</v>
      </c>
      <c r="D2" s="261" t="s">
        <v>74</v>
      </c>
      <c r="E2" s="262" t="s">
        <v>75</v>
      </c>
      <c r="F2" s="263" t="s">
        <v>76</v>
      </c>
    </row>
    <row r="3" s="256" customFormat="1" ht="24.95" customHeight="1" spans="1:6">
      <c r="A3" s="264" t="s">
        <v>77</v>
      </c>
      <c r="B3" s="264" t="s">
        <v>78</v>
      </c>
      <c r="C3" s="264" t="s">
        <v>79</v>
      </c>
      <c r="D3" s="264" t="s">
        <v>80</v>
      </c>
      <c r="E3" s="264" t="s">
        <v>81</v>
      </c>
      <c r="F3" s="265" t="s">
        <v>82</v>
      </c>
    </row>
    <row r="4" s="256" customFormat="1" ht="18" customHeight="1" spans="1:6">
      <c r="A4" s="266">
        <v>1</v>
      </c>
      <c r="B4" s="267" t="s">
        <v>31</v>
      </c>
      <c r="C4" s="268"/>
      <c r="D4" s="269" t="s">
        <v>83</v>
      </c>
      <c r="E4" s="269" t="s">
        <v>83</v>
      </c>
      <c r="F4" s="269" t="s">
        <v>84</v>
      </c>
    </row>
    <row r="5" s="256" customFormat="1" ht="18" customHeight="1" spans="1:6">
      <c r="A5" s="266"/>
      <c r="B5" s="267"/>
      <c r="C5" s="268"/>
      <c r="D5" s="269"/>
      <c r="E5" s="269"/>
      <c r="F5" s="270"/>
    </row>
    <row r="6" s="256" customFormat="1" ht="18" customHeight="1" spans="1:6">
      <c r="A6" s="266"/>
      <c r="B6" s="267"/>
      <c r="C6" s="268"/>
      <c r="D6" s="269"/>
      <c r="E6" s="269"/>
      <c r="F6" s="270"/>
    </row>
    <row r="7" s="256" customFormat="1" ht="18" customHeight="1" spans="1:6">
      <c r="A7" s="266"/>
      <c r="B7" s="267"/>
      <c r="C7" s="268"/>
      <c r="D7" s="269"/>
      <c r="E7" s="269"/>
      <c r="F7" s="270"/>
    </row>
    <row r="8" s="256" customFormat="1" ht="18" customHeight="1" spans="1:6">
      <c r="A8" s="266"/>
      <c r="B8" s="267"/>
      <c r="C8" s="268"/>
      <c r="D8" s="269"/>
      <c r="E8" s="269"/>
      <c r="F8" s="270"/>
    </row>
    <row r="9" s="256" customFormat="1" ht="18" customHeight="1" spans="1:6">
      <c r="A9" s="266"/>
      <c r="B9" s="267"/>
      <c r="C9" s="268"/>
      <c r="D9" s="269"/>
      <c r="E9" s="269"/>
      <c r="F9" s="270"/>
    </row>
    <row r="10" s="256" customFormat="1" ht="18" customHeight="1" spans="1:6">
      <c r="A10" s="266"/>
      <c r="B10" s="267"/>
      <c r="C10" s="268"/>
      <c r="D10" s="269"/>
      <c r="E10" s="269"/>
      <c r="F10" s="270"/>
    </row>
    <row r="11" s="256" customFormat="1" ht="18" customHeight="1" spans="1:6">
      <c r="A11" s="266"/>
      <c r="B11" s="267"/>
      <c r="C11" s="268"/>
      <c r="D11" s="269"/>
      <c r="E11" s="269"/>
      <c r="F11" s="270"/>
    </row>
    <row r="12" ht="18" customHeight="1" spans="1:6">
      <c r="A12" s="266"/>
      <c r="B12" s="267"/>
      <c r="C12" s="268"/>
      <c r="D12" s="269"/>
      <c r="E12" s="269"/>
      <c r="F12" s="270"/>
    </row>
    <row r="13" ht="18" customHeight="1" spans="1:6">
      <c r="A13" s="266"/>
      <c r="B13" s="267"/>
      <c r="C13" s="268"/>
      <c r="D13" s="269"/>
      <c r="E13" s="269"/>
      <c r="F13" s="270"/>
    </row>
    <row r="14" ht="18" customHeight="1" spans="1:6">
      <c r="A14" s="266"/>
      <c r="B14" s="267"/>
      <c r="C14" s="268"/>
      <c r="D14" s="269"/>
      <c r="E14" s="269"/>
      <c r="F14" s="270"/>
    </row>
    <row r="15" ht="18" customHeight="1" spans="1:6">
      <c r="A15" s="266"/>
      <c r="B15" s="267"/>
      <c r="C15" s="268"/>
      <c r="D15" s="269"/>
      <c r="E15" s="269"/>
      <c r="F15" s="270"/>
    </row>
    <row r="16" ht="18" customHeight="1" spans="1:6">
      <c r="A16" s="266"/>
      <c r="B16" s="267"/>
      <c r="C16" s="268"/>
      <c r="D16" s="269"/>
      <c r="E16" s="269"/>
      <c r="F16" s="270"/>
    </row>
    <row r="17" ht="18" customHeight="1" spans="1:6">
      <c r="A17" s="266"/>
      <c r="B17" s="267"/>
      <c r="C17" s="268"/>
      <c r="D17" s="269"/>
      <c r="E17" s="269"/>
      <c r="F17" s="270"/>
    </row>
    <row r="18" ht="18" customHeight="1" spans="1:6">
      <c r="A18" s="266"/>
      <c r="B18" s="267"/>
      <c r="C18" s="268"/>
      <c r="D18" s="269"/>
      <c r="E18" s="269"/>
      <c r="F18" s="270"/>
    </row>
    <row r="19" ht="18" customHeight="1" spans="1:6">
      <c r="A19" s="266"/>
      <c r="B19" s="267"/>
      <c r="C19" s="268"/>
      <c r="D19" s="269"/>
      <c r="E19" s="269"/>
      <c r="F19" s="270"/>
    </row>
    <row r="20" ht="18" customHeight="1" spans="1:6">
      <c r="A20" s="266"/>
      <c r="B20" s="267"/>
      <c r="C20" s="268"/>
      <c r="D20" s="269"/>
      <c r="E20" s="269"/>
      <c r="F20" s="270"/>
    </row>
    <row r="21" ht="18" customHeight="1" spans="1:6">
      <c r="A21" s="266"/>
      <c r="B21" s="267"/>
      <c r="C21" s="268"/>
      <c r="D21" s="269"/>
      <c r="E21" s="269"/>
      <c r="F21" s="270"/>
    </row>
    <row r="22" ht="18" customHeight="1" spans="1:6">
      <c r="A22" s="266"/>
      <c r="B22" s="267"/>
      <c r="C22" s="268"/>
      <c r="D22" s="269"/>
      <c r="E22" s="269"/>
      <c r="F22" s="270"/>
    </row>
    <row r="23" ht="18" customHeight="1" spans="1:6">
      <c r="A23" s="266"/>
      <c r="B23" s="267"/>
      <c r="C23" s="268"/>
      <c r="D23" s="269"/>
      <c r="E23" s="269"/>
      <c r="F23" s="270"/>
    </row>
    <row r="24" ht="18" customHeight="1" spans="1:6">
      <c r="A24" s="266"/>
      <c r="B24" s="267"/>
      <c r="C24" s="268"/>
      <c r="D24" s="269"/>
      <c r="E24" s="269"/>
      <c r="F24" s="270"/>
    </row>
    <row r="25" ht="18" customHeight="1" spans="1:6">
      <c r="A25" s="266"/>
      <c r="B25" s="267"/>
      <c r="C25" s="268"/>
      <c r="D25" s="269"/>
      <c r="E25" s="269"/>
      <c r="F25" s="270"/>
    </row>
    <row r="26" ht="18" customHeight="1" spans="1:6">
      <c r="A26" s="266"/>
      <c r="B26" s="267"/>
      <c r="C26" s="268"/>
      <c r="D26" s="269"/>
      <c r="E26" s="269"/>
      <c r="F26" s="270"/>
    </row>
    <row r="27" ht="18" customHeight="1" spans="1:6">
      <c r="A27" s="266"/>
      <c r="B27" s="267"/>
      <c r="C27" s="268"/>
      <c r="D27" s="269"/>
      <c r="E27" s="269"/>
      <c r="F27" s="270"/>
    </row>
    <row r="28" ht="18" customHeight="1" spans="1:6">
      <c r="A28" s="266"/>
      <c r="B28" s="267"/>
      <c r="C28" s="268"/>
      <c r="D28" s="269"/>
      <c r="E28" s="269"/>
      <c r="F28" s="270"/>
    </row>
    <row r="29" ht="18" customHeight="1" spans="1:6">
      <c r="A29" s="266"/>
      <c r="B29" s="267"/>
      <c r="C29" s="268"/>
      <c r="D29" s="269"/>
      <c r="E29" s="269"/>
      <c r="F29" s="270"/>
    </row>
    <row r="30" ht="18" customHeight="1" spans="1:6">
      <c r="A30" s="266"/>
      <c r="B30" s="267"/>
      <c r="C30" s="268"/>
      <c r="D30" s="269"/>
      <c r="E30" s="269"/>
      <c r="F30" s="270"/>
    </row>
    <row r="31" ht="18" customHeight="1" spans="1:6">
      <c r="A31" s="266"/>
      <c r="B31" s="267"/>
      <c r="C31" s="268"/>
      <c r="D31" s="269"/>
      <c r="E31" s="269"/>
      <c r="F31" s="270"/>
    </row>
    <row r="32" ht="18" customHeight="1" spans="1:6">
      <c r="A32" s="266"/>
      <c r="B32" s="267"/>
      <c r="C32" s="268"/>
      <c r="D32" s="269"/>
      <c r="E32" s="269"/>
      <c r="F32" s="270"/>
    </row>
    <row r="33" ht="18" customHeight="1" spans="1:6">
      <c r="A33" s="266"/>
      <c r="B33" s="267"/>
      <c r="C33" s="268"/>
      <c r="D33" s="269"/>
      <c r="E33" s="269"/>
      <c r="F33" s="270"/>
    </row>
    <row r="34" ht="18" customHeight="1" spans="1:6">
      <c r="A34" s="266"/>
      <c r="B34" s="267"/>
      <c r="C34" s="268"/>
      <c r="D34" s="269"/>
      <c r="E34" s="269"/>
      <c r="F34" s="270"/>
    </row>
    <row r="35" ht="18" customHeight="1" spans="1:6">
      <c r="A35" s="266"/>
      <c r="B35" s="267"/>
      <c r="C35" s="268"/>
      <c r="D35" s="269"/>
      <c r="E35" s="269"/>
      <c r="F35" s="270"/>
    </row>
    <row r="36" ht="18" customHeight="1" spans="1:6">
      <c r="A36" s="266"/>
      <c r="B36" s="267"/>
      <c r="C36" s="268"/>
      <c r="D36" s="269"/>
      <c r="E36" s="269"/>
      <c r="F36" s="270"/>
    </row>
    <row r="37" ht="18" customHeight="1" spans="1:6">
      <c r="A37" s="266"/>
      <c r="B37" s="267"/>
      <c r="C37" s="268"/>
      <c r="D37" s="269"/>
      <c r="E37" s="269"/>
      <c r="F37" s="270"/>
    </row>
  </sheetData>
  <mergeCells count="1">
    <mergeCell ref="A1:F1"/>
  </mergeCells>
  <printOptions horizontalCentered="1"/>
  <pageMargins left="0.984027777777778" right="0.786805555555556" top="0.81875" bottom="0.747916666666667" header="0.393055555555556" footer="0.236111111111111"/>
  <pageSetup paperSize="9" scale="96" fitToHeight="0" orientation="portrait"/>
  <headerFooter>
    <oddHeader>&amp;LB113-1子项IO端接清单
A/CFC&amp;C
R2-DCS-D-SJ-113-X-LST-ES-005&amp;R
P&amp;P / P&amp;N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4"/>
  <dimension ref="A1:M26"/>
  <sheetViews>
    <sheetView view="pageLayout" zoomScaleSheetLayoutView="85" zoomScaleNormal="100" workbookViewId="0">
      <selection activeCell="B3" sqref="B3"/>
    </sheetView>
  </sheetViews>
  <sheetFormatPr defaultColWidth="9" defaultRowHeight="24.95" customHeight="1"/>
  <cols>
    <col min="1" max="1" width="5.875" style="247" customWidth="1"/>
    <col min="2" max="2" width="32.875" style="247" customWidth="1"/>
    <col min="3" max="3" width="7.25" style="247" customWidth="1"/>
    <col min="4" max="4" width="8.375" style="247" customWidth="1"/>
    <col min="5" max="6" width="6.375" style="247" customWidth="1"/>
    <col min="7" max="7" width="11.25" style="247" customWidth="1"/>
    <col min="8" max="16384" width="9" style="247"/>
  </cols>
  <sheetData>
    <row r="1" customHeight="1" spans="1:7">
      <c r="A1" s="248" t="s">
        <v>85</v>
      </c>
      <c r="B1" s="248"/>
      <c r="C1" s="248"/>
      <c r="D1" s="248"/>
      <c r="E1" s="248"/>
      <c r="F1" s="248"/>
      <c r="G1" s="248"/>
    </row>
    <row r="2" ht="41.1" customHeight="1" spans="1:13">
      <c r="A2" s="249" t="s">
        <v>86</v>
      </c>
      <c r="B2" s="249" t="s">
        <v>87</v>
      </c>
      <c r="C2" s="249" t="s">
        <v>88</v>
      </c>
      <c r="D2" s="249" t="s">
        <v>89</v>
      </c>
      <c r="E2" s="249" t="s">
        <v>90</v>
      </c>
      <c r="F2" s="249" t="s">
        <v>91</v>
      </c>
      <c r="G2" s="249" t="s">
        <v>92</v>
      </c>
      <c r="J2" s="253"/>
      <c r="K2" s="254"/>
      <c r="L2" s="254"/>
      <c r="M2" s="254"/>
    </row>
    <row r="3" ht="39.95" customHeight="1" spans="1:13">
      <c r="A3" s="250">
        <v>1</v>
      </c>
      <c r="B3" s="251" t="s">
        <v>93</v>
      </c>
      <c r="C3" s="250">
        <v>1</v>
      </c>
      <c r="D3" s="250" t="s">
        <v>94</v>
      </c>
      <c r="E3" s="250" t="s">
        <v>31</v>
      </c>
      <c r="F3" s="250" t="s">
        <v>32</v>
      </c>
      <c r="G3" s="250"/>
      <c r="J3" s="255"/>
      <c r="K3" s="254"/>
      <c r="L3" s="254"/>
      <c r="M3" s="254"/>
    </row>
    <row r="4" ht="30" customHeight="1" spans="1:13">
      <c r="A4" s="250">
        <v>2</v>
      </c>
      <c r="B4" s="250" t="s">
        <v>95</v>
      </c>
      <c r="C4" s="250">
        <v>2</v>
      </c>
      <c r="D4" s="250" t="str">
        <f>MID(D3,FIND("~",D3)+1,LEN(D3)-FIND("~",D3))+1&amp;"~"&amp;MID(D3,FIND("~",D3)+1,LEN(D3)-FIND("~",D3))+C4</f>
        <v>6~7</v>
      </c>
      <c r="E4" s="250" t="s">
        <v>31</v>
      </c>
      <c r="F4" s="250" t="s">
        <v>32</v>
      </c>
      <c r="G4" s="250"/>
      <c r="J4" s="255"/>
      <c r="K4" s="254"/>
      <c r="L4" s="254"/>
      <c r="M4" s="254"/>
    </row>
    <row r="5" customHeight="1" spans="1:7">
      <c r="A5" s="250"/>
      <c r="B5" s="250"/>
      <c r="C5" s="250"/>
      <c r="D5" s="250"/>
      <c r="E5" s="250"/>
      <c r="F5" s="250"/>
      <c r="G5" s="250"/>
    </row>
    <row r="6" customHeight="1" spans="1:7">
      <c r="A6" s="250"/>
      <c r="B6" s="250"/>
      <c r="C6" s="250"/>
      <c r="D6" s="250"/>
      <c r="E6" s="250"/>
      <c r="F6" s="250"/>
      <c r="G6" s="250"/>
    </row>
    <row r="7" customHeight="1" spans="1:7">
      <c r="A7" s="250"/>
      <c r="B7" s="250"/>
      <c r="C7" s="250"/>
      <c r="D7" s="250"/>
      <c r="E7" s="250"/>
      <c r="F7" s="250"/>
      <c r="G7" s="250"/>
    </row>
    <row r="8" customHeight="1" spans="1:7">
      <c r="A8" s="250"/>
      <c r="B8" s="250"/>
      <c r="C8" s="250"/>
      <c r="D8" s="250"/>
      <c r="E8" s="250"/>
      <c r="F8" s="250"/>
      <c r="G8" s="252"/>
    </row>
    <row r="9" customHeight="1" spans="1:7">
      <c r="A9" s="250"/>
      <c r="B9" s="250"/>
      <c r="C9" s="250"/>
      <c r="D9" s="250"/>
      <c r="E9" s="250"/>
      <c r="F9" s="250"/>
      <c r="G9" s="250"/>
    </row>
    <row r="10" customHeight="1" spans="1:7">
      <c r="A10" s="250"/>
      <c r="B10" s="250"/>
      <c r="C10" s="250"/>
      <c r="D10" s="250"/>
      <c r="E10" s="250"/>
      <c r="F10" s="250"/>
      <c r="G10" s="250"/>
    </row>
    <row r="11" customHeight="1" spans="1:7">
      <c r="A11" s="250"/>
      <c r="B11" s="250"/>
      <c r="C11" s="250"/>
      <c r="D11" s="250"/>
      <c r="E11" s="250"/>
      <c r="F11" s="250"/>
      <c r="G11" s="250"/>
    </row>
    <row r="12" customHeight="1" spans="1:7">
      <c r="A12" s="250"/>
      <c r="B12" s="250"/>
      <c r="C12" s="250"/>
      <c r="D12" s="250"/>
      <c r="E12" s="250"/>
      <c r="F12" s="250"/>
      <c r="G12" s="250"/>
    </row>
    <row r="13" customHeight="1" spans="1:7">
      <c r="A13" s="250"/>
      <c r="B13" s="250"/>
      <c r="C13" s="250"/>
      <c r="D13" s="250"/>
      <c r="E13" s="250"/>
      <c r="F13" s="250"/>
      <c r="G13" s="250"/>
    </row>
    <row r="14" customHeight="1" spans="1:7">
      <c r="A14" s="250"/>
      <c r="B14" s="250"/>
      <c r="C14" s="250"/>
      <c r="D14" s="250"/>
      <c r="E14" s="250"/>
      <c r="F14" s="250"/>
      <c r="G14" s="250"/>
    </row>
    <row r="15" customHeight="1" spans="1:7">
      <c r="A15" s="250"/>
      <c r="B15" s="250"/>
      <c r="C15" s="250"/>
      <c r="D15" s="250"/>
      <c r="E15" s="250"/>
      <c r="F15" s="250"/>
      <c r="G15" s="250"/>
    </row>
    <row r="16" customHeight="1" spans="1:7">
      <c r="A16" s="250"/>
      <c r="B16" s="250"/>
      <c r="C16" s="250"/>
      <c r="D16" s="250"/>
      <c r="E16" s="250"/>
      <c r="F16" s="250"/>
      <c r="G16" s="250"/>
    </row>
    <row r="17" customHeight="1" spans="1:7">
      <c r="A17" s="250"/>
      <c r="B17" s="250"/>
      <c r="C17" s="250"/>
      <c r="D17" s="250"/>
      <c r="E17" s="250"/>
      <c r="F17" s="250"/>
      <c r="G17" s="250"/>
    </row>
    <row r="18" customHeight="1" spans="1:7">
      <c r="A18" s="250"/>
      <c r="B18" s="250"/>
      <c r="C18" s="250"/>
      <c r="D18" s="250"/>
      <c r="E18" s="250"/>
      <c r="F18" s="250"/>
      <c r="G18" s="250"/>
    </row>
    <row r="19" customHeight="1" spans="1:7">
      <c r="A19" s="250"/>
      <c r="B19" s="250"/>
      <c r="C19" s="250"/>
      <c r="D19" s="250"/>
      <c r="E19" s="250"/>
      <c r="F19" s="250"/>
      <c r="G19" s="250"/>
    </row>
    <row r="20" customHeight="1" spans="1:7">
      <c r="A20" s="250"/>
      <c r="B20" s="250"/>
      <c r="C20" s="250"/>
      <c r="D20" s="250"/>
      <c r="E20" s="250"/>
      <c r="F20" s="250"/>
      <c r="G20" s="250"/>
    </row>
    <row r="21" customHeight="1" spans="1:7">
      <c r="A21" s="250"/>
      <c r="B21" s="250"/>
      <c r="C21" s="250"/>
      <c r="D21" s="250"/>
      <c r="E21" s="250"/>
      <c r="F21" s="250"/>
      <c r="G21" s="250"/>
    </row>
    <row r="22" customHeight="1" spans="1:7">
      <c r="A22" s="250"/>
      <c r="B22" s="250"/>
      <c r="C22" s="250"/>
      <c r="D22" s="250"/>
      <c r="E22" s="250"/>
      <c r="F22" s="250"/>
      <c r="G22" s="250"/>
    </row>
    <row r="23" customHeight="1" spans="1:7">
      <c r="A23" s="250"/>
      <c r="B23" s="250"/>
      <c r="C23" s="250"/>
      <c r="D23" s="250"/>
      <c r="E23" s="250"/>
      <c r="F23" s="250"/>
      <c r="G23" s="250"/>
    </row>
    <row r="24" customHeight="1" spans="1:7">
      <c r="A24" s="250"/>
      <c r="B24" s="250"/>
      <c r="C24" s="250"/>
      <c r="D24" s="250"/>
      <c r="E24" s="250"/>
      <c r="F24" s="250"/>
      <c r="G24" s="250"/>
    </row>
    <row r="25" customHeight="1" spans="1:7">
      <c r="A25" s="250"/>
      <c r="B25" s="250"/>
      <c r="C25" s="250"/>
      <c r="D25" s="250"/>
      <c r="E25" s="250"/>
      <c r="F25" s="250"/>
      <c r="G25" s="250"/>
    </row>
    <row r="26" customHeight="1" spans="1:7">
      <c r="A26" s="250"/>
      <c r="B26" s="250"/>
      <c r="C26" s="250"/>
      <c r="D26" s="250"/>
      <c r="E26" s="250"/>
      <c r="F26" s="250"/>
      <c r="G26" s="250"/>
    </row>
  </sheetData>
  <mergeCells count="1">
    <mergeCell ref="A1:G1"/>
  </mergeCells>
  <printOptions horizontalCentered="1"/>
  <pageMargins left="0.984027777777778" right="0.786805555555556" top="0.81875" bottom="0.747916666666667" header="0.393055555555556" footer="0.236111111111111"/>
  <pageSetup paperSize="9" fitToHeight="0" orientation="portrait"/>
  <headerFooter>
    <oddHeader>&amp;LB113-1子项IO端接清单
A/CFC&amp;C
R2-DCS-D-SJ-113-X-LST-ES-005&amp;R
P&amp;P / P&amp;N</oddHead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9"/>
  <dimension ref="A1:F15"/>
  <sheetViews>
    <sheetView workbookViewId="0">
      <pane ySplit="1" topLeftCell="A2" activePane="bottomLeft" state="frozen"/>
      <selection/>
      <selection pane="bottomLeft" activeCell="F6" sqref="F6"/>
    </sheetView>
  </sheetViews>
  <sheetFormatPr defaultColWidth="8.66666666666667" defaultRowHeight="15" outlineLevelCol="5"/>
  <cols>
    <col min="1" max="1" width="6.25" style="19" customWidth="1"/>
    <col min="2" max="2" width="4.625" style="211" customWidth="1"/>
    <col min="3" max="3" width="17" style="211" customWidth="1"/>
    <col min="4" max="4" width="19.125" style="211" customWidth="1"/>
    <col min="5" max="5" width="19.5" style="211" customWidth="1"/>
    <col min="6" max="6" width="38.375" style="211" customWidth="1"/>
    <col min="7" max="16384" width="8.66666666666667" style="211"/>
  </cols>
  <sheetData>
    <row r="1" ht="34" customHeight="1" spans="1:6">
      <c r="A1" s="239" t="s">
        <v>96</v>
      </c>
      <c r="B1" s="239"/>
      <c r="C1" s="239"/>
      <c r="D1" s="239"/>
      <c r="E1" s="239"/>
      <c r="F1" s="239"/>
    </row>
    <row r="2" ht="31.5" spans="1:6">
      <c r="A2" s="240" t="s">
        <v>97</v>
      </c>
      <c r="B2" s="240" t="s">
        <v>98</v>
      </c>
      <c r="C2" s="240" t="s">
        <v>99</v>
      </c>
      <c r="D2" s="240" t="s">
        <v>100</v>
      </c>
      <c r="E2" s="240" t="s">
        <v>101</v>
      </c>
      <c r="F2" s="240" t="s">
        <v>102</v>
      </c>
    </row>
    <row r="3" ht="38" customHeight="1" spans="1:6">
      <c r="A3" s="241">
        <v>1</v>
      </c>
      <c r="B3" s="242" t="s">
        <v>31</v>
      </c>
      <c r="C3" s="243">
        <v>43976</v>
      </c>
      <c r="D3" s="244" t="s">
        <v>83</v>
      </c>
      <c r="E3" s="244" t="s">
        <v>83</v>
      </c>
      <c r="F3" s="244" t="s">
        <v>84</v>
      </c>
    </row>
    <row r="4" ht="27" spans="1:6">
      <c r="A4" s="242">
        <v>2</v>
      </c>
      <c r="B4" s="242" t="s">
        <v>103</v>
      </c>
      <c r="C4" s="243">
        <v>44117</v>
      </c>
      <c r="D4" s="244" t="s">
        <v>104</v>
      </c>
      <c r="E4" s="244"/>
      <c r="F4" s="245" t="s">
        <v>105</v>
      </c>
    </row>
    <row r="5" ht="37" customHeight="1" spans="1:6">
      <c r="A5" s="242">
        <v>3</v>
      </c>
      <c r="B5" s="242" t="s">
        <v>106</v>
      </c>
      <c r="C5" s="243">
        <v>44329</v>
      </c>
      <c r="D5" s="244" t="s">
        <v>104</v>
      </c>
      <c r="E5" s="244"/>
      <c r="F5" s="245" t="s">
        <v>107</v>
      </c>
    </row>
    <row r="6" ht="141" customHeight="1" spans="1:6">
      <c r="A6" s="242">
        <v>4</v>
      </c>
      <c r="B6" s="242" t="s">
        <v>108</v>
      </c>
      <c r="C6" s="243">
        <v>44610</v>
      </c>
      <c r="D6" s="244" t="s">
        <v>104</v>
      </c>
      <c r="E6" s="244"/>
      <c r="F6" s="245" t="s">
        <v>109</v>
      </c>
    </row>
    <row r="7" spans="1:6">
      <c r="A7" s="31"/>
      <c r="B7" s="246"/>
      <c r="C7" s="246"/>
      <c r="D7" s="246"/>
      <c r="E7" s="246"/>
      <c r="F7" s="246"/>
    </row>
    <row r="8" spans="1:6">
      <c r="A8" s="31"/>
      <c r="B8" s="246"/>
      <c r="C8" s="246"/>
      <c r="D8" s="246"/>
      <c r="E8" s="246"/>
      <c r="F8" s="246"/>
    </row>
    <row r="9" spans="1:6">
      <c r="A9" s="31"/>
      <c r="B9" s="246"/>
      <c r="C9" s="246"/>
      <c r="D9" s="246"/>
      <c r="E9" s="246"/>
      <c r="F9" s="246"/>
    </row>
    <row r="10" spans="1:6">
      <c r="A10" s="31"/>
      <c r="B10" s="246"/>
      <c r="C10" s="246"/>
      <c r="D10" s="246"/>
      <c r="E10" s="246"/>
      <c r="F10" s="246"/>
    </row>
    <row r="11" spans="1:6">
      <c r="A11" s="31"/>
      <c r="B11" s="246"/>
      <c r="C11" s="246"/>
      <c r="D11" s="246"/>
      <c r="E11" s="246"/>
      <c r="F11" s="246"/>
    </row>
    <row r="12" spans="1:6">
      <c r="A12" s="31"/>
      <c r="B12" s="246"/>
      <c r="C12" s="246"/>
      <c r="D12" s="246"/>
      <c r="E12" s="246"/>
      <c r="F12" s="246"/>
    </row>
    <row r="13" spans="1:6">
      <c r="A13" s="31"/>
      <c r="B13" s="246"/>
      <c r="C13" s="246"/>
      <c r="D13" s="246"/>
      <c r="E13" s="246"/>
      <c r="F13" s="246"/>
    </row>
    <row r="14" spans="1:6">
      <c r="A14" s="31"/>
      <c r="B14" s="246"/>
      <c r="C14" s="246"/>
      <c r="D14" s="246"/>
      <c r="E14" s="246"/>
      <c r="F14" s="246"/>
    </row>
    <row r="15" spans="1:6">
      <c r="A15" s="31"/>
      <c r="B15" s="246"/>
      <c r="C15" s="246"/>
      <c r="D15" s="246"/>
      <c r="E15" s="246"/>
      <c r="F15" s="246"/>
    </row>
  </sheetData>
  <mergeCells count="1">
    <mergeCell ref="A1:F1"/>
  </mergeCells>
  <pageMargins left="0.75" right="0.75" top="1" bottom="1" header="0.5" footer="0.5"/>
  <headerFooter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51">
    <pageSetUpPr fitToPage="1"/>
  </sheetPr>
  <dimension ref="A1:S73"/>
  <sheetViews>
    <sheetView zoomScalePageLayoutView="85" zoomScaleSheetLayoutView="85" workbookViewId="0">
      <selection activeCell="G22" sqref="G22"/>
    </sheetView>
  </sheetViews>
  <sheetFormatPr defaultColWidth="9" defaultRowHeight="23.25" customHeight="1"/>
  <cols>
    <col min="1" max="1" width="6.375" style="211" customWidth="1"/>
    <col min="2" max="2" width="12.875" style="211" customWidth="1"/>
    <col min="3" max="5" width="7.375" style="211" customWidth="1"/>
    <col min="6" max="6" width="7.625" style="211" customWidth="1"/>
    <col min="7" max="7" width="18.7416666666667" style="211" customWidth="1"/>
    <col min="8" max="9" width="10.75" style="211" customWidth="1"/>
    <col min="10" max="10" width="32" style="212" customWidth="1"/>
    <col min="11" max="12" width="8.375" style="212" customWidth="1"/>
    <col min="13" max="13" width="17.25" style="212" customWidth="1"/>
    <col min="14" max="14" width="9" style="211"/>
    <col min="15" max="15" width="6.5" style="211" customWidth="1"/>
    <col min="16" max="16" width="16.75" style="211" customWidth="1"/>
    <col min="17" max="17" width="6.5" style="211" customWidth="1"/>
    <col min="18" max="18" width="15.75" style="211" customWidth="1"/>
    <col min="19" max="19" width="6.5" style="211" customWidth="1"/>
    <col min="20" max="16384" width="9" style="211"/>
  </cols>
  <sheetData>
    <row r="1" customHeight="1" spans="1:19">
      <c r="A1" s="213" t="s">
        <v>110</v>
      </c>
      <c r="B1" s="213" t="s">
        <v>111</v>
      </c>
      <c r="C1" s="213" t="s">
        <v>112</v>
      </c>
      <c r="D1" s="213" t="s">
        <v>113</v>
      </c>
      <c r="E1" s="213" t="s">
        <v>114</v>
      </c>
      <c r="F1" s="213" t="s">
        <v>115</v>
      </c>
      <c r="G1" s="213" t="s">
        <v>116</v>
      </c>
      <c r="H1" s="213" t="s">
        <v>117</v>
      </c>
      <c r="I1" s="213" t="s">
        <v>118</v>
      </c>
      <c r="J1" s="213" t="s">
        <v>119</v>
      </c>
      <c r="K1" s="213" t="s">
        <v>120</v>
      </c>
      <c r="L1" s="213" t="s">
        <v>121</v>
      </c>
      <c r="M1" s="213" t="s">
        <v>122</v>
      </c>
      <c r="N1" s="221"/>
      <c r="O1" s="222" t="s">
        <v>123</v>
      </c>
      <c r="P1" s="223"/>
      <c r="Q1" s="223"/>
      <c r="R1" s="223"/>
      <c r="S1" s="230"/>
    </row>
    <row r="2" ht="18" customHeight="1" spans="1:19">
      <c r="A2" s="173">
        <v>1</v>
      </c>
      <c r="B2" s="322" t="s">
        <v>124</v>
      </c>
      <c r="C2" s="173">
        <v>1</v>
      </c>
      <c r="D2" s="173">
        <v>1</v>
      </c>
      <c r="E2" s="173">
        <v>2</v>
      </c>
      <c r="F2" s="173" t="str">
        <f t="array" ref="F2">IF(OR(IFERROR(SEARCH("-",E2),-1)&gt;0,E2=0),"--",IF(AND(C2=1,OR(D2=1,D2=2)),"NP204",IF(OR(D2=11,D2=12),"PM211",_xlfn.IFNA(VLOOKUP(B2&amp;C2&amp;D2,IF({1,0},IO分站清单!H:H&amp;IO分站清单!L:L&amp;IO分站清单!M:M,IO分站清单!I:I),2,FALSE),IF(AND(F1="FF211",NOT(MOD(D2,2))),"FF211","备用")))))</f>
        <v>NP204</v>
      </c>
      <c r="G2" s="173" t="str">
        <f t="array" ref="G2">IF(OR(IFERROR(SEARCH("-",E2),-1)&gt;0,E2=0),"--",IF(AND(C2=1,D2&lt;3),B2&amp;C2&amp;TEXT(D2,"00")&amp;"UC",IF(OR(D2=11,D2=12),B2&amp;C2&amp;TEXT(D2,"00")&amp;"PM",_xlfn.IFNA(VLOOKUP(B2&amp;C2&amp;D2,IF({1,0},IO分站清单!H:H&amp;IO分站清单!L:L&amp;IO分站清单!M:M,IO分站清单!K:K),2,FALSE),IF(AND(F1="FF211",F2="FF211"),B2&amp;C2&amp;TEXT(D2,"00")&amp;"FF","--")))))</f>
        <v>3AEKC003AR101UC</v>
      </c>
      <c r="H2" s="171" t="str">
        <f t="array" ref="H2">IF(F2="NP204","--",IF(OR(D2=11,D2=12),"--",_xlfn.IFNA(VLOOKUP(B2&amp;C2&amp;D2,IF({1,0},IO分站清单!H:H&amp;IO分站清单!L:L&amp;IO分站清单!M:M,IO分站清单!T:T),2,FALSE),IF(AND(F1="FF211",F2="FF211"),H1,"--"))))</f>
        <v>--</v>
      </c>
      <c r="I2" s="171" t="str">
        <f t="array" ref="I2">IF(AND(C2=1,OR(D2=1,D2=2)),"--",IF(OR(D2=11,D2=12),"--",_xlfn.IFNA(VLOOKUP(B2&amp;C2&amp;D2,IF({1,0},IO分站清单!H:H&amp;IO分站清单!L:L&amp;IO分站清单!M:M,IO分站清单!U:U),2,FALSE),"--")))</f>
        <v>--</v>
      </c>
      <c r="J2" s="173" t="str">
        <f>IF(F2="FF211","FF H1网关通信模块",IF(F2="DP211","PROFIBUS DP通信模块",IF(F2="AI212","8通道模拟量输入模块",IF(F2="AI216","8通道HART模拟量输入",IF(F2="AI221","8通道热电偶模块",IF(F2="AI231","8通道热电阻模块",IF(F2="AI232","7通道热电阻模块",IF(F2="AO211","8通道模拟量输出模块",IF(F2="AO215","8通道HART模拟量输出",IF(F2="PI211","脉冲量输入模块",IF(F2="DI211","16通道开关量输入模块",IF(F2="DO211","16通道开关量输出模块",IF(F2="MD216","MODBUS TCP通信模块",IF(F2="MD211","MODBUS RTU通信模块",IF(F2="NP204","控制器",IF(F2="PM211","DC24V电源板卡","--"))))))))))))))))</f>
        <v>控制器</v>
      </c>
      <c r="K2" s="173" t="str">
        <f>IF(AND(MOD(D2,2),F2="FF211"),"冗余","")</f>
        <v/>
      </c>
      <c r="L2" s="173" t="s">
        <v>31</v>
      </c>
      <c r="M2" s="173"/>
      <c r="N2" s="221"/>
      <c r="O2" s="224" t="s">
        <v>125</v>
      </c>
      <c r="P2" s="224" t="s">
        <v>126</v>
      </c>
      <c r="Q2" s="224" t="s">
        <v>127</v>
      </c>
      <c r="R2" s="224" t="s">
        <v>128</v>
      </c>
      <c r="S2" s="224" t="s">
        <v>127</v>
      </c>
    </row>
    <row r="3" ht="18" customHeight="1" spans="1:19">
      <c r="A3" s="214">
        <v>2</v>
      </c>
      <c r="B3" s="323" t="str">
        <f>B2</f>
        <v>3AEKC003AR</v>
      </c>
      <c r="C3" s="214">
        <v>1</v>
      </c>
      <c r="D3" s="214">
        <v>2</v>
      </c>
      <c r="E3" s="214">
        <v>130</v>
      </c>
      <c r="F3" s="214" t="str">
        <f t="array" ref="F3">IF(OR(IFERROR(SEARCH("-",E3),-1)&gt;0,E3=0),"--",IF(AND(C3=1,OR(D3=1,D3=2)),"NP204",IF(OR(D3=11,D3=12),"PM211",_xlfn.IFNA(VLOOKUP(B3&amp;C3&amp;D3,IF({1,0},IO分站清单!H:H&amp;IO分站清单!L:L&amp;IO分站清单!M:M,IO分站清单!I:I),2,FALSE),IF(AND(F2="FF211",NOT(MOD(D3,2))),"FF211","备用")))))</f>
        <v>NP204</v>
      </c>
      <c r="G3" s="214" t="str">
        <f t="array" ref="G3">IF(OR(IFERROR(SEARCH("-",E3),-1)&gt;0,E3=0),"--",IF(AND(C3=1,D3&lt;3),B3&amp;C3&amp;TEXT(D3,"00")&amp;"UC",IF(OR(D3=11,D3=12),B3&amp;C3&amp;TEXT(D3,"00")&amp;"PM",_xlfn.IFNA(VLOOKUP(B3&amp;C3&amp;D3,IF({1,0},IO分站清单!H:H&amp;IO分站清单!L:L&amp;IO分站清单!M:M,IO分站清单!K:K),2,FALSE),IF(AND(F2="FF211",F3="FF211"),B3&amp;C3&amp;TEXT(D3,"00")&amp;"FF","--")))))</f>
        <v>3AEKC003AR102UC</v>
      </c>
      <c r="H3" s="93" t="str">
        <f t="array" ref="H3">IF(F3="NP204","--",IF(OR(D3=11,D3=12),"--",_xlfn.IFNA(VLOOKUP(B3&amp;C3&amp;D3,IF({1,0},IO分站清单!H:H&amp;IO分站清单!L:L&amp;IO分站清单!M:M,IO分站清单!T:T),2,FALSE),IF(AND(F2="FF211",F3="FF211"),H2,"--"))))</f>
        <v>--</v>
      </c>
      <c r="I3" s="93" t="str">
        <f t="array" ref="I3">IF(AND(C3=1,OR(D3=1,D3=2)),"--",IF(OR(D3=11,D3=12),"--",_xlfn.IFNA(VLOOKUP(B3&amp;C3&amp;D3,IF({1,0},IO分站清单!H:H&amp;IO分站清单!L:L&amp;IO分站清单!M:M,IO分站清单!U:U),2,FALSE),"--")))</f>
        <v>--</v>
      </c>
      <c r="J3" s="214" t="str">
        <f t="shared" ref="J3:J66" si="0">IF(F3="FF211","FF H1网关通信模块",IF(F3="DP211","PROFIBUS DP通信模块",IF(F3="AI212","8通道模拟量输入模块",IF(F3="AI216","8通道HART模拟量输入",IF(F3="AI221","8通道热电偶模块",IF(F3="AI231","8通道热电阻模块",IF(F3="AI232","7通道热电阻模块",IF(F3="AO211","8通道模拟量输出模块",IF(F3="AO215","8通道HART模拟量输出",IF(F3="PI211","脉冲量输入模块",IF(F3="DI211","16通道开关量输入模块",IF(F3="DO211","16通道开关量输出模块",IF(F3="MD216","MODBUS TCP通信模块",IF(F3="MD211","MODBUS RTU通信模块",IF(F3="NP204","控制器",IF(F3="PM211","DC24V电源板卡","--"))))))))))))))))</f>
        <v>控制器</v>
      </c>
      <c r="K3" s="214" t="str">
        <f t="shared" ref="K3:K66" si="1">IF(AND(MOD(D3,2),F3="FF211"),"冗余","")</f>
        <v/>
      </c>
      <c r="L3" s="214" t="s">
        <v>31</v>
      </c>
      <c r="M3" s="214"/>
      <c r="N3" s="221"/>
      <c r="O3" s="224">
        <v>1</v>
      </c>
      <c r="P3" s="225" t="s">
        <v>129</v>
      </c>
      <c r="Q3" s="224">
        <f>COUNTIF(F:F,P3)</f>
        <v>4</v>
      </c>
      <c r="R3" s="231" t="s">
        <v>130</v>
      </c>
      <c r="S3" s="231" t="s">
        <v>130</v>
      </c>
    </row>
    <row r="4" ht="18" customHeight="1" spans="1:19">
      <c r="A4" s="214">
        <v>3</v>
      </c>
      <c r="B4" s="323" t="str">
        <f t="shared" ref="B4:B37" si="2">B3</f>
        <v>3AEKC003AR</v>
      </c>
      <c r="C4" s="214">
        <v>1</v>
      </c>
      <c r="D4" s="214">
        <v>3</v>
      </c>
      <c r="E4" s="214">
        <v>3</v>
      </c>
      <c r="F4" s="214" t="str">
        <f t="array" ref="F4">IF(OR(IFERROR(SEARCH("-",E4),-1)&gt;0,E4=0),"--",IF(AND(C4=1,OR(D4=1,D4=2)),"NP204",IF(OR(D4=11,D4=12),"PM211",_xlfn.IFNA(VLOOKUP(B4&amp;C4&amp;D4,IF({1,0},IO分站清单!H:H&amp;IO分站清单!L:L&amp;IO分站清单!M:M,IO分站清单!I:I),2,FALSE),IF(AND(F3="FF211",NOT(MOD(D4,2))),"FF211","备用")))))</f>
        <v>AI216</v>
      </c>
      <c r="G4" s="214" t="str">
        <f t="array" ref="G4">IF(OR(IFERROR(SEARCH("-",E4),-1)&gt;0,E4=0),"--",IF(AND(C4=1,D4&lt;3),B4&amp;C4&amp;TEXT(D4,"00")&amp;"UC",IF(OR(D4=11,D4=12),B4&amp;C4&amp;TEXT(D4,"00")&amp;"PM",_xlfn.IFNA(VLOOKUP(B4&amp;C4&amp;D4,IF({1,0},IO分站清单!H:H&amp;IO分站清单!L:L&amp;IO分站清单!M:M,IO分站清单!K:K),2,FALSE),IF(AND(F3="FF211",F4="FF211"),B4&amp;C4&amp;TEXT(D4,"00")&amp;"FF","--")))))</f>
        <v>3AEKC003AR103AI</v>
      </c>
      <c r="H4" s="93" t="str">
        <f t="array" ref="H4">IF(F4="NP204","--",IF(OR(D4=11,D4=12),"--",_xlfn.IFNA(VLOOKUP(B4&amp;C4&amp;D4,IF({1,0},IO分站清单!H:H&amp;IO分站清单!L:L&amp;IO分站清单!M:M,IO分站清单!T:T),2,FALSE),IF(AND(F3="FF211",F4="FF211"),H3,"--"))))</f>
        <v>TB241</v>
      </c>
      <c r="I4" s="93" t="str">
        <f t="array" ref="I4">IF(AND(C4=1,OR(D4=1,D4=2)),"--",IF(OR(D4=11,D4=12),"--",_xlfn.IFNA(VLOOKUP(B4&amp;C4&amp;D4,IF({1,0},IO分站清单!H:H&amp;IO分站清单!L:L&amp;IO分站清单!M:M,IO分站清单!U:U),2,FALSE),"--")))</f>
        <v>103BN</v>
      </c>
      <c r="J4" s="214" t="str">
        <f t="shared" si="0"/>
        <v>8通道HART模拟量输入</v>
      </c>
      <c r="K4" s="214" t="str">
        <f t="shared" si="1"/>
        <v/>
      </c>
      <c r="L4" s="214" t="s">
        <v>31</v>
      </c>
      <c r="M4" s="214"/>
      <c r="N4" s="221"/>
      <c r="O4" s="224">
        <v>2</v>
      </c>
      <c r="P4" s="225" t="s">
        <v>131</v>
      </c>
      <c r="Q4" s="224">
        <f>COUNTIF(F:F,P4)</f>
        <v>12</v>
      </c>
      <c r="R4" s="231" t="s">
        <v>130</v>
      </c>
      <c r="S4" s="231" t="s">
        <v>130</v>
      </c>
    </row>
    <row r="5" ht="18" customHeight="1" spans="1:19">
      <c r="A5" s="214">
        <v>4</v>
      </c>
      <c r="B5" s="323" t="str">
        <f t="shared" si="2"/>
        <v>3AEKC003AR</v>
      </c>
      <c r="C5" s="214">
        <v>1</v>
      </c>
      <c r="D5" s="214">
        <v>4</v>
      </c>
      <c r="E5" s="214">
        <v>4</v>
      </c>
      <c r="F5" s="214" t="str">
        <f t="array" ref="F5">IF(OR(IFERROR(SEARCH("-",E5),-1)&gt;0,E5=0),"--",IF(AND(C5=1,OR(D5=1,D5=2)),"NP204",IF(OR(D5=11,D5=12),"PM211",_xlfn.IFNA(VLOOKUP(B5&amp;C5&amp;D5,IF({1,0},IO分站清单!H:H&amp;IO分站清单!L:L&amp;IO分站清单!M:M,IO分站清单!I:I),2,FALSE),IF(AND(F4="FF211",NOT(MOD(D5,2))),"FF211","备用")))))</f>
        <v>AI212</v>
      </c>
      <c r="G5" s="214" t="str">
        <f t="array" ref="G5">IF(OR(IFERROR(SEARCH("-",E5),-1)&gt;0,E5=0),"--",IF(AND(C5=1,D5&lt;3),B5&amp;C5&amp;TEXT(D5,"00")&amp;"UC",IF(OR(D5=11,D5=12),B5&amp;C5&amp;TEXT(D5,"00")&amp;"PM",_xlfn.IFNA(VLOOKUP(B5&amp;C5&amp;D5,IF({1,0},IO分站清单!H:H&amp;IO分站清单!L:L&amp;IO分站清单!M:M,IO分站清单!K:K),2,FALSE),IF(AND(F4="FF211",F5="FF211"),B5&amp;C5&amp;TEXT(D5,"00")&amp;"FF","--")))))</f>
        <v>3AEKC003AR104AI</v>
      </c>
      <c r="H5" s="93" t="str">
        <f t="array" ref="H5">IF(F5="NP204","--",IF(OR(D5=11,D5=12),"--",_xlfn.IFNA(VLOOKUP(B5&amp;C5&amp;D5,IF({1,0},IO分站清单!H:H&amp;IO分站清单!L:L&amp;IO分站清单!M:M,IO分站清单!T:T),2,FALSE),IF(AND(F4="FF211",F5="FF211"),H4,"--"))))</f>
        <v>TB241</v>
      </c>
      <c r="I5" s="93" t="str">
        <f t="array" ref="I5">IF(AND(C5=1,OR(D5=1,D5=2)),"--",IF(OR(D5=11,D5=12),"--",_xlfn.IFNA(VLOOKUP(B5&amp;C5&amp;D5,IF({1,0},IO分站清单!H:H&amp;IO分站清单!L:L&amp;IO分站清单!M:M,IO分站清单!U:U),2,FALSE),"--")))</f>
        <v>104BN</v>
      </c>
      <c r="J5" s="214" t="str">
        <f t="shared" si="0"/>
        <v>8通道模拟量输入模块</v>
      </c>
      <c r="K5" s="214" t="str">
        <f t="shared" si="1"/>
        <v/>
      </c>
      <c r="L5" s="214" t="s">
        <v>31</v>
      </c>
      <c r="M5" s="214"/>
      <c r="N5" s="221"/>
      <c r="O5" s="224">
        <v>3</v>
      </c>
      <c r="P5" s="225" t="s">
        <v>132</v>
      </c>
      <c r="Q5" s="224">
        <f>COUNTIF(F:F,P5)</f>
        <v>2</v>
      </c>
      <c r="R5" s="232" t="s">
        <v>133</v>
      </c>
      <c r="S5" s="233">
        <f>COUNTIF(H:H,R5)</f>
        <v>4</v>
      </c>
    </row>
    <row r="6" ht="18" customHeight="1" spans="1:19">
      <c r="A6" s="214">
        <v>5</v>
      </c>
      <c r="B6" s="323" t="str">
        <f t="shared" si="2"/>
        <v>3AEKC003AR</v>
      </c>
      <c r="C6" s="214">
        <v>1</v>
      </c>
      <c r="D6" s="214">
        <v>5</v>
      </c>
      <c r="E6" s="214">
        <v>5</v>
      </c>
      <c r="F6" s="214" t="str">
        <f t="array" ref="F6">IF(OR(IFERROR(SEARCH("-",E6),-1)&gt;0,E6=0),"--",IF(AND(C6=1,OR(D6=1,D6=2)),"NP204",IF(OR(D6=11,D6=12),"PM211",_xlfn.IFNA(VLOOKUP(B6&amp;C6&amp;D6,IF({1,0},IO分站清单!H:H&amp;IO分站清单!L:L&amp;IO分站清单!M:M,IO分站清单!I:I),2,FALSE),IF(AND(F5="FF211",NOT(MOD(D6,2))),"FF211","备用")))))</f>
        <v>AI232</v>
      </c>
      <c r="G6" s="214" t="str">
        <f t="array" ref="G6">IF(OR(IFERROR(SEARCH("-",E6),-1)&gt;0,E6=0),"--",IF(AND(C6=1,D6&lt;3),B6&amp;C6&amp;TEXT(D6,"00")&amp;"UC",IF(OR(D6=11,D6=12),B6&amp;C6&amp;TEXT(D6,"00")&amp;"PM",_xlfn.IFNA(VLOOKUP(B6&amp;C6&amp;D6,IF({1,0},IO分站清单!H:H&amp;IO分站清单!L:L&amp;IO分站清单!M:M,IO分站清单!K:K),2,FALSE),IF(AND(F5="FF211",F6="FF211"),B6&amp;C6&amp;TEXT(D6,"00")&amp;"FF","--")))))</f>
        <v>3AEKC003AR105RTD</v>
      </c>
      <c r="H6" s="93" t="str">
        <f t="array" ref="H6">IF(F6="NP204","--",IF(OR(D6=11,D6=12),"--",_xlfn.IFNA(VLOOKUP(B6&amp;C6&amp;D6,IF({1,0},IO分站清单!H:H&amp;IO分站清单!L:L&amp;IO分站清单!M:M,IO分站清单!T:T),2,FALSE),IF(AND(F5="FF211",F6="FF211"),H5,"--"))))</f>
        <v>TB246</v>
      </c>
      <c r="I6" s="93" t="str">
        <f t="array" ref="I6">IF(AND(C6=1,OR(D6=1,D6=2)),"--",IF(OR(D6=11,D6=12),"--",_xlfn.IFNA(VLOOKUP(B6&amp;C6&amp;D6,IF({1,0},IO分站清单!H:H&amp;IO分站清单!L:L&amp;IO分站清单!M:M,IO分站清单!U:U),2,FALSE),"--")))</f>
        <v>105BN</v>
      </c>
      <c r="J6" s="214" t="str">
        <f t="shared" si="0"/>
        <v>7通道热电阻模块</v>
      </c>
      <c r="K6" s="214" t="str">
        <f t="shared" si="1"/>
        <v/>
      </c>
      <c r="L6" s="214" t="s">
        <v>31</v>
      </c>
      <c r="M6" s="214"/>
      <c r="N6" s="221"/>
      <c r="O6" s="224">
        <v>4</v>
      </c>
      <c r="P6" s="225" t="s">
        <v>134</v>
      </c>
      <c r="Q6" s="224">
        <f>COUNTIF(F:F,P6)</f>
        <v>2</v>
      </c>
      <c r="R6" s="234"/>
      <c r="S6" s="235"/>
    </row>
    <row r="7" ht="18" customHeight="1" spans="1:19">
      <c r="A7" s="214">
        <v>6</v>
      </c>
      <c r="B7" s="323" t="str">
        <f t="shared" si="2"/>
        <v>3AEKC003AR</v>
      </c>
      <c r="C7" s="214">
        <v>1</v>
      </c>
      <c r="D7" s="214">
        <v>6</v>
      </c>
      <c r="E7" s="214">
        <v>6</v>
      </c>
      <c r="F7" s="214" t="str">
        <f t="array" ref="F7">IF(OR(IFERROR(SEARCH("-",E7),-1)&gt;0,E7=0),"--",IF(AND(C7=1,OR(D7=1,D7=2)),"NP204",IF(OR(D7=11,D7=12),"PM211",_xlfn.IFNA(VLOOKUP(B7&amp;C7&amp;D7,IF({1,0},IO分站清单!H:H&amp;IO分站清单!L:L&amp;IO分站清单!M:M,IO分站清单!I:I),2,FALSE),IF(AND(F6="FF211",NOT(MOD(D7,2))),"FF211","备用")))))</f>
        <v>AI221</v>
      </c>
      <c r="G7" s="214" t="str">
        <f t="array" ref="G7">IF(OR(IFERROR(SEARCH("-",E7),-1)&gt;0,E7=0),"--",IF(AND(C7=1,D7&lt;3),B7&amp;C7&amp;TEXT(D7,"00")&amp;"UC",IF(OR(D7=11,D7=12),B7&amp;C7&amp;TEXT(D7,"00")&amp;"PM",_xlfn.IFNA(VLOOKUP(B7&amp;C7&amp;D7,IF({1,0},IO分站清单!H:H&amp;IO分站清单!L:L&amp;IO分站清单!M:M,IO分站清单!K:K),2,FALSE),IF(AND(F6="FF211",F7="FF211"),B7&amp;C7&amp;TEXT(D7,"00")&amp;"FF","--")))))</f>
        <v>3AEKC003AR106TC</v>
      </c>
      <c r="H7" s="93" t="str">
        <f t="array" ref="H7">IF(F7="NP204","--",IF(OR(D7=11,D7=12),"--",_xlfn.IFNA(VLOOKUP(B7&amp;C7&amp;D7,IF({1,0},IO分站清单!H:H&amp;IO分站清单!L:L&amp;IO分站清单!M:M,IO分站清单!T:T),2,FALSE),IF(AND(F6="FF211",F7="FF211"),H6,"--"))))</f>
        <v>TB242</v>
      </c>
      <c r="I7" s="93" t="str">
        <f t="array" ref="I7">IF(AND(C7=1,OR(D7=1,D7=2)),"--",IF(OR(D7=11,D7=12),"--",_xlfn.IFNA(VLOOKUP(B7&amp;C7&amp;D7,IF({1,0},IO分站清单!H:H&amp;IO分站清单!L:L&amp;IO分站清单!M:M,IO分站清单!U:U),2,FALSE),"--")))</f>
        <v>106BN</v>
      </c>
      <c r="J7" s="214" t="str">
        <f t="shared" si="0"/>
        <v>8通道热电偶模块</v>
      </c>
      <c r="K7" s="214" t="str">
        <f t="shared" si="1"/>
        <v/>
      </c>
      <c r="L7" s="214" t="s">
        <v>31</v>
      </c>
      <c r="M7" s="214"/>
      <c r="N7" s="221"/>
      <c r="O7" s="224">
        <v>5</v>
      </c>
      <c r="P7" s="225" t="s">
        <v>135</v>
      </c>
      <c r="Q7" s="224">
        <f>COUNTIF(F:F,P7)</f>
        <v>2</v>
      </c>
      <c r="R7" s="231" t="s">
        <v>136</v>
      </c>
      <c r="S7" s="224">
        <f>COUNTIF(H:H,R7)</f>
        <v>2</v>
      </c>
    </row>
    <row r="8" ht="18" customHeight="1" spans="1:19">
      <c r="A8" s="214">
        <v>7</v>
      </c>
      <c r="B8" s="323" t="str">
        <f t="shared" si="2"/>
        <v>3AEKC003AR</v>
      </c>
      <c r="C8" s="214">
        <v>1</v>
      </c>
      <c r="D8" s="214">
        <v>7</v>
      </c>
      <c r="E8" s="214">
        <v>7</v>
      </c>
      <c r="F8" s="214" t="str">
        <f t="array" ref="F8">IF(OR(IFERROR(SEARCH("-",E8),-1)&gt;0,E8=0),"--",IF(AND(C8=1,OR(D8=1,D8=2)),"NP204",IF(OR(D8=11,D8=12),"PM211",_xlfn.IFNA(VLOOKUP(B8&amp;C8&amp;D8,IF({1,0},IO分站清单!H:H&amp;IO分站清单!L:L&amp;IO分站清单!M:M,IO分站清单!I:I),2,FALSE),IF(AND(F7="FF211",NOT(MOD(D8,2))),"FF211","备用")))))</f>
        <v>AO211</v>
      </c>
      <c r="G8" s="214" t="str">
        <f t="array" ref="G8">IF(OR(IFERROR(SEARCH("-",E8),-1)&gt;0,E8=0),"--",IF(AND(C8=1,D8&lt;3),B8&amp;C8&amp;TEXT(D8,"00")&amp;"UC",IF(OR(D8=11,D8=12),B8&amp;C8&amp;TEXT(D8,"00")&amp;"PM",_xlfn.IFNA(VLOOKUP(B8&amp;C8&amp;D8,IF({1,0},IO分站清单!H:H&amp;IO分站清单!L:L&amp;IO分站清单!M:M,IO分站清单!K:K),2,FALSE),IF(AND(F7="FF211",F8="FF211"),B8&amp;C8&amp;TEXT(D8,"00")&amp;"FF","--")))))</f>
        <v>3AEKC003AR107AO</v>
      </c>
      <c r="H8" s="93" t="str">
        <f t="array" ref="H8">IF(F8="NP204","--",IF(OR(D8=11,D8=12),"--",_xlfn.IFNA(VLOOKUP(B8&amp;C8&amp;D8,IF({1,0},IO分站清单!H:H&amp;IO分站清单!L:L&amp;IO分站清单!M:M,IO分站清单!T:T),2,FALSE),IF(AND(F7="FF211",F8="FF211"),H7,"--"))))</f>
        <v>TB251</v>
      </c>
      <c r="I8" s="93" t="str">
        <f t="array" ref="I8">IF(AND(C8=1,OR(D8=1,D8=2)),"--",IF(OR(D8=11,D8=12),"--",_xlfn.IFNA(VLOOKUP(B8&amp;C8&amp;D8,IF({1,0},IO分站清单!H:H&amp;IO分站清单!L:L&amp;IO分站清单!M:M,IO分站清单!U:U),2,FALSE),"--")))</f>
        <v>107BN</v>
      </c>
      <c r="J8" s="214" t="str">
        <f t="shared" si="0"/>
        <v>8通道模拟量输出模块</v>
      </c>
      <c r="K8" s="214" t="str">
        <f t="shared" si="1"/>
        <v/>
      </c>
      <c r="L8" s="214" t="s">
        <v>31</v>
      </c>
      <c r="M8" s="214"/>
      <c r="N8" s="221"/>
      <c r="O8" s="224">
        <v>6</v>
      </c>
      <c r="P8" s="225" t="s">
        <v>137</v>
      </c>
      <c r="Q8" s="224">
        <f>COUNTIF(F:F,P8)</f>
        <v>2</v>
      </c>
      <c r="R8" s="231" t="s">
        <v>138</v>
      </c>
      <c r="S8" s="224">
        <f>COUNTIF(H:H,R8)</f>
        <v>2</v>
      </c>
    </row>
    <row r="9" ht="18" customHeight="1" spans="1:19">
      <c r="A9" s="214">
        <v>8</v>
      </c>
      <c r="B9" s="323" t="str">
        <f t="shared" si="2"/>
        <v>3AEKC003AR</v>
      </c>
      <c r="C9" s="214">
        <v>1</v>
      </c>
      <c r="D9" s="214">
        <v>8</v>
      </c>
      <c r="E9" s="214">
        <v>8</v>
      </c>
      <c r="F9" s="214" t="str">
        <f t="array" ref="F9">IF(OR(IFERROR(SEARCH("-",E9),-1)&gt;0,E9=0),"--",IF(AND(C9=1,OR(D9=1,D9=2)),"NP204",IF(OR(D9=11,D9=12),"PM211",_xlfn.IFNA(VLOOKUP(B9&amp;C9&amp;D9,IF({1,0},IO分站清单!H:H&amp;IO分站清单!L:L&amp;IO分站清单!M:M,IO分站清单!I:I),2,FALSE),IF(AND(F8="FF211",NOT(MOD(D9,2))),"FF211","备用")))))</f>
        <v>AO215</v>
      </c>
      <c r="G9" s="214" t="str">
        <f t="array" ref="G9">IF(OR(IFERROR(SEARCH("-",E9),-1)&gt;0,E9=0),"--",IF(AND(C9=1,D9&lt;3),B9&amp;C9&amp;TEXT(D9,"00")&amp;"UC",IF(OR(D9=11,D9=12),B9&amp;C9&amp;TEXT(D9,"00")&amp;"PM",_xlfn.IFNA(VLOOKUP(B9&amp;C9&amp;D9,IF({1,0},IO分站清单!H:H&amp;IO分站清单!L:L&amp;IO分站清单!M:M,IO分站清单!K:K),2,FALSE),IF(AND(F8="FF211",F9="FF211"),B9&amp;C9&amp;TEXT(D9,"00")&amp;"FF","--")))))</f>
        <v>3AEKC003AR108AO</v>
      </c>
      <c r="H9" s="93" t="str">
        <f t="array" ref="H9">IF(F9="NP204","--",IF(OR(D9=11,D9=12),"--",_xlfn.IFNA(VLOOKUP(B9&amp;C9&amp;D9,IF({1,0},IO分站清单!H:H&amp;IO分站清单!L:L&amp;IO分站清单!M:M,IO分站清单!T:T),2,FALSE),IF(AND(F8="FF211",F9="FF211"),H8,"--"))))</f>
        <v>TB244</v>
      </c>
      <c r="I9" s="93" t="str">
        <f t="array" ref="I9">IF(AND(C9=1,OR(D9=1,D9=2)),"--",IF(OR(D9=11,D9=12),"--",_xlfn.IFNA(VLOOKUP(B9&amp;C9&amp;D9,IF({1,0},IO分站清单!H:H&amp;IO分站清单!L:L&amp;IO分站清单!M:M,IO分站清单!U:U),2,FALSE),"--")))</f>
        <v>108BN</v>
      </c>
      <c r="J9" s="214" t="str">
        <f t="shared" si="0"/>
        <v>8通道HART模拟量输出</v>
      </c>
      <c r="K9" s="214" t="str">
        <f t="shared" si="1"/>
        <v/>
      </c>
      <c r="L9" s="214" t="s">
        <v>31</v>
      </c>
      <c r="M9" s="214"/>
      <c r="N9" s="221"/>
      <c r="O9" s="224">
        <v>7</v>
      </c>
      <c r="P9" s="225" t="s">
        <v>139</v>
      </c>
      <c r="Q9" s="224">
        <f>COUNTIF(F:F,P9)</f>
        <v>2</v>
      </c>
      <c r="R9" s="231" t="s">
        <v>140</v>
      </c>
      <c r="S9" s="224">
        <f>COUNTIF(H:H,R9)</f>
        <v>2</v>
      </c>
    </row>
    <row r="10" ht="18" customHeight="1" spans="1:19">
      <c r="A10" s="214">
        <v>9</v>
      </c>
      <c r="B10" s="323" t="str">
        <f t="shared" si="2"/>
        <v>3AEKC003AR</v>
      </c>
      <c r="C10" s="214">
        <v>1</v>
      </c>
      <c r="D10" s="214">
        <v>9</v>
      </c>
      <c r="E10" s="214">
        <v>9</v>
      </c>
      <c r="F10" s="214" t="str">
        <f t="array" ref="F10">IF(OR(IFERROR(SEARCH("-",E10),-1)&gt;0,E10=0),"--",IF(AND(C10=1,OR(D10=1,D10=2)),"NP204",IF(OR(D10=11,D10=12),"PM211",_xlfn.IFNA(VLOOKUP(B10&amp;C10&amp;D10,IF({1,0},IO分站清单!H:H&amp;IO分站清单!L:L&amp;IO分站清单!M:M,IO分站清单!I:I),2,FALSE),IF(AND(F9="FF211",NOT(MOD(D10,2))),"FF211","备用")))))</f>
        <v>PI211</v>
      </c>
      <c r="G10" s="214" t="str">
        <f t="array" ref="G10">IF(OR(IFERROR(SEARCH("-",E10),-1)&gt;0,E10=0),"--",IF(AND(C10=1,D10&lt;3),B10&amp;C10&amp;TEXT(D10,"00")&amp;"UC",IF(OR(D10=11,D10=12),B10&amp;C10&amp;TEXT(D10,"00")&amp;"PM",_xlfn.IFNA(VLOOKUP(B10&amp;C10&amp;D10,IF({1,0},IO分站清单!H:H&amp;IO分站清单!L:L&amp;IO分站清单!M:M,IO分站清单!K:K),2,FALSE),IF(AND(F9="FF211",F10="FF211"),B10&amp;C10&amp;TEXT(D10,"00")&amp;"FF","--")))))</f>
        <v>3AEKC003AR109PI</v>
      </c>
      <c r="H10" s="93" t="str">
        <f t="array" ref="H10">IF(F10="NP204","--",IF(OR(D10=11,D10=12),"--",_xlfn.IFNA(VLOOKUP(B10&amp;C10&amp;D10,IF({1,0},IO分站清单!H:H&amp;IO分站清单!L:L&amp;IO分站清单!M:M,IO分站清单!T:T),2,FALSE),IF(AND(F9="FF211",F10="FF211"),H9,"--"))))</f>
        <v>TB244</v>
      </c>
      <c r="I10" s="93" t="str">
        <f t="array" ref="I10">IF(AND(C10=1,OR(D10=1,D10=2)),"--",IF(OR(D10=11,D10=12),"--",_xlfn.IFNA(VLOOKUP(B10&amp;C10&amp;D10,IF({1,0},IO分站清单!H:H&amp;IO分站清单!L:L&amp;IO分站清单!M:M,IO分站清单!U:U),2,FALSE),"--")))</f>
        <v>109BN</v>
      </c>
      <c r="J10" s="214" t="str">
        <f t="shared" si="0"/>
        <v>脉冲量输入模块</v>
      </c>
      <c r="K10" s="214" t="str">
        <f t="shared" si="1"/>
        <v/>
      </c>
      <c r="L10" s="214" t="s">
        <v>31</v>
      </c>
      <c r="M10" s="214"/>
      <c r="N10" s="221"/>
      <c r="O10" s="224">
        <v>8</v>
      </c>
      <c r="P10" s="225" t="s">
        <v>141</v>
      </c>
      <c r="Q10" s="224">
        <f>COUNTIF(F:F,P10)</f>
        <v>8</v>
      </c>
      <c r="R10" s="224" t="s">
        <v>142</v>
      </c>
      <c r="S10" s="224">
        <f>COUNTIF(H:H,R10)</f>
        <v>8</v>
      </c>
    </row>
    <row r="11" ht="18" customHeight="1" spans="1:19">
      <c r="A11" s="214">
        <v>10</v>
      </c>
      <c r="B11" s="323" t="str">
        <f t="shared" si="2"/>
        <v>3AEKC003AR</v>
      </c>
      <c r="C11" s="214">
        <v>1</v>
      </c>
      <c r="D11" s="214">
        <v>10</v>
      </c>
      <c r="E11" s="214" t="s">
        <v>143</v>
      </c>
      <c r="F11" s="214" t="str">
        <f t="array" ref="F11">IF(OR(IFERROR(SEARCH("-",E11),-1)&gt;0,E11=0),"--",IF(AND(C11=1,OR(D11=1,D11=2)),"NP204",IF(OR(D11=11,D11=12),"PM211",_xlfn.IFNA(VLOOKUP(B11&amp;C11&amp;D11,IF({1,0},IO分站清单!H:H&amp;IO分站清单!L:L&amp;IO分站清单!M:M,IO分站清单!I:I),2,FALSE),IF(AND(F10="FF211",NOT(MOD(D11,2))),"FF211","备用")))))</f>
        <v>备用</v>
      </c>
      <c r="G11" s="214" t="str">
        <f t="array" ref="G11">IF(OR(IFERROR(SEARCH("-",E11),-1)&gt;0,E11=0),"--",IF(AND(C11=1,D11&lt;3),B11&amp;C11&amp;TEXT(D11,"00")&amp;"UC",IF(OR(D11=11,D11=12),B11&amp;C11&amp;TEXT(D11,"00")&amp;"PM",_xlfn.IFNA(VLOOKUP(B11&amp;C11&amp;D11,IF({1,0},IO分站清单!H:H&amp;IO分站清单!L:L&amp;IO分站清单!M:M,IO分站清单!K:K),2,FALSE),IF(AND(F10="FF211",F11="FF211"),B11&amp;C11&amp;TEXT(D11,"00")&amp;"FF","--")))))</f>
        <v>--</v>
      </c>
      <c r="H11" s="93" t="str">
        <f t="array" ref="H11">IF(F11="NP204","--",IF(OR(D11=11,D11=12),"--",_xlfn.IFNA(VLOOKUP(B11&amp;C11&amp;D11,IF({1,0},IO分站清单!H:H&amp;IO分站清单!L:L&amp;IO分站清单!M:M,IO分站清单!T:T),2,FALSE),IF(AND(F10="FF211",F11="FF211"),H10,"--"))))</f>
        <v>--</v>
      </c>
      <c r="I11" s="93" t="str">
        <f t="array" ref="I11">IF(AND(C11=1,OR(D11=1,D11=2)),"--",IF(OR(D11=11,D11=12),"--",_xlfn.IFNA(VLOOKUP(B11&amp;C11&amp;D11,IF({1,0},IO分站清单!H:H&amp;IO分站清单!L:L&amp;IO分站清单!M:M,IO分站清单!U:U),2,FALSE),"--")))</f>
        <v>--</v>
      </c>
      <c r="J11" s="214" t="str">
        <f t="shared" si="0"/>
        <v>--</v>
      </c>
      <c r="K11" s="214" t="str">
        <f t="shared" si="1"/>
        <v/>
      </c>
      <c r="L11" s="214" t="s">
        <v>31</v>
      </c>
      <c r="M11" s="214"/>
      <c r="N11" s="221"/>
      <c r="O11" s="224">
        <v>9</v>
      </c>
      <c r="P11" s="225" t="s">
        <v>144</v>
      </c>
      <c r="Q11" s="224">
        <f>COUNTIF(F:F,P11)</f>
        <v>4</v>
      </c>
      <c r="R11" s="224" t="s">
        <v>145</v>
      </c>
      <c r="S11" s="224">
        <f>COUNTIF(H:H,R11)</f>
        <v>4</v>
      </c>
    </row>
    <row r="12" ht="18" customHeight="1" spans="1:19">
      <c r="A12" s="214">
        <v>11</v>
      </c>
      <c r="B12" s="323" t="str">
        <f t="shared" si="2"/>
        <v>3AEKC003AR</v>
      </c>
      <c r="C12" s="214">
        <v>1</v>
      </c>
      <c r="D12" s="214">
        <v>11</v>
      </c>
      <c r="E12" s="214" t="s">
        <v>146</v>
      </c>
      <c r="F12" s="214" t="str">
        <f t="array" ref="F12">IF(OR(IFERROR(SEARCH("-",E12),-1)&gt;0,E12=0),"--",IF(AND(C12=1,OR(D12=1,D12=2)),"NP204",IF(OR(D12=11,D12=12),"PM211",_xlfn.IFNA(VLOOKUP(B12&amp;C12&amp;D12,IF({1,0},IO分站清单!H:H&amp;IO分站清单!L:L&amp;IO分站清单!M:M,IO分站清单!I:I),2,FALSE),IF(AND(F11="FF211",NOT(MOD(D12,2))),"FF211","备用")))))</f>
        <v>PM211</v>
      </c>
      <c r="G12" s="214" t="str">
        <f t="array" ref="G12">IF(OR(IFERROR(SEARCH("-",E12),-1)&gt;0,E12=0),"--",IF(AND(C12=1,D12&lt;3),B12&amp;C12&amp;TEXT(D12,"00")&amp;"UC",IF(OR(D12=11,D12=12),B12&amp;C12&amp;TEXT(D12,"00")&amp;"PM",_xlfn.IFNA(VLOOKUP(B12&amp;C12&amp;D12,IF({1,0},IO分站清单!H:H&amp;IO分站清单!L:L&amp;IO分站清单!M:M,IO分站清单!K:K),2,FALSE),IF(AND(F11="FF211",F12="FF211"),B12&amp;C12&amp;TEXT(D12,"00")&amp;"FF","--")))))</f>
        <v>3AEKC003AR111PM</v>
      </c>
      <c r="H12" s="93" t="str">
        <f t="array" ref="H12">IF(F12="NP204","--",IF(OR(D12=11,D12=12),"--",_xlfn.IFNA(VLOOKUP(B12&amp;C12&amp;D12,IF({1,0},IO分站清单!H:H&amp;IO分站清单!L:L&amp;IO分站清单!M:M,IO分站清单!T:T),2,FALSE),IF(AND(F11="FF211",F12="FF211"),H11,"--"))))</f>
        <v>--</v>
      </c>
      <c r="I12" s="93" t="str">
        <f t="array" ref="I12">IF(AND(C12=1,OR(D12=1,D12=2)),"--",IF(OR(D12=11,D12=12),"--",_xlfn.IFNA(VLOOKUP(B12&amp;C12&amp;D12,IF({1,0},IO分站清单!H:H&amp;IO分站清单!L:L&amp;IO分站清单!M:M,IO分站清单!U:U),2,FALSE),"--")))</f>
        <v>--</v>
      </c>
      <c r="J12" s="214" t="str">
        <f t="shared" si="0"/>
        <v>DC24V电源板卡</v>
      </c>
      <c r="K12" s="214" t="str">
        <f t="shared" si="1"/>
        <v/>
      </c>
      <c r="L12" s="214" t="s">
        <v>31</v>
      </c>
      <c r="M12" s="214"/>
      <c r="N12" s="221"/>
      <c r="O12" s="224">
        <v>10</v>
      </c>
      <c r="P12" s="225" t="s">
        <v>147</v>
      </c>
      <c r="Q12" s="224">
        <f>COUNTIF(F:F,P12)</f>
        <v>2</v>
      </c>
      <c r="R12" s="232" t="s">
        <v>148</v>
      </c>
      <c r="S12" s="233">
        <f>COUNTIF(H:H,R12)</f>
        <v>6</v>
      </c>
    </row>
    <row r="13" ht="18" customHeight="1" spans="1:19">
      <c r="A13" s="215">
        <v>12</v>
      </c>
      <c r="B13" s="324" t="str">
        <f t="shared" si="2"/>
        <v>3AEKC003AR</v>
      </c>
      <c r="C13" s="215">
        <v>1</v>
      </c>
      <c r="D13" s="215">
        <v>12</v>
      </c>
      <c r="E13" s="215" t="s">
        <v>149</v>
      </c>
      <c r="F13" s="215" t="str">
        <f t="array" ref="F13">IF(OR(IFERROR(SEARCH("-",E13),-1)&gt;0,E13=0),"--",IF(AND(C13=1,OR(D13=1,D13=2)),"NP204",IF(OR(D13=11,D13=12),"PM211",_xlfn.IFNA(VLOOKUP(B13&amp;C13&amp;D13,IF({1,0},IO分站清单!H:H&amp;IO分站清单!L:L&amp;IO分站清单!M:M,IO分站清单!I:I),2,FALSE),IF(AND(F12="FF211",NOT(MOD(D13,2))),"FF211","备用")))))</f>
        <v>PM211</v>
      </c>
      <c r="G13" s="215" t="str">
        <f t="array" ref="G13">IF(OR(IFERROR(SEARCH("-",E13),-1)&gt;0,E13=0),"--",IF(AND(C13=1,D13&lt;3),B13&amp;C13&amp;TEXT(D13,"00")&amp;"UC",IF(OR(D13=11,D13=12),B13&amp;C13&amp;TEXT(D13,"00")&amp;"PM",_xlfn.IFNA(VLOOKUP(B13&amp;C13&amp;D13,IF({1,0},IO分站清单!H:H&amp;IO分站清单!L:L&amp;IO分站清单!M:M,IO分站清单!K:K),2,FALSE),IF(AND(F12="FF211",F13="FF211"),B13&amp;C13&amp;TEXT(D13,"00")&amp;"FF","--")))))</f>
        <v>3AEKC003AR112PM</v>
      </c>
      <c r="H13" s="216" t="str">
        <f t="array" ref="H13">IF(F13="NP204","--",IF(OR(D13=11,D13=12),"--",_xlfn.IFNA(VLOOKUP(B13&amp;C13&amp;D13,IF({1,0},IO分站清单!H:H&amp;IO分站清单!L:L&amp;IO分站清单!M:M,IO分站清单!T:T),2,FALSE),IF(AND(F12="FF211",F13="FF211"),H12,"--"))))</f>
        <v>--</v>
      </c>
      <c r="I13" s="216" t="str">
        <f t="array" ref="I13">IF(AND(C13=1,OR(D13=1,D13=2)),"--",IF(OR(D13=11,D13=12),"--",_xlfn.IFNA(VLOOKUP(B13&amp;C13&amp;D13,IF({1,0},IO分站清单!H:H&amp;IO分站清单!L:L&amp;IO分站清单!M:M,IO分站清单!U:U),2,FALSE),"--")))</f>
        <v>--</v>
      </c>
      <c r="J13" s="215" t="str">
        <f t="shared" si="0"/>
        <v>DC24V电源板卡</v>
      </c>
      <c r="K13" s="215" t="str">
        <f t="shared" si="1"/>
        <v/>
      </c>
      <c r="L13" s="215" t="s">
        <v>31</v>
      </c>
      <c r="M13" s="215"/>
      <c r="N13" s="221"/>
      <c r="O13" s="224">
        <v>11</v>
      </c>
      <c r="P13" s="225" t="s">
        <v>150</v>
      </c>
      <c r="Q13" s="224">
        <f>COUNTIF(F:F,P13)</f>
        <v>2</v>
      </c>
      <c r="R13" s="236"/>
      <c r="S13" s="237"/>
    </row>
    <row r="14" ht="18" customHeight="1" spans="1:19">
      <c r="A14" s="217">
        <v>13</v>
      </c>
      <c r="B14" s="325" t="str">
        <f t="shared" si="2"/>
        <v>3AEKC003AR</v>
      </c>
      <c r="C14" s="217">
        <v>2</v>
      </c>
      <c r="D14" s="217">
        <v>1</v>
      </c>
      <c r="E14" s="217">
        <f t="shared" ref="E4:E37" si="3">IF(AND(C14=1,D14&lt;3),"",IF(D14&lt;10,(C14-1)*10+D14,IF(D14=10,(C14-1)&amp;"A",IF(D14=11,(C14-1)&amp;"B",(C14-1)&amp;"C"))))</f>
        <v>11</v>
      </c>
      <c r="F14" s="217" t="str">
        <f t="array" ref="F14">IF(OR(IFERROR(SEARCH("-",E14),-1)&gt;0,E14=0),"--",IF(AND(C14=1,OR(D14=1,D14=2)),"NP204",IF(OR(D14=11,D14=12),"PM211",_xlfn.IFNA(VLOOKUP(B14&amp;C14&amp;D14,IF({1,0},IO分站清单!H:H&amp;IO分站清单!L:L&amp;IO分站清单!M:M,IO分站清单!I:I),2,FALSE),IF(AND(F13="FF211",NOT(MOD(D14,2))),"FF211","备用")))))</f>
        <v>DI211</v>
      </c>
      <c r="G14" s="217" t="str">
        <f t="array" ref="G14">IF(OR(IFERROR(SEARCH("-",E14),-1)&gt;0,E14=0),"--",IF(AND(C14=1,D14&lt;3),B14&amp;C14&amp;TEXT(D14,"00")&amp;"UC",IF(OR(D14=11,D14=12),B14&amp;C14&amp;TEXT(D14,"00")&amp;"PM",_xlfn.IFNA(VLOOKUP(B14&amp;C14&amp;D14,IF({1,0},IO分站清单!H:H&amp;IO分站清单!L:L&amp;IO分站清单!M:M,IO分站清单!K:K),2,FALSE),IF(AND(F13="FF211",F14="FF211"),B14&amp;C14&amp;TEXT(D14,"00")&amp;"FF","--")))))</f>
        <v>3AEKC003AR201DI</v>
      </c>
      <c r="H14" s="218" t="str">
        <f t="array" ref="H14">IF(F14="NP204","--",IF(OR(D14=11,D14=12),"--",_xlfn.IFNA(VLOOKUP(B14&amp;C14&amp;D14,IF({1,0},IO分站清单!H:H&amp;IO分站清单!L:L&amp;IO分站清单!M:M,IO分站清单!T:T),2,FALSE),IF(AND(F13="FF211",F14="FF211"),H13,"--"))))</f>
        <v>TB222</v>
      </c>
      <c r="I14" s="218" t="str">
        <f t="array" ref="I14">IF(AND(C14=1,OR(D14=1,D14=2)),"--",IF(OR(D14=11,D14=12),"--",_xlfn.IFNA(VLOOKUP(B14&amp;C14&amp;D14,IF({1,0},IO分站清单!H:H&amp;IO分站清单!L:L&amp;IO分站清单!M:M,IO分站清单!U:U),2,FALSE),"--")))</f>
        <v>201BN</v>
      </c>
      <c r="J14" s="217" t="str">
        <f t="shared" si="0"/>
        <v>16通道开关量输入模块</v>
      </c>
      <c r="K14" s="217" t="str">
        <f t="shared" si="1"/>
        <v/>
      </c>
      <c r="L14" s="217" t="s">
        <v>31</v>
      </c>
      <c r="M14" s="217"/>
      <c r="N14" s="221"/>
      <c r="O14" s="224">
        <v>12</v>
      </c>
      <c r="P14" s="225" t="s">
        <v>151</v>
      </c>
      <c r="Q14" s="224">
        <f>COUNTIF(F:F,P14)</f>
        <v>2</v>
      </c>
      <c r="R14" s="236"/>
      <c r="S14" s="237"/>
    </row>
    <row r="15" ht="18" customHeight="1" spans="1:19">
      <c r="A15" s="214">
        <v>14</v>
      </c>
      <c r="B15" s="323" t="str">
        <f t="shared" si="2"/>
        <v>3AEKC003AR</v>
      </c>
      <c r="C15" s="214">
        <v>2</v>
      </c>
      <c r="D15" s="214">
        <v>2</v>
      </c>
      <c r="E15" s="214">
        <f t="shared" si="3"/>
        <v>12</v>
      </c>
      <c r="F15" s="214" t="str">
        <f t="array" ref="F15">IF(OR(IFERROR(SEARCH("-",E15),-1)&gt;0,E15=0),"--",IF(AND(C15=1,OR(D15=1,D15=2)),"NP204",IF(OR(D15=11,D15=12),"PM211",_xlfn.IFNA(VLOOKUP(B15&amp;C15&amp;D15,IF({1,0},IO分站清单!H:H&amp;IO分站清单!L:L&amp;IO分站清单!M:M,IO分站清单!I:I),2,FALSE),IF(AND(F14="FF211",NOT(MOD(D15,2))),"FF211","备用")))))</f>
        <v>DI211</v>
      </c>
      <c r="G15" s="214" t="str">
        <f t="array" ref="G15">IF(OR(IFERROR(SEARCH("-",E15),-1)&gt;0,E15=0),"--",IF(AND(C15=1,D15&lt;3),B15&amp;C15&amp;TEXT(D15,"00")&amp;"UC",IF(OR(D15=11,D15=12),B15&amp;C15&amp;TEXT(D15,"00")&amp;"PM",_xlfn.IFNA(VLOOKUP(B15&amp;C15&amp;D15,IF({1,0},IO分站清单!H:H&amp;IO分站清单!L:L&amp;IO分站清单!M:M,IO分站清单!K:K),2,FALSE),IF(AND(F14="FF211",F15="FF211"),B15&amp;C15&amp;TEXT(D15,"00")&amp;"FF","--")))))</f>
        <v>3AEKC003AR202DI</v>
      </c>
      <c r="H15" s="93" t="str">
        <f t="array" ref="H15">IF(F15="NP204","--",IF(OR(D15=11,D15=12),"--",_xlfn.IFNA(VLOOKUP(B15&amp;C15&amp;D15,IF({1,0},IO分站清单!H:H&amp;IO分站清单!L:L&amp;IO分站清单!M:M,IO分站清单!T:T),2,FALSE),IF(AND(F14="FF211",F15="FF211"),H14,"--"))))</f>
        <v>TB221</v>
      </c>
      <c r="I15" s="93" t="str">
        <f t="array" ref="I15">IF(AND(C15=1,OR(D15=1,D15=2)),"--",IF(OR(D15=11,D15=12),"--",_xlfn.IFNA(VLOOKUP(B15&amp;C15&amp;D15,IF({1,0},IO分站清单!H:H&amp;IO分站清单!L:L&amp;IO分站清单!M:M,IO分站清单!U:U),2,FALSE),"--")))</f>
        <v>202BN</v>
      </c>
      <c r="J15" s="214" t="str">
        <f t="shared" si="0"/>
        <v>16通道开关量输入模块</v>
      </c>
      <c r="K15" s="214" t="str">
        <f t="shared" si="1"/>
        <v/>
      </c>
      <c r="L15" s="214" t="s">
        <v>31</v>
      </c>
      <c r="M15" s="214"/>
      <c r="N15" s="221"/>
      <c r="O15" s="224">
        <v>13</v>
      </c>
      <c r="P15" s="226" t="s">
        <v>152</v>
      </c>
      <c r="Q15" s="233">
        <f>COUNTIF(F:F,P15)</f>
        <v>4</v>
      </c>
      <c r="R15" s="231" t="s">
        <v>153</v>
      </c>
      <c r="S15" s="224">
        <f>COUNTIF(H:H,R15)</f>
        <v>2</v>
      </c>
    </row>
    <row r="16" ht="18" customHeight="1" spans="1:19">
      <c r="A16" s="214">
        <v>15</v>
      </c>
      <c r="B16" s="323" t="str">
        <f t="shared" si="2"/>
        <v>3AEKC003AR</v>
      </c>
      <c r="C16" s="214">
        <v>2</v>
      </c>
      <c r="D16" s="214">
        <v>3</v>
      </c>
      <c r="E16" s="214">
        <f t="shared" si="3"/>
        <v>13</v>
      </c>
      <c r="F16" s="214" t="str">
        <f t="array" ref="F16">IF(OR(IFERROR(SEARCH("-",E16),-1)&gt;0,E16=0),"--",IF(AND(C16=1,OR(D16=1,D16=2)),"NP204",IF(OR(D16=11,D16=12),"PM211",_xlfn.IFNA(VLOOKUP(B16&amp;C16&amp;D16,IF({1,0},IO分站清单!H:H&amp;IO分站清单!L:L&amp;IO分站清单!M:M,IO分站清单!I:I),2,FALSE),IF(AND(F15="FF211",NOT(MOD(D16,2))),"FF211","备用")))))</f>
        <v>DO211</v>
      </c>
      <c r="G16" s="214" t="str">
        <f t="array" ref="G16">IF(OR(IFERROR(SEARCH("-",E16),-1)&gt;0,E16=0),"--",IF(AND(C16=1,D16&lt;3),B16&amp;C16&amp;TEXT(D16,"00")&amp;"UC",IF(OR(D16=11,D16=12),B16&amp;C16&amp;TEXT(D16,"00")&amp;"PM",_xlfn.IFNA(VLOOKUP(B16&amp;C16&amp;D16,IF({1,0},IO分站清单!H:H&amp;IO分站清单!L:L&amp;IO分站清单!M:M,IO分站清单!K:K),2,FALSE),IF(AND(F15="FF211",F16="FF211"),B16&amp;C16&amp;TEXT(D16,"00")&amp;"FF","--")))))</f>
        <v>3AEKC003AR203DO</v>
      </c>
      <c r="H16" s="93" t="str">
        <f t="array" ref="H16">IF(F16="NP204","--",IF(OR(D16=11,D16=12),"--",_xlfn.IFNA(VLOOKUP(B16&amp;C16&amp;D16,IF({1,0},IO分站清单!H:H&amp;IO分站清单!L:L&amp;IO分站清单!M:M,IO分站清单!T:T),2,FALSE),IF(AND(F15="FF211",F16="FF211"),H15,"--"))))</f>
        <v>TB233</v>
      </c>
      <c r="I16" s="93" t="str">
        <f t="array" ref="I16">IF(AND(C16=1,OR(D16=1,D16=2)),"--",IF(OR(D16=11,D16=12),"--",_xlfn.IFNA(VLOOKUP(B16&amp;C16&amp;D16,IF({1,0},IO分站清单!H:H&amp;IO分站清单!L:L&amp;IO分站清单!M:M,IO分站清单!U:U),2,FALSE),"--")))</f>
        <v>203BN</v>
      </c>
      <c r="J16" s="214" t="str">
        <f t="shared" si="0"/>
        <v>16通道开关量输出模块</v>
      </c>
      <c r="K16" s="214" t="str">
        <f t="shared" si="1"/>
        <v/>
      </c>
      <c r="L16" s="214" t="s">
        <v>31</v>
      </c>
      <c r="M16" s="214"/>
      <c r="N16" s="221"/>
      <c r="O16" s="224">
        <v>14</v>
      </c>
      <c r="P16" s="227"/>
      <c r="Q16" s="28"/>
      <c r="R16" s="231" t="s">
        <v>154</v>
      </c>
      <c r="S16" s="224">
        <f>COUNTIF(H:H,R16)</f>
        <v>2</v>
      </c>
    </row>
    <row r="17" ht="18" customHeight="1" spans="1:19">
      <c r="A17" s="214">
        <v>16</v>
      </c>
      <c r="B17" s="323" t="str">
        <f t="shared" si="2"/>
        <v>3AEKC003AR</v>
      </c>
      <c r="C17" s="214">
        <v>2</v>
      </c>
      <c r="D17" s="214">
        <v>4</v>
      </c>
      <c r="E17" s="214">
        <f t="shared" si="3"/>
        <v>14</v>
      </c>
      <c r="F17" s="214" t="str">
        <f t="array" ref="F17">IF(OR(IFERROR(SEARCH("-",E17),-1)&gt;0,E17=0),"--",IF(AND(C17=1,OR(D17=1,D17=2)),"NP204",IF(OR(D17=11,D17=12),"PM211",_xlfn.IFNA(VLOOKUP(B17&amp;C17&amp;D17,IF({1,0},IO分站清单!H:H&amp;IO分站清单!L:L&amp;IO分站清单!M:M,IO分站清单!I:I),2,FALSE),IF(AND(F16="FF211",NOT(MOD(D17,2))),"FF211","备用")))))</f>
        <v>DO211</v>
      </c>
      <c r="G17" s="214" t="str">
        <f t="array" ref="G17">IF(OR(IFERROR(SEARCH("-",E17),-1)&gt;0,E17=0),"--",IF(AND(C17=1,D17&lt;3),B17&amp;C17&amp;TEXT(D17,"00")&amp;"UC",IF(OR(D17=11,D17=12),B17&amp;C17&amp;TEXT(D17,"00")&amp;"PM",_xlfn.IFNA(VLOOKUP(B17&amp;C17&amp;D17,IF({1,0},IO分站清单!H:H&amp;IO分站清单!L:L&amp;IO分站清单!M:M,IO分站清单!K:K),2,FALSE),IF(AND(F16="FF211",F17="FF211"),B17&amp;C17&amp;TEXT(D17,"00")&amp;"FF","--")))))</f>
        <v>3AEKC003AR204DO</v>
      </c>
      <c r="H17" s="93" t="str">
        <f t="array" ref="H17">IF(F17="NP204","--",IF(OR(D17=11,D17=12),"--",_xlfn.IFNA(VLOOKUP(B17&amp;C17&amp;D17,IF({1,0},IO分站清单!H:H&amp;IO分站清单!L:L&amp;IO分站清单!M:M,IO分站清单!T:T),2,FALSE),IF(AND(F16="FF211",F17="FF211"),H16,"--"))))</f>
        <v>TB231</v>
      </c>
      <c r="I17" s="93" t="str">
        <f t="array" ref="I17">IF(AND(C17=1,OR(D17=1,D17=2)),"--",IF(OR(D17=11,D17=12),"--",_xlfn.IFNA(VLOOKUP(B17&amp;C17&amp;D17,IF({1,0},IO分站清单!H:H&amp;IO分站清单!L:L&amp;IO分站清单!M:M,IO分站清单!U:U),2,FALSE),"--")))</f>
        <v>204BN</v>
      </c>
      <c r="J17" s="214" t="str">
        <f t="shared" si="0"/>
        <v>16通道开关量输出模块</v>
      </c>
      <c r="K17" s="214" t="str">
        <f t="shared" si="1"/>
        <v/>
      </c>
      <c r="L17" s="214" t="s">
        <v>31</v>
      </c>
      <c r="M17" s="214"/>
      <c r="N17" s="221"/>
      <c r="O17" s="224">
        <v>15</v>
      </c>
      <c r="P17" s="226" t="s">
        <v>155</v>
      </c>
      <c r="Q17" s="233">
        <f>COUNTIF(F:F,P17)</f>
        <v>4</v>
      </c>
      <c r="R17" s="231" t="s">
        <v>156</v>
      </c>
      <c r="S17" s="224">
        <f>COUNTIF(H:H,R17)</f>
        <v>2</v>
      </c>
    </row>
    <row r="18" ht="18" customHeight="1" spans="1:19">
      <c r="A18" s="214">
        <v>17</v>
      </c>
      <c r="B18" s="323" t="str">
        <f t="shared" si="2"/>
        <v>3AEKC003AR</v>
      </c>
      <c r="C18" s="214">
        <v>2</v>
      </c>
      <c r="D18" s="214">
        <v>5</v>
      </c>
      <c r="E18" s="214">
        <f t="shared" si="3"/>
        <v>15</v>
      </c>
      <c r="F18" s="214" t="str">
        <f t="array" ref="F18">IF(OR(IFERROR(SEARCH("-",E18),-1)&gt;0,E18=0),"--",IF(AND(C18=1,OR(D18=1,D18=2)),"NP204",IF(OR(D18=11,D18=12),"PM211",_xlfn.IFNA(VLOOKUP(B18&amp;C18&amp;D18,IF({1,0},IO分站清单!H:H&amp;IO分站清单!L:L&amp;IO分站清单!M:M,IO分站清单!I:I),2,FALSE),IF(AND(F17="FF211",NOT(MOD(D18,2))),"FF211","备用")))))</f>
        <v>FF211</v>
      </c>
      <c r="G18" s="214" t="str">
        <f t="array" ref="G18">IF(OR(IFERROR(SEARCH("-",E18),-1)&gt;0,E18=0),"--",IF(AND(C18=1,D18&lt;3),B18&amp;C18&amp;TEXT(D18,"00")&amp;"UC",IF(OR(D18=11,D18=12),B18&amp;C18&amp;TEXT(D18,"00")&amp;"PM",_xlfn.IFNA(VLOOKUP(B18&amp;C18&amp;D18,IF({1,0},IO分站清单!H:H&amp;IO分站清单!L:L&amp;IO分站清单!M:M,IO分站清单!K:K),2,FALSE),IF(AND(F17="FF211",F18="FF211"),B18&amp;C18&amp;TEXT(D18,"00")&amp;"FF","--")))))</f>
        <v>3AEKC003AR205FF</v>
      </c>
      <c r="H18" s="93" t="str">
        <f t="array" ref="H18">IF(F18="NP204","--",IF(OR(D18=11,D18=12),"--",_xlfn.IFNA(VLOOKUP(B18&amp;C18&amp;D18,IF({1,0},IO分站清单!H:H&amp;IO分站清单!L:L&amp;IO分站清单!M:M,IO分站清单!T:T),2,FALSE),IF(AND(F17="FF211",F18="FF211"),H17,"--"))))</f>
        <v>TB271</v>
      </c>
      <c r="I18" s="93" t="str">
        <f t="array" ref="I18">IF(AND(C18=1,OR(D18=1,D18=2)),"--",IF(OR(D18=11,D18=12),"--",_xlfn.IFNA(VLOOKUP(B18&amp;C18&amp;D18,IF({1,0},IO分站清单!H:H&amp;IO分站清单!L:L&amp;IO分站清单!M:M,IO分站清单!U:U),2,FALSE),"--")))</f>
        <v>205_1FI</v>
      </c>
      <c r="J18" s="214" t="str">
        <f t="shared" si="0"/>
        <v>FF H1网关通信模块</v>
      </c>
      <c r="K18" s="214" t="str">
        <f t="shared" si="1"/>
        <v>冗余</v>
      </c>
      <c r="L18" s="214" t="s">
        <v>31</v>
      </c>
      <c r="M18" s="214"/>
      <c r="N18" s="221"/>
      <c r="O18" s="224">
        <v>16</v>
      </c>
      <c r="P18" s="28"/>
      <c r="Q18" s="28"/>
      <c r="R18" s="231" t="s">
        <v>157</v>
      </c>
      <c r="S18" s="224">
        <f>COUNTIF(H:H,R18)</f>
        <v>2</v>
      </c>
    </row>
    <row r="19" ht="18" customHeight="1" spans="1:19">
      <c r="A19" s="214">
        <v>18</v>
      </c>
      <c r="B19" s="323" t="str">
        <f t="shared" si="2"/>
        <v>3AEKC003AR</v>
      </c>
      <c r="C19" s="214">
        <v>2</v>
      </c>
      <c r="D19" s="214">
        <v>6</v>
      </c>
      <c r="E19" s="214">
        <f t="shared" si="3"/>
        <v>16</v>
      </c>
      <c r="F19" s="214" t="str">
        <f t="array" ref="F19">IF(OR(IFERROR(SEARCH("-",E19),-1)&gt;0,E19=0),"--",IF(AND(C19=1,OR(D19=1,D19=2)),"NP204",IF(OR(D19=11,D19=12),"PM211",_xlfn.IFNA(VLOOKUP(B19&amp;C19&amp;D19,IF({1,0},IO分站清单!H:H&amp;IO分站清单!L:L&amp;IO分站清单!M:M,IO分站清单!I:I),2,FALSE),IF(AND(F18="FF211",NOT(MOD(D19,2))),"FF211","备用")))))</f>
        <v>FF211</v>
      </c>
      <c r="G19" s="214" t="str">
        <f t="array" ref="G19">IF(OR(IFERROR(SEARCH("-",E19),-1)&gt;0,E19=0),"--",IF(AND(C19=1,D19&lt;3),B19&amp;C19&amp;TEXT(D19,"00")&amp;"UC",IF(OR(D19=11,D19=12),B19&amp;C19&amp;TEXT(D19,"00")&amp;"PM",_xlfn.IFNA(VLOOKUP(B19&amp;C19&amp;D19,IF({1,0},IO分站清单!H:H&amp;IO分站清单!L:L&amp;IO分站清单!M:M,IO分站清单!K:K),2,FALSE),IF(AND(F18="FF211",F19="FF211"),B19&amp;C19&amp;TEXT(D19,"00")&amp;"FF","--")))))</f>
        <v>3AEKC003AR206FF</v>
      </c>
      <c r="H19" s="93" t="str">
        <f t="array" ref="H19">IF(F19="NP204","--",IF(OR(D19=11,D19=12),"--",_xlfn.IFNA(VLOOKUP(B19&amp;C19&amp;D19,IF({1,0},IO分站清单!H:H&amp;IO分站清单!L:L&amp;IO分站清单!M:M,IO分站清单!T:T),2,FALSE),IF(AND(F18="FF211",F19="FF211"),H18,"--"))))</f>
        <v>TB271</v>
      </c>
      <c r="I19" s="93" t="str">
        <f t="array" ref="I19">IF(AND(C19=1,OR(D19=1,D19=2)),"--",IF(OR(D19=11,D19=12),"--",_xlfn.IFNA(VLOOKUP(B19&amp;C19&amp;D19,IF({1,0},IO分站清单!H:H&amp;IO分站清单!L:L&amp;IO分站清单!M:M,IO分站清单!U:U),2,FALSE),"--")))</f>
        <v>--</v>
      </c>
      <c r="J19" s="214" t="str">
        <f t="shared" si="0"/>
        <v>FF H1网关通信模块</v>
      </c>
      <c r="K19" s="214" t="str">
        <f t="shared" si="1"/>
        <v/>
      </c>
      <c r="L19" s="214" t="s">
        <v>31</v>
      </c>
      <c r="M19" s="214"/>
      <c r="N19" s="221"/>
      <c r="O19" s="224">
        <v>17</v>
      </c>
      <c r="P19" s="225" t="s">
        <v>158</v>
      </c>
      <c r="Q19" s="224">
        <f>COUNTIF(F:F,P19)</f>
        <v>2</v>
      </c>
      <c r="R19" s="231" t="s">
        <v>130</v>
      </c>
      <c r="S19" s="231" t="s">
        <v>130</v>
      </c>
    </row>
    <row r="20" ht="18" customHeight="1" spans="1:19">
      <c r="A20" s="214">
        <v>19</v>
      </c>
      <c r="B20" s="323" t="str">
        <f t="shared" si="2"/>
        <v>3AEKC003AR</v>
      </c>
      <c r="C20" s="214">
        <v>2</v>
      </c>
      <c r="D20" s="214">
        <v>7</v>
      </c>
      <c r="E20" s="214">
        <f t="shared" si="3"/>
        <v>17</v>
      </c>
      <c r="F20" s="214" t="str">
        <f t="array" ref="F20">IF(OR(IFERROR(SEARCH("-",E20),-1)&gt;0,E20=0),"--",IF(AND(C20=1,OR(D20=1,D20=2)),"NP204",IF(OR(D20=11,D20=12),"PM211",_xlfn.IFNA(VLOOKUP(B20&amp;C20&amp;D20,IF({1,0},IO分站清单!H:H&amp;IO分站清单!L:L&amp;IO分站清单!M:M,IO分站清单!I:I),2,FALSE),IF(AND(F19="FF211",NOT(MOD(D20,2))),"FF211","备用")))))</f>
        <v>FF211</v>
      </c>
      <c r="G20" s="214" t="str">
        <f t="array" ref="G20">IF(OR(IFERROR(SEARCH("-",E20),-1)&gt;0,E20=0),"--",IF(AND(C20=1,D20&lt;3),B20&amp;C20&amp;TEXT(D20,"00")&amp;"UC",IF(OR(D20=11,D20=12),B20&amp;C20&amp;TEXT(D20,"00")&amp;"PM",_xlfn.IFNA(VLOOKUP(B20&amp;C20&amp;D20,IF({1,0},IO分站清单!H:H&amp;IO分站清单!L:L&amp;IO分站清单!M:M,IO分站清单!K:K),2,FALSE),IF(AND(F19="FF211",F20="FF211"),B20&amp;C20&amp;TEXT(D20,"00")&amp;"FF","--")))))</f>
        <v>3AEKC003AR207FF</v>
      </c>
      <c r="H20" s="93" t="str">
        <f t="array" ref="H20">IF(F20="NP204","--",IF(OR(D20=11,D20=12),"--",_xlfn.IFNA(VLOOKUP(B20&amp;C20&amp;D20,IF({1,0},IO分站清单!H:H&amp;IO分站清单!L:L&amp;IO分站清单!M:M,IO分站清单!T:T),2,FALSE),IF(AND(F19="FF211",F20="FF211"),H19,"--"))))</f>
        <v>TB271</v>
      </c>
      <c r="I20" s="93" t="str">
        <f t="array" ref="I20">IF(AND(C20=1,OR(D20=1,D20=2)),"--",IF(OR(D20=11,D20=12),"--",_xlfn.IFNA(VLOOKUP(B20&amp;C20&amp;D20,IF({1,0},IO分站清单!H:H&amp;IO分站清单!L:L&amp;IO分站清单!M:M,IO分站清单!U:U),2,FALSE),"--")))</f>
        <v>207_1FI</v>
      </c>
      <c r="J20" s="214" t="str">
        <f t="shared" si="0"/>
        <v>FF H1网关通信模块</v>
      </c>
      <c r="K20" s="214" t="str">
        <f t="shared" si="1"/>
        <v>冗余</v>
      </c>
      <c r="L20" s="214" t="s">
        <v>31</v>
      </c>
      <c r="M20" s="214"/>
      <c r="N20" s="221"/>
      <c r="O20" s="228"/>
      <c r="P20" s="229"/>
      <c r="Q20" s="228"/>
      <c r="R20" s="238"/>
      <c r="S20" s="238"/>
    </row>
    <row r="21" ht="18" customHeight="1" spans="1:14">
      <c r="A21" s="214">
        <v>20</v>
      </c>
      <c r="B21" s="323" t="str">
        <f t="shared" si="2"/>
        <v>3AEKC003AR</v>
      </c>
      <c r="C21" s="214">
        <v>2</v>
      </c>
      <c r="D21" s="214">
        <v>8</v>
      </c>
      <c r="E21" s="214">
        <f t="shared" si="3"/>
        <v>18</v>
      </c>
      <c r="F21" s="214" t="str">
        <f t="array" ref="F21">IF(OR(IFERROR(SEARCH("-",E21),-1)&gt;0,E21=0),"--",IF(AND(C21=1,OR(D21=1,D21=2)),"NP204",IF(OR(D21=11,D21=12),"PM211",_xlfn.IFNA(VLOOKUP(B21&amp;C21&amp;D21,IF({1,0},IO分站清单!H:H&amp;IO分站清单!L:L&amp;IO分站清单!M:M,IO分站清单!I:I),2,FALSE),IF(AND(F20="FF211",NOT(MOD(D21,2))),"FF211","备用")))))</f>
        <v>FF211</v>
      </c>
      <c r="G21" s="214" t="str">
        <f t="array" ref="G21">IF(OR(IFERROR(SEARCH("-",E21),-1)&gt;0,E21=0),"--",IF(AND(C21=1,D21&lt;3),B21&amp;C21&amp;TEXT(D21,"00")&amp;"UC",IF(OR(D21=11,D21=12),B21&amp;C21&amp;TEXT(D21,"00")&amp;"PM",_xlfn.IFNA(VLOOKUP(B21&amp;C21&amp;D21,IF({1,0},IO分站清单!H:H&amp;IO分站清单!L:L&amp;IO分站清单!M:M,IO分站清单!K:K),2,FALSE),IF(AND(F20="FF211",F21="FF211"),B21&amp;C21&amp;TEXT(D21,"00")&amp;"FF","--")))))</f>
        <v>3AEKC003AR208FF</v>
      </c>
      <c r="H21" s="93" t="str">
        <f t="array" ref="H21">IF(F21="NP204","--",IF(OR(D21=11,D21=12),"--",_xlfn.IFNA(VLOOKUP(B21&amp;C21&amp;D21,IF({1,0},IO分站清单!H:H&amp;IO分站清单!L:L&amp;IO分站清单!M:M,IO分站清单!T:T),2,FALSE),IF(AND(F20="FF211",F21="FF211"),H20,"--"))))</f>
        <v>TB271</v>
      </c>
      <c r="I21" s="93" t="str">
        <f t="array" ref="I21">IF(AND(C21=1,OR(D21=1,D21=2)),"--",IF(OR(D21=11,D21=12),"--",_xlfn.IFNA(VLOOKUP(B21&amp;C21&amp;D21,IF({1,0},IO分站清单!H:H&amp;IO分站清单!L:L&amp;IO分站清单!M:M,IO分站清单!U:U),2,FALSE),"--")))</f>
        <v>--</v>
      </c>
      <c r="J21" s="214" t="str">
        <f t="shared" si="0"/>
        <v>FF H1网关通信模块</v>
      </c>
      <c r="K21" s="214" t="str">
        <f t="shared" si="1"/>
        <v/>
      </c>
      <c r="L21" s="214" t="s">
        <v>31</v>
      </c>
      <c r="M21" s="214"/>
      <c r="N21" s="221"/>
    </row>
    <row r="22" ht="18" customHeight="1" spans="1:14">
      <c r="A22" s="214">
        <v>21</v>
      </c>
      <c r="B22" s="323" t="str">
        <f t="shared" si="2"/>
        <v>3AEKC003AR</v>
      </c>
      <c r="C22" s="214">
        <v>2</v>
      </c>
      <c r="D22" s="214">
        <v>9</v>
      </c>
      <c r="E22" s="214">
        <f t="shared" si="3"/>
        <v>19</v>
      </c>
      <c r="F22" s="214" t="str">
        <f t="array" ref="F22">IF(OR(IFERROR(SEARCH("-",E22),-1)&gt;0,E22=0),"--",IF(AND(C22=1,OR(D22=1,D22=2)),"NP204",IF(OR(D22=11,D22=12),"PM211",_xlfn.IFNA(VLOOKUP(B22&amp;C22&amp;D22,IF({1,0},IO分站清单!H:H&amp;IO分站清单!L:L&amp;IO分站清单!M:M,IO分站清单!I:I),2,FALSE),IF(AND(F21="FF211",NOT(MOD(D22,2))),"FF211","备用")))))</f>
        <v>DP211</v>
      </c>
      <c r="G22" s="214" t="str">
        <f t="array" ref="G22">IF(OR(IFERROR(SEARCH("-",E22),-1)&gt;0,E22=0),"--",IF(AND(C22=1,D22&lt;3),B22&amp;C22&amp;TEXT(D22,"00")&amp;"UC",IF(OR(D22=11,D22=12),B22&amp;C22&amp;TEXT(D22,"00")&amp;"PM",_xlfn.IFNA(VLOOKUP(B22&amp;C22&amp;D22,IF({1,0},IO分站清单!H:H&amp;IO分站清单!L:L&amp;IO分站清单!M:M,IO分站清单!K:K),2,FALSE),IF(AND(F21="FF211",F22="FF211"),B22&amp;C22&amp;TEXT(D22,"00")&amp;"FF","--")))))</f>
        <v>3AEKC003AR209DP</v>
      </c>
      <c r="H22" s="93" t="str">
        <f t="array" ref="H22">IF(F22="NP204","--",IF(OR(D22=11,D22=12),"--",_xlfn.IFNA(VLOOKUP(B22&amp;C22&amp;D22,IF({1,0},IO分站清单!H:H&amp;IO分站清单!L:L&amp;IO分站清单!M:M,IO分站清单!T:T),2,FALSE),IF(AND(F21="FF211",F22="FF211"),H21,"--"))))</f>
        <v>TB272</v>
      </c>
      <c r="I22" s="93" t="str">
        <f t="array" ref="I22">IF(AND(C22=1,OR(D22=1,D22=2)),"--",IF(OR(D22=11,D22=12),"--",_xlfn.IFNA(VLOOKUP(B22&amp;C22&amp;D22,IF({1,0},IO分站清单!H:H&amp;IO分站清单!L:L&amp;IO分站清单!M:M,IO分站清单!U:U),2,FALSE),"--")))</f>
        <v>209BN</v>
      </c>
      <c r="J22" s="214" t="str">
        <f t="shared" si="0"/>
        <v>PROFIBUS DP通信模块</v>
      </c>
      <c r="K22" s="214" t="str">
        <f t="shared" si="1"/>
        <v/>
      </c>
      <c r="L22" s="214" t="s">
        <v>31</v>
      </c>
      <c r="M22" s="214"/>
      <c r="N22" s="221"/>
    </row>
    <row r="23" ht="18" customHeight="1" spans="1:14">
      <c r="A23" s="214">
        <v>22</v>
      </c>
      <c r="B23" s="323" t="str">
        <f t="shared" si="2"/>
        <v>3AEKC003AR</v>
      </c>
      <c r="C23" s="214">
        <v>2</v>
      </c>
      <c r="D23" s="214">
        <v>10</v>
      </c>
      <c r="E23" s="214" t="str">
        <f t="shared" si="3"/>
        <v>1A</v>
      </c>
      <c r="F23" s="214" t="str">
        <f t="array" ref="F23">IF(OR(IFERROR(SEARCH("-",E23),-1)&gt;0,E23=0),"--",IF(AND(C23=1,OR(D23=1,D23=2)),"NP204",IF(OR(D23=11,D23=12),"PM211",_xlfn.IFNA(VLOOKUP(B23&amp;C23&amp;D23,IF({1,0},IO分站清单!H:H&amp;IO分站清单!L:L&amp;IO分站清单!M:M,IO分站清单!I:I),2,FALSE),IF(AND(F22="FF211",NOT(MOD(D23,2))),"FF211","备用")))))</f>
        <v>DP211</v>
      </c>
      <c r="G23" s="214" t="str">
        <f t="array" ref="G23">IF(OR(IFERROR(SEARCH("-",E23),-1)&gt;0,E23=0),"--",IF(AND(C23=1,D23&lt;3),B23&amp;C23&amp;TEXT(D23,"00")&amp;"UC",IF(OR(D23=11,D23=12),B23&amp;C23&amp;TEXT(D23,"00")&amp;"PM",_xlfn.IFNA(VLOOKUP(B23&amp;C23&amp;D23,IF({1,0},IO分站清单!H:H&amp;IO分站清单!L:L&amp;IO分站清单!M:M,IO分站清单!K:K),2,FALSE),IF(AND(F22="FF211",F23="FF211"),B23&amp;C23&amp;TEXT(D23,"00")&amp;"FF","--")))))</f>
        <v>3AEKC003AR210DP</v>
      </c>
      <c r="H23" s="93" t="str">
        <f t="array" ref="H23">IF(F23="NP204","--",IF(OR(D23=11,D23=12),"--",_xlfn.IFNA(VLOOKUP(B23&amp;C23&amp;D23,IF({1,0},IO分站清单!H:H&amp;IO分站清单!L:L&amp;IO分站清单!M:M,IO分站清单!T:T),2,FALSE),IF(AND(F22="FF211",F23="FF211"),H22,"--"))))</f>
        <v>TB272</v>
      </c>
      <c r="I23" s="93" t="str">
        <f t="array" ref="I23">IF(AND(C23=1,OR(D23=1,D23=2)),"--",IF(OR(D23=11,D23=12),"--",_xlfn.IFNA(VLOOKUP(B23&amp;C23&amp;D23,IF({1,0},IO分站清单!H:H&amp;IO分站清单!L:L&amp;IO分站清单!M:M,IO分站清单!U:U),2,FALSE),"--")))</f>
        <v>210BN</v>
      </c>
      <c r="J23" s="214" t="str">
        <f t="shared" si="0"/>
        <v>PROFIBUS DP通信模块</v>
      </c>
      <c r="K23" s="214" t="str">
        <f t="shared" si="1"/>
        <v/>
      </c>
      <c r="L23" s="214" t="s">
        <v>31</v>
      </c>
      <c r="M23" s="214"/>
      <c r="N23" s="221"/>
    </row>
    <row r="24" ht="18" customHeight="1" spans="1:14">
      <c r="A24" s="214">
        <v>23</v>
      </c>
      <c r="B24" s="323" t="str">
        <f t="shared" si="2"/>
        <v>3AEKC003AR</v>
      </c>
      <c r="C24" s="214">
        <v>2</v>
      </c>
      <c r="D24" s="214">
        <v>11</v>
      </c>
      <c r="E24" s="214" t="str">
        <f t="shared" si="3"/>
        <v>1B</v>
      </c>
      <c r="F24" s="214" t="str">
        <f t="array" ref="F24">IF(OR(IFERROR(SEARCH("-",E24),-1)&gt;0,E24=0),"--",IF(AND(C24=1,OR(D24=1,D24=2)),"NP204",IF(OR(D24=11,D24=12),"PM211",_xlfn.IFNA(VLOOKUP(B24&amp;C24&amp;D24,IF({1,0},IO分站清单!H:H&amp;IO分站清单!L:L&amp;IO分站清单!M:M,IO分站清单!I:I),2,FALSE),IF(AND(F23="FF211",NOT(MOD(D24,2))),"FF211","备用")))))</f>
        <v>PM211</v>
      </c>
      <c r="G24" s="214" t="str">
        <f t="array" ref="G24">IF(OR(IFERROR(SEARCH("-",E24),-1)&gt;0,E24=0),"--",IF(AND(C24=1,D24&lt;3),B24&amp;C24&amp;TEXT(D24,"00")&amp;"UC",IF(OR(D24=11,D24=12),B24&amp;C24&amp;TEXT(D24,"00")&amp;"PM",_xlfn.IFNA(VLOOKUP(B24&amp;C24&amp;D24,IF({1,0},IO分站清单!H:H&amp;IO分站清单!L:L&amp;IO分站清单!M:M,IO分站清单!K:K),2,FALSE),IF(AND(F23="FF211",F24="FF211"),B24&amp;C24&amp;TEXT(D24,"00")&amp;"FF","--")))))</f>
        <v>3AEKC003AR211PM</v>
      </c>
      <c r="H24" s="93" t="str">
        <f t="array" ref="H24">IF(F24="NP204","--",IF(OR(D24=11,D24=12),"--",_xlfn.IFNA(VLOOKUP(B24&amp;C24&amp;D24,IF({1,0},IO分站清单!H:H&amp;IO分站清单!L:L&amp;IO分站清单!M:M,IO分站清单!T:T),2,FALSE),IF(AND(F23="FF211",F24="FF211"),H23,"--"))))</f>
        <v>--</v>
      </c>
      <c r="I24" s="93" t="str">
        <f t="array" ref="I24">IF(AND(C24=1,OR(D24=1,D24=2)),"--",IF(OR(D24=11,D24=12),"--",_xlfn.IFNA(VLOOKUP(B24&amp;C24&amp;D24,IF({1,0},IO分站清单!H:H&amp;IO分站清单!L:L&amp;IO分站清单!M:M,IO分站清单!U:U),2,FALSE),"--")))</f>
        <v>--</v>
      </c>
      <c r="J24" s="214" t="str">
        <f t="shared" si="0"/>
        <v>DC24V电源板卡</v>
      </c>
      <c r="K24" s="214" t="str">
        <f t="shared" si="1"/>
        <v/>
      </c>
      <c r="L24" s="214" t="s">
        <v>31</v>
      </c>
      <c r="M24" s="214"/>
      <c r="N24" s="221"/>
    </row>
    <row r="25" ht="18" customHeight="1" spans="1:14">
      <c r="A25" s="215">
        <v>24</v>
      </c>
      <c r="B25" s="324" t="str">
        <f t="shared" si="2"/>
        <v>3AEKC003AR</v>
      </c>
      <c r="C25" s="215">
        <v>2</v>
      </c>
      <c r="D25" s="215">
        <v>12</v>
      </c>
      <c r="E25" s="215" t="str">
        <f t="shared" si="3"/>
        <v>1C</v>
      </c>
      <c r="F25" s="215" t="str">
        <f t="array" ref="F25">IF(OR(IFERROR(SEARCH("-",E25),-1)&gt;0,E25=0),"--",IF(AND(C25=1,OR(D25=1,D25=2)),"NP204",IF(OR(D25=11,D25=12),"PM211",_xlfn.IFNA(VLOOKUP(B25&amp;C25&amp;D25,IF({1,0},IO分站清单!H:H&amp;IO分站清单!L:L&amp;IO分站清单!M:M,IO分站清单!I:I),2,FALSE),IF(AND(F24="FF211",NOT(MOD(D25,2))),"FF211","备用")))))</f>
        <v>PM211</v>
      </c>
      <c r="G25" s="215" t="str">
        <f t="array" ref="G25">IF(OR(IFERROR(SEARCH("-",E25),-1)&gt;0,E25=0),"--",IF(AND(C25=1,D25&lt;3),B25&amp;C25&amp;TEXT(D25,"00")&amp;"UC",IF(OR(D25=11,D25=12),B25&amp;C25&amp;TEXT(D25,"00")&amp;"PM",_xlfn.IFNA(VLOOKUP(B25&amp;C25&amp;D25,IF({1,0},IO分站清单!H:H&amp;IO分站清单!L:L&amp;IO分站清单!M:M,IO分站清单!K:K),2,FALSE),IF(AND(F24="FF211",F25="FF211"),B25&amp;C25&amp;TEXT(D25,"00")&amp;"FF","--")))))</f>
        <v>3AEKC003AR212PM</v>
      </c>
      <c r="H25" s="216" t="str">
        <f t="array" ref="H25">IF(F25="NP204","--",IF(OR(D25=11,D25=12),"--",_xlfn.IFNA(VLOOKUP(B25&amp;C25&amp;D25,IF({1,0},IO分站清单!H:H&amp;IO分站清单!L:L&amp;IO分站清单!M:M,IO分站清单!T:T),2,FALSE),IF(AND(F24="FF211",F25="FF211"),H24,"--"))))</f>
        <v>--</v>
      </c>
      <c r="I25" s="216" t="str">
        <f t="array" ref="I25">IF(AND(C25=1,OR(D25=1,D25=2)),"--",IF(OR(D25=11,D25=12),"--",_xlfn.IFNA(VLOOKUP(B25&amp;C25&amp;D25,IF({1,0},IO分站清单!H:H&amp;IO分站清单!L:L&amp;IO分站清单!M:M,IO分站清单!U:U),2,FALSE),"--")))</f>
        <v>--</v>
      </c>
      <c r="J25" s="215" t="str">
        <f t="shared" si="0"/>
        <v>DC24V电源板卡</v>
      </c>
      <c r="K25" s="215" t="str">
        <f t="shared" si="1"/>
        <v/>
      </c>
      <c r="L25" s="215" t="s">
        <v>31</v>
      </c>
      <c r="M25" s="215"/>
      <c r="N25" s="221"/>
    </row>
    <row r="26" ht="18" customHeight="1" spans="1:13">
      <c r="A26" s="217">
        <v>25</v>
      </c>
      <c r="B26" s="325" t="str">
        <f t="shared" si="2"/>
        <v>3AEKC003AR</v>
      </c>
      <c r="C26" s="217">
        <v>3</v>
      </c>
      <c r="D26" s="217">
        <v>1</v>
      </c>
      <c r="E26" s="217">
        <f t="shared" si="3"/>
        <v>21</v>
      </c>
      <c r="F26" s="217" t="str">
        <f t="array" ref="F26">IF(OR(IFERROR(SEARCH("-",E26),-1)&gt;0,E26=0),"--",IF(AND(C26=1,OR(D26=1,D26=2)),"NP204",IF(OR(D26=11,D26=12),"PM211",_xlfn.IFNA(VLOOKUP(B26&amp;C26&amp;D26,IF({1,0},IO分站清单!H:H&amp;IO分站清单!L:L&amp;IO分站清单!M:M,IO分站清单!I:I),2,FALSE),IF(AND(F25="FF211",NOT(MOD(D26,2))),"FF211","备用")))))</f>
        <v>MD216</v>
      </c>
      <c r="G26" s="217" t="str">
        <f t="array" ref="G26">IF(OR(IFERROR(SEARCH("-",E26),-1)&gt;0,E26=0),"--",IF(AND(C26=1,D26&lt;3),B26&amp;C26&amp;TEXT(D26,"00")&amp;"UC",IF(OR(D26=11,D26=12),B26&amp;C26&amp;TEXT(D26,"00")&amp;"PM",_xlfn.IFNA(VLOOKUP(B26&amp;C26&amp;D26,IF({1,0},IO分站清单!H:H&amp;IO分站清单!L:L&amp;IO分站清单!M:M,IO分站清单!K:K),2,FALSE),IF(AND(F25="FF211",F26="FF211"),B26&amp;C26&amp;TEXT(D26,"00")&amp;"FF","--")))))</f>
        <v>3AEKC003AR301MD</v>
      </c>
      <c r="H26" s="218" t="str">
        <f t="array" ref="H26">IF(F26="NP204","--",IF(OR(D26=11,D26=12),"--",_xlfn.IFNA(VLOOKUP(B26&amp;C26&amp;D26,IF({1,0},IO分站清单!H:H&amp;IO分站清单!L:L&amp;IO分站清单!M:M,IO分站清单!T:T),2,FALSE),IF(AND(F25="FF211",F26="FF211"),H25,"--"))))</f>
        <v>--</v>
      </c>
      <c r="I26" s="218" t="str">
        <f t="array" ref="I26">IF(AND(C26=1,OR(D26=1,D26=2)),"--",IF(OR(D26=11,D26=12),"--",_xlfn.IFNA(VLOOKUP(B26&amp;C26&amp;D26,IF({1,0},IO分站清单!H:H&amp;IO分站清单!L:L&amp;IO分站清单!M:M,IO分站清单!U:U),2,FALSE),"--")))</f>
        <v>--</v>
      </c>
      <c r="J26" s="217" t="str">
        <f t="shared" si="0"/>
        <v>MODBUS TCP通信模块</v>
      </c>
      <c r="K26" s="217" t="str">
        <f t="shared" si="1"/>
        <v/>
      </c>
      <c r="L26" s="217" t="s">
        <v>31</v>
      </c>
      <c r="M26" s="217"/>
    </row>
    <row r="27" ht="18" customHeight="1" spans="1:13">
      <c r="A27" s="214">
        <v>26</v>
      </c>
      <c r="B27" s="326" t="str">
        <f t="shared" si="2"/>
        <v>3AEKC003AR</v>
      </c>
      <c r="C27" s="219">
        <v>3</v>
      </c>
      <c r="D27" s="219">
        <v>2</v>
      </c>
      <c r="E27" s="214">
        <f t="shared" si="3"/>
        <v>22</v>
      </c>
      <c r="F27" s="214" t="str">
        <f t="array" ref="F27">IF(OR(IFERROR(SEARCH("-",E27),-1)&gt;0,E27=0),"--",IF(AND(C27=1,OR(D27=1,D27=2)),"NP204",IF(OR(D27=11,D27=12),"PM211",_xlfn.IFNA(VLOOKUP(B27&amp;C27&amp;D27,IF({1,0},IO分站清单!H:H&amp;IO分站清单!L:L&amp;IO分站清单!M:M,IO分站清单!I:I),2,FALSE),IF(AND(F26="FF211",NOT(MOD(D27,2))),"FF211","备用")))))</f>
        <v>MD211</v>
      </c>
      <c r="G27" s="214" t="str">
        <f t="array" ref="G27">IF(OR(IFERROR(SEARCH("-",E27),-1)&gt;0,E27=0),"--",IF(AND(C27=1,D27&lt;3),B27&amp;C27&amp;TEXT(D27,"00")&amp;"UC",IF(OR(D27=11,D27=12),B27&amp;C27&amp;TEXT(D27,"00")&amp;"PM",_xlfn.IFNA(VLOOKUP(B27&amp;C27&amp;D27,IF({1,0},IO分站清单!H:H&amp;IO分站清单!L:L&amp;IO分站清单!M:M,IO分站清单!K:K),2,FALSE),IF(AND(F26="FF211",F27="FF211"),B27&amp;C27&amp;TEXT(D27,"00")&amp;"FF","--")))))</f>
        <v>3AEKC003AR302MD</v>
      </c>
      <c r="H27" s="93" t="str">
        <f t="array" ref="H27">IF(F27="NP204","--",IF(OR(D27=11,D27=12),"--",_xlfn.IFNA(VLOOKUP(B27&amp;C27&amp;D27,IF({1,0},IO分站清单!H:H&amp;IO分站清单!L:L&amp;IO分站清单!M:M,IO分站清单!T:T),2,FALSE),IF(AND(F26="FF211",F27="FF211"),H26,"--"))))</f>
        <v>TB244</v>
      </c>
      <c r="I27" s="93" t="str">
        <f t="array" ref="I27">IF(AND(C27=1,OR(D27=1,D27=2)),"--",IF(OR(D27=11,D27=12),"--",_xlfn.IFNA(VLOOKUP(B27&amp;C27&amp;D27,IF({1,0},IO分站清单!H:H&amp;IO分站清单!L:L&amp;IO分站清单!M:M,IO分站清单!U:U),2,FALSE),"--")))</f>
        <v>302BN</v>
      </c>
      <c r="J27" s="214" t="str">
        <f t="shared" si="0"/>
        <v>MODBUS RTU通信模块</v>
      </c>
      <c r="K27" s="214" t="str">
        <f t="shared" si="1"/>
        <v/>
      </c>
      <c r="L27" s="214" t="s">
        <v>31</v>
      </c>
      <c r="M27" s="214"/>
    </row>
    <row r="28" ht="18" customHeight="1" spans="1:13">
      <c r="A28" s="214">
        <v>27</v>
      </c>
      <c r="B28" s="326" t="str">
        <f t="shared" si="2"/>
        <v>3AEKC003AR</v>
      </c>
      <c r="C28" s="219">
        <v>3</v>
      </c>
      <c r="D28" s="219">
        <v>3</v>
      </c>
      <c r="E28" s="214">
        <f t="shared" si="3"/>
        <v>23</v>
      </c>
      <c r="F28" s="214" t="str">
        <f t="array" ref="F28">IF(OR(IFERROR(SEARCH("-",E28),-1)&gt;0,E28=0),"--",IF(AND(C28=1,OR(D28=1,D28=2)),"NP204",IF(OR(D28=11,D28=12),"PM211",_xlfn.IFNA(VLOOKUP(B28&amp;C28&amp;D28,IF({1,0},IO分站清单!H:H&amp;IO分站清单!L:L&amp;IO分站清单!M:M,IO分站清单!I:I),2,FALSE),IF(AND(F27="FF211",NOT(MOD(D28,2))),"FF211","备用")))))</f>
        <v>备用</v>
      </c>
      <c r="G28" s="214" t="str">
        <f t="array" ref="G28">IF(OR(IFERROR(SEARCH("-",E28),-1)&gt;0,E28=0),"--",IF(AND(C28=1,D28&lt;3),B28&amp;C28&amp;TEXT(D28,"00")&amp;"UC",IF(OR(D28=11,D28=12),B28&amp;C28&amp;TEXT(D28,"00")&amp;"PM",_xlfn.IFNA(VLOOKUP(B28&amp;C28&amp;D28,IF({1,0},IO分站清单!H:H&amp;IO分站清单!L:L&amp;IO分站清单!M:M,IO分站清单!K:K),2,FALSE),IF(AND(F27="FF211",F28="FF211"),B28&amp;C28&amp;TEXT(D28,"00")&amp;"FF","--")))))</f>
        <v>--</v>
      </c>
      <c r="H28" s="93" t="str">
        <f t="array" ref="H28">IF(F28="NP204","--",IF(OR(D28=11,D28=12),"--",_xlfn.IFNA(VLOOKUP(B28&amp;C28&amp;D28,IF({1,0},IO分站清单!H:H&amp;IO分站清单!L:L&amp;IO分站清单!M:M,IO分站清单!T:T),2,FALSE),IF(AND(F27="FF211",F28="FF211"),H27,"--"))))</f>
        <v>--</v>
      </c>
      <c r="I28" s="93" t="str">
        <f t="array" ref="I28">IF(AND(C28=1,OR(D28=1,D28=2)),"--",IF(OR(D28=11,D28=12),"--",_xlfn.IFNA(VLOOKUP(B28&amp;C28&amp;D28,IF({1,0},IO分站清单!H:H&amp;IO分站清单!L:L&amp;IO分站清单!M:M,IO分站清单!U:U),2,FALSE),"--")))</f>
        <v>--</v>
      </c>
      <c r="J28" s="214" t="str">
        <f t="shared" si="0"/>
        <v>--</v>
      </c>
      <c r="K28" s="214" t="str">
        <f t="shared" si="1"/>
        <v/>
      </c>
      <c r="L28" s="214" t="s">
        <v>31</v>
      </c>
      <c r="M28" s="214"/>
    </row>
    <row r="29" ht="18" customHeight="1" spans="1:13">
      <c r="A29" s="214">
        <v>28</v>
      </c>
      <c r="B29" s="326" t="str">
        <f t="shared" si="2"/>
        <v>3AEKC003AR</v>
      </c>
      <c r="C29" s="219">
        <v>3</v>
      </c>
      <c r="D29" s="219">
        <v>4</v>
      </c>
      <c r="E29" s="214">
        <f t="shared" si="3"/>
        <v>24</v>
      </c>
      <c r="F29" s="214" t="str">
        <f t="array" ref="F29">IF(OR(IFERROR(SEARCH("-",E29),-1)&gt;0,E29=0),"--",IF(AND(C29=1,OR(D29=1,D29=2)),"NP204",IF(OR(D29=11,D29=12),"PM211",_xlfn.IFNA(VLOOKUP(B29&amp;C29&amp;D29,IF({1,0},IO分站清单!H:H&amp;IO分站清单!L:L&amp;IO分站清单!M:M,IO分站清单!I:I),2,FALSE),IF(AND(F28="FF211",NOT(MOD(D29,2))),"FF211","备用")))))</f>
        <v>备用</v>
      </c>
      <c r="G29" s="214" t="str">
        <f t="array" ref="G29">IF(OR(IFERROR(SEARCH("-",E29),-1)&gt;0,E29=0),"--",IF(AND(C29=1,D29&lt;3),B29&amp;C29&amp;TEXT(D29,"00")&amp;"UC",IF(OR(D29=11,D29=12),B29&amp;C29&amp;TEXT(D29,"00")&amp;"PM",_xlfn.IFNA(VLOOKUP(B29&amp;C29&amp;D29,IF({1,0},IO分站清单!H:H&amp;IO分站清单!L:L&amp;IO分站清单!M:M,IO分站清单!K:K),2,FALSE),IF(AND(F28="FF211",F29="FF211"),B29&amp;C29&amp;TEXT(D29,"00")&amp;"FF","--")))))</f>
        <v>--</v>
      </c>
      <c r="H29" s="93" t="str">
        <f t="array" ref="H29">IF(F29="NP204","--",IF(OR(D29=11,D29=12),"--",_xlfn.IFNA(VLOOKUP(B29&amp;C29&amp;D29,IF({1,0},IO分站清单!H:H&amp;IO分站清单!L:L&amp;IO分站清单!M:M,IO分站清单!T:T),2,FALSE),IF(AND(F28="FF211",F29="FF211"),H28,"--"))))</f>
        <v>--</v>
      </c>
      <c r="I29" s="93" t="str">
        <f t="array" ref="I29">IF(AND(C29=1,OR(D29=1,D29=2)),"--",IF(OR(D29=11,D29=12),"--",_xlfn.IFNA(VLOOKUP(B29&amp;C29&amp;D29,IF({1,0},IO分站清单!H:H&amp;IO分站清单!L:L&amp;IO分站清单!M:M,IO分站清单!U:U),2,FALSE),"--")))</f>
        <v>--</v>
      </c>
      <c r="J29" s="214" t="str">
        <f t="shared" si="0"/>
        <v>--</v>
      </c>
      <c r="K29" s="214" t="str">
        <f t="shared" si="1"/>
        <v/>
      </c>
      <c r="L29" s="214" t="s">
        <v>31</v>
      </c>
      <c r="M29" s="214"/>
    </row>
    <row r="30" ht="18" customHeight="1" spans="1:13">
      <c r="A30" s="214">
        <v>29</v>
      </c>
      <c r="B30" s="326" t="str">
        <f t="shared" si="2"/>
        <v>3AEKC003AR</v>
      </c>
      <c r="C30" s="219">
        <v>3</v>
      </c>
      <c r="D30" s="219">
        <v>5</v>
      </c>
      <c r="E30" s="214">
        <f t="shared" si="3"/>
        <v>25</v>
      </c>
      <c r="F30" s="214" t="str">
        <f t="array" ref="F30">IF(OR(IFERROR(SEARCH("-",E30),-1)&gt;0,E30=0),"--",IF(AND(C30=1,OR(D30=1,D30=2)),"NP204",IF(OR(D30=11,D30=12),"PM211",_xlfn.IFNA(VLOOKUP(B30&amp;C30&amp;D30,IF({1,0},IO分站清单!H:H&amp;IO分站清单!L:L&amp;IO分站清单!M:M,IO分站清单!I:I),2,FALSE),IF(AND(F29="FF211",NOT(MOD(D30,2))),"FF211","备用")))))</f>
        <v>备用</v>
      </c>
      <c r="G30" s="214" t="str">
        <f t="array" ref="G30">IF(OR(IFERROR(SEARCH("-",E30),-1)&gt;0,E30=0),"--",IF(AND(C30=1,D30&lt;3),B30&amp;C30&amp;TEXT(D30,"00")&amp;"UC",IF(OR(D30=11,D30=12),B30&amp;C30&amp;TEXT(D30,"00")&amp;"PM",_xlfn.IFNA(VLOOKUP(B30&amp;C30&amp;D30,IF({1,0},IO分站清单!H:H&amp;IO分站清单!L:L&amp;IO分站清单!M:M,IO分站清单!K:K),2,FALSE),IF(AND(F29="FF211",F30="FF211"),B30&amp;C30&amp;TEXT(D30,"00")&amp;"FF","--")))))</f>
        <v>--</v>
      </c>
      <c r="H30" s="93" t="str">
        <f t="array" ref="H30">IF(F30="NP204","--",IF(OR(D30=11,D30=12),"--",_xlfn.IFNA(VLOOKUP(B30&amp;C30&amp;D30,IF({1,0},IO分站清单!H:H&amp;IO分站清单!L:L&amp;IO分站清单!M:M,IO分站清单!T:T),2,FALSE),IF(AND(F29="FF211",F30="FF211"),H29,"--"))))</f>
        <v>--</v>
      </c>
      <c r="I30" s="93" t="str">
        <f t="array" ref="I30">IF(AND(C30=1,OR(D30=1,D30=2)),"--",IF(OR(D30=11,D30=12),"--",_xlfn.IFNA(VLOOKUP(B30&amp;C30&amp;D30,IF({1,0},IO分站清单!H:H&amp;IO分站清单!L:L&amp;IO分站清单!M:M,IO分站清单!U:U),2,FALSE),"--")))</f>
        <v>--</v>
      </c>
      <c r="J30" s="214" t="str">
        <f t="shared" si="0"/>
        <v>--</v>
      </c>
      <c r="K30" s="214" t="str">
        <f t="shared" si="1"/>
        <v/>
      </c>
      <c r="L30" s="214" t="s">
        <v>31</v>
      </c>
      <c r="M30" s="214"/>
    </row>
    <row r="31" ht="18" customHeight="1" spans="1:13">
      <c r="A31" s="214">
        <v>30</v>
      </c>
      <c r="B31" s="326" t="str">
        <f t="shared" si="2"/>
        <v>3AEKC003AR</v>
      </c>
      <c r="C31" s="219">
        <v>3</v>
      </c>
      <c r="D31" s="219">
        <v>6</v>
      </c>
      <c r="E31" s="214">
        <f t="shared" si="3"/>
        <v>26</v>
      </c>
      <c r="F31" s="214" t="str">
        <f t="array" ref="F31">IF(OR(IFERROR(SEARCH("-",E31),-1)&gt;0,E31=0),"--",IF(AND(C31=1,OR(D31=1,D31=2)),"NP204",IF(OR(D31=11,D31=12),"PM211",_xlfn.IFNA(VLOOKUP(B31&amp;C31&amp;D31,IF({1,0},IO分站清单!H:H&amp;IO分站清单!L:L&amp;IO分站清单!M:M,IO分站清单!I:I),2,FALSE),IF(AND(F30="FF211",NOT(MOD(D31,2))),"FF211","备用")))))</f>
        <v>备用</v>
      </c>
      <c r="G31" s="214" t="str">
        <f t="array" ref="G31">IF(OR(IFERROR(SEARCH("-",E31),-1)&gt;0,E31=0),"--",IF(AND(C31=1,D31&lt;3),B31&amp;C31&amp;TEXT(D31,"00")&amp;"UC",IF(OR(D31=11,D31=12),B31&amp;C31&amp;TEXT(D31,"00")&amp;"PM",_xlfn.IFNA(VLOOKUP(B31&amp;C31&amp;D31,IF({1,0},IO分站清单!H:H&amp;IO分站清单!L:L&amp;IO分站清单!M:M,IO分站清单!K:K),2,FALSE),IF(AND(F30="FF211",F31="FF211"),B31&amp;C31&amp;TEXT(D31,"00")&amp;"FF","--")))))</f>
        <v>--</v>
      </c>
      <c r="H31" s="93" t="str">
        <f t="array" ref="H31">IF(F31="NP204","--",IF(OR(D31=11,D31=12),"--",_xlfn.IFNA(VLOOKUP(B31&amp;C31&amp;D31,IF({1,0},IO分站清单!H:H&amp;IO分站清单!L:L&amp;IO分站清单!M:M,IO分站清单!T:T),2,FALSE),IF(AND(F30="FF211",F31="FF211"),H30,"--"))))</f>
        <v>--</v>
      </c>
      <c r="I31" s="93" t="str">
        <f t="array" ref="I31">IF(AND(C31=1,OR(D31=1,D31=2)),"--",IF(OR(D31=11,D31=12),"--",_xlfn.IFNA(VLOOKUP(B31&amp;C31&amp;D31,IF({1,0},IO分站清单!H:H&amp;IO分站清单!L:L&amp;IO分站清单!M:M,IO分站清单!U:U),2,FALSE),"--")))</f>
        <v>--</v>
      </c>
      <c r="J31" s="214" t="str">
        <f t="shared" si="0"/>
        <v>--</v>
      </c>
      <c r="K31" s="214" t="str">
        <f t="shared" si="1"/>
        <v/>
      </c>
      <c r="L31" s="214" t="s">
        <v>31</v>
      </c>
      <c r="M31" s="214"/>
    </row>
    <row r="32" ht="18" customHeight="1" spans="1:13">
      <c r="A32" s="214">
        <v>31</v>
      </c>
      <c r="B32" s="326" t="str">
        <f t="shared" si="2"/>
        <v>3AEKC003AR</v>
      </c>
      <c r="C32" s="219">
        <v>3</v>
      </c>
      <c r="D32" s="219">
        <v>7</v>
      </c>
      <c r="E32" s="214">
        <f t="shared" si="3"/>
        <v>27</v>
      </c>
      <c r="F32" s="214" t="str">
        <f t="array" ref="F32">IF(OR(IFERROR(SEARCH("-",E32),-1)&gt;0,E32=0),"--",IF(AND(C32=1,OR(D32=1,D32=2)),"NP204",IF(OR(D32=11,D32=12),"PM211",_xlfn.IFNA(VLOOKUP(B32&amp;C32&amp;D32,IF({1,0},IO分站清单!H:H&amp;IO分站清单!L:L&amp;IO分站清单!M:M,IO分站清单!I:I),2,FALSE),IF(AND(F31="FF211",NOT(MOD(D32,2))),"FF211","备用")))))</f>
        <v>备用</v>
      </c>
      <c r="G32" s="214" t="str">
        <f t="array" ref="G32">IF(OR(IFERROR(SEARCH("-",E32),-1)&gt;0,E32=0),"--",IF(AND(C32=1,D32&lt;3),B32&amp;C32&amp;TEXT(D32,"00")&amp;"UC",IF(OR(D32=11,D32=12),B32&amp;C32&amp;TEXT(D32,"00")&amp;"PM",_xlfn.IFNA(VLOOKUP(B32&amp;C32&amp;D32,IF({1,0},IO分站清单!H:H&amp;IO分站清单!L:L&amp;IO分站清单!M:M,IO分站清单!K:K),2,FALSE),IF(AND(F31="FF211",F32="FF211"),B32&amp;C32&amp;TEXT(D32,"00")&amp;"FF","--")))))</f>
        <v>--</v>
      </c>
      <c r="H32" s="93" t="str">
        <f t="array" ref="H32">IF(F32="NP204","--",IF(OR(D32=11,D32=12),"--",_xlfn.IFNA(VLOOKUP(B32&amp;C32&amp;D32,IF({1,0},IO分站清单!H:H&amp;IO分站清单!L:L&amp;IO分站清单!M:M,IO分站清单!T:T),2,FALSE),IF(AND(F31="FF211",F32="FF211"),H31,"--"))))</f>
        <v>--</v>
      </c>
      <c r="I32" s="93" t="str">
        <f t="array" ref="I32">IF(AND(C32=1,OR(D32=1,D32=2)),"--",IF(OR(D32=11,D32=12),"--",_xlfn.IFNA(VLOOKUP(B32&amp;C32&amp;D32,IF({1,0},IO分站清单!H:H&amp;IO分站清单!L:L&amp;IO分站清单!M:M,IO分站清单!U:U),2,FALSE),"--")))</f>
        <v>--</v>
      </c>
      <c r="J32" s="214" t="str">
        <f t="shared" si="0"/>
        <v>--</v>
      </c>
      <c r="K32" s="214" t="str">
        <f t="shared" si="1"/>
        <v/>
      </c>
      <c r="L32" s="214" t="s">
        <v>31</v>
      </c>
      <c r="M32" s="214"/>
    </row>
    <row r="33" ht="18" customHeight="1" spans="1:13">
      <c r="A33" s="214">
        <v>32</v>
      </c>
      <c r="B33" s="326" t="str">
        <f t="shared" si="2"/>
        <v>3AEKC003AR</v>
      </c>
      <c r="C33" s="219">
        <v>3</v>
      </c>
      <c r="D33" s="219">
        <v>8</v>
      </c>
      <c r="E33" s="214">
        <f t="shared" si="3"/>
        <v>28</v>
      </c>
      <c r="F33" s="214" t="str">
        <f t="array" ref="F33">IF(OR(IFERROR(SEARCH("-",E33),-1)&gt;0,E33=0),"--",IF(AND(C33=1,OR(D33=1,D33=2)),"NP204",IF(OR(D33=11,D33=12),"PM211",_xlfn.IFNA(VLOOKUP(B33&amp;C33&amp;D33,IF({1,0},IO分站清单!H:H&amp;IO分站清单!L:L&amp;IO分站清单!M:M,IO分站清单!I:I),2,FALSE),IF(AND(F32="FF211",NOT(MOD(D33,2))),"FF211","备用")))))</f>
        <v>备用</v>
      </c>
      <c r="G33" s="214" t="str">
        <f t="array" ref="G33">IF(OR(IFERROR(SEARCH("-",E33),-1)&gt;0,E33=0),"--",IF(AND(C33=1,D33&lt;3),B33&amp;C33&amp;TEXT(D33,"00")&amp;"UC",IF(OR(D33=11,D33=12),B33&amp;C33&amp;TEXT(D33,"00")&amp;"PM",_xlfn.IFNA(VLOOKUP(B33&amp;C33&amp;D33,IF({1,0},IO分站清单!H:H&amp;IO分站清单!L:L&amp;IO分站清单!M:M,IO分站清单!K:K),2,FALSE),IF(AND(F32="FF211",F33="FF211"),B33&amp;C33&amp;TEXT(D33,"00")&amp;"FF","--")))))</f>
        <v>--</v>
      </c>
      <c r="H33" s="93" t="str">
        <f t="array" ref="H33">IF(F33="NP204","--",IF(OR(D33=11,D33=12),"--",_xlfn.IFNA(VLOOKUP(B33&amp;C33&amp;D33,IF({1,0},IO分站清单!H:H&amp;IO分站清单!L:L&amp;IO分站清单!M:M,IO分站清单!T:T),2,FALSE),IF(AND(F32="FF211",F33="FF211"),H32,"--"))))</f>
        <v>--</v>
      </c>
      <c r="I33" s="93" t="str">
        <f t="array" ref="I33">IF(AND(C33=1,OR(D33=1,D33=2)),"--",IF(OR(D33=11,D33=12),"--",_xlfn.IFNA(VLOOKUP(B33&amp;C33&amp;D33,IF({1,0},IO分站清单!H:H&amp;IO分站清单!L:L&amp;IO分站清单!M:M,IO分站清单!U:U),2,FALSE),"--")))</f>
        <v>--</v>
      </c>
      <c r="J33" s="214" t="str">
        <f t="shared" si="0"/>
        <v>--</v>
      </c>
      <c r="K33" s="214" t="str">
        <f t="shared" si="1"/>
        <v/>
      </c>
      <c r="L33" s="214" t="s">
        <v>31</v>
      </c>
      <c r="M33" s="214"/>
    </row>
    <row r="34" ht="18" customHeight="1" spans="1:13">
      <c r="A34" s="214">
        <v>33</v>
      </c>
      <c r="B34" s="326" t="str">
        <f t="shared" si="2"/>
        <v>3AEKC003AR</v>
      </c>
      <c r="C34" s="219">
        <v>3</v>
      </c>
      <c r="D34" s="219">
        <v>9</v>
      </c>
      <c r="E34" s="214">
        <f t="shared" si="3"/>
        <v>29</v>
      </c>
      <c r="F34" s="214" t="str">
        <f t="array" ref="F34">IF(OR(IFERROR(SEARCH("-",E34),-1)&gt;0,E34=0),"--",IF(AND(C34=1,OR(D34=1,D34=2)),"NP204",IF(OR(D34=11,D34=12),"PM211",_xlfn.IFNA(VLOOKUP(B34&amp;C34&amp;D34,IF({1,0},IO分站清单!H:H&amp;IO分站清单!L:L&amp;IO分站清单!M:M,IO分站清单!I:I),2,FALSE),IF(AND(F33="FF211",NOT(MOD(D34,2))),"FF211","备用")))))</f>
        <v>备用</v>
      </c>
      <c r="G34" s="214" t="str">
        <f t="array" ref="G34">IF(OR(IFERROR(SEARCH("-",E34),-1)&gt;0,E34=0),"--",IF(AND(C34=1,D34&lt;3),B34&amp;C34&amp;TEXT(D34,"00")&amp;"UC",IF(OR(D34=11,D34=12),B34&amp;C34&amp;TEXT(D34,"00")&amp;"PM",_xlfn.IFNA(VLOOKUP(B34&amp;C34&amp;D34,IF({1,0},IO分站清单!H:H&amp;IO分站清单!L:L&amp;IO分站清单!M:M,IO分站清单!K:K),2,FALSE),IF(AND(F33="FF211",F34="FF211"),B34&amp;C34&amp;TEXT(D34,"00")&amp;"FF","--")))))</f>
        <v>--</v>
      </c>
      <c r="H34" s="93" t="str">
        <f t="array" ref="H34">IF(F34="NP204","--",IF(OR(D34=11,D34=12),"--",_xlfn.IFNA(VLOOKUP(B34&amp;C34&amp;D34,IF({1,0},IO分站清单!H:H&amp;IO分站清单!L:L&amp;IO分站清单!M:M,IO分站清单!T:T),2,FALSE),IF(AND(F33="FF211",F34="FF211"),H33,"--"))))</f>
        <v>--</v>
      </c>
      <c r="I34" s="93" t="str">
        <f t="array" ref="I34">IF(AND(C34=1,OR(D34=1,D34=2)),"--",IF(OR(D34=11,D34=12),"--",_xlfn.IFNA(VLOOKUP(B34&amp;C34&amp;D34,IF({1,0},IO分站清单!H:H&amp;IO分站清单!L:L&amp;IO分站清单!M:M,IO分站清单!U:U),2,FALSE),"--")))</f>
        <v>--</v>
      </c>
      <c r="J34" s="214" t="str">
        <f t="shared" si="0"/>
        <v>--</v>
      </c>
      <c r="K34" s="214" t="str">
        <f t="shared" si="1"/>
        <v/>
      </c>
      <c r="L34" s="214" t="s">
        <v>31</v>
      </c>
      <c r="M34" s="214"/>
    </row>
    <row r="35" ht="18" customHeight="1" spans="1:13">
      <c r="A35" s="214">
        <v>34</v>
      </c>
      <c r="B35" s="326" t="str">
        <f t="shared" si="2"/>
        <v>3AEKC003AR</v>
      </c>
      <c r="C35" s="219">
        <v>3</v>
      </c>
      <c r="D35" s="219">
        <v>10</v>
      </c>
      <c r="E35" s="214" t="str">
        <f t="shared" si="3"/>
        <v>2A</v>
      </c>
      <c r="F35" s="214" t="str">
        <f t="array" ref="F35">IF(OR(IFERROR(SEARCH("-",E35),-1)&gt;0,E35=0),"--",IF(AND(C35=1,OR(D35=1,D35=2)),"NP204",IF(OR(D35=11,D35=12),"PM211",_xlfn.IFNA(VLOOKUP(B35&amp;C35&amp;D35,IF({1,0},IO分站清单!H:H&amp;IO分站清单!L:L&amp;IO分站清单!M:M,IO分站清单!I:I),2,FALSE),IF(AND(F34="FF211",NOT(MOD(D35,2))),"FF211","备用")))))</f>
        <v>备用</v>
      </c>
      <c r="G35" s="214" t="str">
        <f t="array" ref="G35">IF(OR(IFERROR(SEARCH("-",E35),-1)&gt;0,E35=0),"--",IF(AND(C35=1,D35&lt;3),B35&amp;C35&amp;TEXT(D35,"00")&amp;"UC",IF(OR(D35=11,D35=12),B35&amp;C35&amp;TEXT(D35,"00")&amp;"PM",_xlfn.IFNA(VLOOKUP(B35&amp;C35&amp;D35,IF({1,0},IO分站清单!H:H&amp;IO分站清单!L:L&amp;IO分站清单!M:M,IO分站清单!K:K),2,FALSE),IF(AND(F34="FF211",F35="FF211"),B35&amp;C35&amp;TEXT(D35,"00")&amp;"FF","--")))))</f>
        <v>--</v>
      </c>
      <c r="H35" s="93" t="str">
        <f t="array" ref="H35">IF(F35="NP204","--",IF(OR(D35=11,D35=12),"--",_xlfn.IFNA(VLOOKUP(B35&amp;C35&amp;D35,IF({1,0},IO分站清单!H:H&amp;IO分站清单!L:L&amp;IO分站清单!M:M,IO分站清单!T:T),2,FALSE),IF(AND(F34="FF211",F35="FF211"),H34,"--"))))</f>
        <v>--</v>
      </c>
      <c r="I35" s="93" t="str">
        <f t="array" ref="I35">IF(AND(C35=1,OR(D35=1,D35=2)),"--",IF(OR(D35=11,D35=12),"--",_xlfn.IFNA(VLOOKUP(B35&amp;C35&amp;D35,IF({1,0},IO分站清单!H:H&amp;IO分站清单!L:L&amp;IO分站清单!M:M,IO分站清单!U:U),2,FALSE),"--")))</f>
        <v>--</v>
      </c>
      <c r="J35" s="214" t="str">
        <f t="shared" si="0"/>
        <v>--</v>
      </c>
      <c r="K35" s="214" t="str">
        <f t="shared" si="1"/>
        <v/>
      </c>
      <c r="L35" s="214" t="s">
        <v>31</v>
      </c>
      <c r="M35" s="214"/>
    </row>
    <row r="36" ht="18" customHeight="1" spans="1:13">
      <c r="A36" s="214">
        <v>35</v>
      </c>
      <c r="B36" s="326" t="str">
        <f t="shared" si="2"/>
        <v>3AEKC003AR</v>
      </c>
      <c r="C36" s="219">
        <v>3</v>
      </c>
      <c r="D36" s="219">
        <v>11</v>
      </c>
      <c r="E36" s="214" t="str">
        <f t="shared" si="3"/>
        <v>2B</v>
      </c>
      <c r="F36" s="214" t="str">
        <f t="array" ref="F36">IF(OR(IFERROR(SEARCH("-",E36),-1)&gt;0,E36=0),"--",IF(AND(C36=1,OR(D36=1,D36=2)),"NP204",IF(OR(D36=11,D36=12),"PM211",_xlfn.IFNA(VLOOKUP(B36&amp;C36&amp;D36,IF({1,0},IO分站清单!H:H&amp;IO分站清单!L:L&amp;IO分站清单!M:M,IO分站清单!I:I),2,FALSE),IF(AND(F35="FF211",NOT(MOD(D36,2))),"FF211","备用")))))</f>
        <v>PM211</v>
      </c>
      <c r="G36" s="214" t="str">
        <f t="array" ref="G36">IF(OR(IFERROR(SEARCH("-",E36),-1)&gt;0,E36=0),"--",IF(AND(C36=1,D36&lt;3),B36&amp;C36&amp;TEXT(D36,"00")&amp;"UC",IF(OR(D36=11,D36=12),B36&amp;C36&amp;TEXT(D36,"00")&amp;"PM",_xlfn.IFNA(VLOOKUP(B36&amp;C36&amp;D36,IF({1,0},IO分站清单!H:H&amp;IO分站清单!L:L&amp;IO分站清单!M:M,IO分站清单!K:K),2,FALSE),IF(AND(F35="FF211",F36="FF211"),B36&amp;C36&amp;TEXT(D36,"00")&amp;"FF","--")))))</f>
        <v>3AEKC003AR311PM</v>
      </c>
      <c r="H36" s="93" t="str">
        <f t="array" ref="H36">IF(F36="NP204","--",IF(OR(D36=11,D36=12),"--",_xlfn.IFNA(VLOOKUP(B36&amp;C36&amp;D36,IF({1,0},IO分站清单!H:H&amp;IO分站清单!L:L&amp;IO分站清单!M:M,IO分站清单!T:T),2,FALSE),IF(AND(F35="FF211",F36="FF211"),H35,"--"))))</f>
        <v>--</v>
      </c>
      <c r="I36" s="93" t="str">
        <f t="array" ref="I36">IF(AND(C36=1,OR(D36=1,D36=2)),"--",IF(OR(D36=11,D36=12),"--",_xlfn.IFNA(VLOOKUP(B36&amp;C36&amp;D36,IF({1,0},IO分站清单!H:H&amp;IO分站清单!L:L&amp;IO分站清单!M:M,IO分站清单!U:U),2,FALSE),"--")))</f>
        <v>--</v>
      </c>
      <c r="J36" s="214" t="str">
        <f t="shared" si="0"/>
        <v>DC24V电源板卡</v>
      </c>
      <c r="K36" s="214" t="str">
        <f t="shared" si="1"/>
        <v/>
      </c>
      <c r="L36" s="214" t="s">
        <v>31</v>
      </c>
      <c r="M36" s="214"/>
    </row>
    <row r="37" ht="18" customHeight="1" spans="1:13">
      <c r="A37" s="215">
        <v>36</v>
      </c>
      <c r="B37" s="327" t="str">
        <f t="shared" si="2"/>
        <v>3AEKC003AR</v>
      </c>
      <c r="C37" s="220">
        <v>3</v>
      </c>
      <c r="D37" s="220">
        <v>12</v>
      </c>
      <c r="E37" s="215" t="str">
        <f t="shared" si="3"/>
        <v>2C</v>
      </c>
      <c r="F37" s="215" t="str">
        <f t="array" ref="F37">IF(OR(IFERROR(SEARCH("-",E37),-1)&gt;0,E37=0),"--",IF(AND(C37=1,OR(D37=1,D37=2)),"NP204",IF(OR(D37=11,D37=12),"PM211",_xlfn.IFNA(VLOOKUP(B37&amp;C37&amp;D37,IF({1,0},IO分站清单!H:H&amp;IO分站清单!L:L&amp;IO分站清单!M:M,IO分站清单!I:I),2,FALSE),IF(AND(F36="FF211",NOT(MOD(D37,2))),"FF211","备用")))))</f>
        <v>PM211</v>
      </c>
      <c r="G37" s="215" t="str">
        <f t="array" ref="G37">IF(OR(IFERROR(SEARCH("-",E37),-1)&gt;0,E37=0),"--",IF(AND(C37=1,D37&lt;3),B37&amp;C37&amp;TEXT(D37,"00")&amp;"UC",IF(OR(D37=11,D37=12),B37&amp;C37&amp;TEXT(D37,"00")&amp;"PM",_xlfn.IFNA(VLOOKUP(B37&amp;C37&amp;D37,IF({1,0},IO分站清单!H:H&amp;IO分站清单!L:L&amp;IO分站清单!M:M,IO分站清单!K:K),2,FALSE),IF(AND(F36="FF211",F37="FF211"),B37&amp;C37&amp;TEXT(D37,"00")&amp;"FF","--")))))</f>
        <v>3AEKC003AR312PM</v>
      </c>
      <c r="H37" s="216" t="str">
        <f t="array" ref="H37">IF(F37="NP204","--",IF(OR(D37=11,D37=12),"--",_xlfn.IFNA(VLOOKUP(B37&amp;C37&amp;D37,IF({1,0},IO分站清单!H:H&amp;IO分站清单!L:L&amp;IO分站清单!M:M,IO分站清单!T:T),2,FALSE),IF(AND(F36="FF211",F37="FF211"),H36,"--"))))</f>
        <v>--</v>
      </c>
      <c r="I37" s="216" t="str">
        <f t="array" ref="I37">IF(AND(C37=1,OR(D37=1,D37=2)),"--",IF(OR(D37=11,D37=12),"--",_xlfn.IFNA(VLOOKUP(B37&amp;C37&amp;D37,IF({1,0},IO分站清单!H:H&amp;IO分站清单!L:L&amp;IO分站清单!M:M,IO分站清单!U:U),2,FALSE),"--")))</f>
        <v>--</v>
      </c>
      <c r="J37" s="215" t="str">
        <f t="shared" si="0"/>
        <v>DC24V电源板卡</v>
      </c>
      <c r="K37" s="215" t="str">
        <f t="shared" si="1"/>
        <v/>
      </c>
      <c r="L37" s="215" t="s">
        <v>31</v>
      </c>
      <c r="M37" s="215"/>
    </row>
    <row r="38" ht="18" customHeight="1" spans="1:13">
      <c r="A38" s="173">
        <v>1</v>
      </c>
      <c r="B38" s="322" t="s">
        <v>124</v>
      </c>
      <c r="C38" s="173">
        <v>1</v>
      </c>
      <c r="D38" s="173">
        <v>1</v>
      </c>
      <c r="E38" s="173">
        <v>2</v>
      </c>
      <c r="F38" s="173" t="str">
        <f t="array" ref="F38">IF(OR(IFERROR(SEARCH("-",E38),-1)&gt;0,E38=0),"--",IF(AND(C38=1,OR(D38=1,D38=2)),"NP204",IF(OR(D38=11,D38=12),"PM211",_xlfn.IFNA(VLOOKUP(B38&amp;C38&amp;D38,IF({1,0},IO分站清单!H:H&amp;IO分站清单!L:L&amp;IO分站清单!M:M,IO分站清单!I:I),2,FALSE),IF(AND(F37="FF211",NOT(MOD(D38,2))),"FF211","备用")))))</f>
        <v>NP204</v>
      </c>
      <c r="G38" s="173" t="str">
        <f t="array" ref="G38">IF(OR(IFERROR(SEARCH("-",E38),-1)&gt;0,E38=0),"--",IF(AND(C38=1,D38&lt;3),B38&amp;C38&amp;TEXT(D38,"00")&amp;"UC",IF(OR(D38=11,D38=12),B38&amp;C38&amp;TEXT(D38,"00")&amp;"PM",_xlfn.IFNA(VLOOKUP(B38&amp;C38&amp;D38,IF({1,0},IO分站清单!H:H&amp;IO分站清单!L:L&amp;IO分站清单!M:M,IO分站清单!K:K),2,FALSE),IF(AND(F37="FF211",F38="FF211"),B38&amp;C38&amp;TEXT(D38,"00")&amp;"FF","--")))))</f>
        <v>3AEKC003AR101UC</v>
      </c>
      <c r="H38" s="171" t="str">
        <f t="array" ref="H38">IF(F38="NP204","--",IF(OR(D38=11,D38=12),"--",_xlfn.IFNA(VLOOKUP(B38&amp;C38&amp;D38,IF({1,0},IO分站清单!H:H&amp;IO分站清单!L:L&amp;IO分站清单!M:M,IO分站清单!T:T),2,FALSE),IF(AND(F37="FF211",F38="FF211"),H37,"--"))))</f>
        <v>--</v>
      </c>
      <c r="I38" s="171" t="str">
        <f t="array" ref="I38">IF(AND(C38=1,OR(D38=1,D38=2)),"--",IF(OR(D38=11,D38=12),"--",_xlfn.IFNA(VLOOKUP(B38&amp;C38&amp;D38,IF({1,0},IO分站清单!H:H&amp;IO分站清单!L:L&amp;IO分站清单!M:M,IO分站清单!U:U),2,FALSE),"--")))</f>
        <v>--</v>
      </c>
      <c r="J38" s="173" t="str">
        <f t="shared" si="0"/>
        <v>控制器</v>
      </c>
      <c r="K38" s="173" t="str">
        <f t="shared" si="1"/>
        <v/>
      </c>
      <c r="L38" s="173" t="s">
        <v>31</v>
      </c>
      <c r="M38" s="173"/>
    </row>
    <row r="39" ht="18" customHeight="1" spans="1:13">
      <c r="A39" s="214">
        <v>2</v>
      </c>
      <c r="B39" s="323" t="str">
        <f t="shared" ref="B39:B73" si="4">B38</f>
        <v>3AEKC003AR</v>
      </c>
      <c r="C39" s="214">
        <v>1</v>
      </c>
      <c r="D39" s="214">
        <v>2</v>
      </c>
      <c r="E39" s="214">
        <v>130</v>
      </c>
      <c r="F39" s="214" t="str">
        <f t="array" ref="F39">IF(OR(IFERROR(SEARCH("-",E39),-1)&gt;0,E39=0),"--",IF(AND(C39=1,OR(D39=1,D39=2)),"NP204",IF(OR(D39=11,D39=12),"PM211",_xlfn.IFNA(VLOOKUP(B39&amp;C39&amp;D39,IF({1,0},IO分站清单!H:H&amp;IO分站清单!L:L&amp;IO分站清单!M:M,IO分站清单!I:I),2,FALSE),IF(AND(F38="FF211",NOT(MOD(D39,2))),"FF211","备用")))))</f>
        <v>NP204</v>
      </c>
      <c r="G39" s="214" t="str">
        <f t="array" ref="G39">IF(OR(IFERROR(SEARCH("-",E39),-1)&gt;0,E39=0),"--",IF(AND(C39=1,D39&lt;3),B39&amp;C39&amp;TEXT(D39,"00")&amp;"UC",IF(OR(D39=11,D39=12),B39&amp;C39&amp;TEXT(D39,"00")&amp;"PM",_xlfn.IFNA(VLOOKUP(B39&amp;C39&amp;D39,IF({1,0},IO分站清单!H:H&amp;IO分站清单!L:L&amp;IO分站清单!M:M,IO分站清单!K:K),2,FALSE),IF(AND(F38="FF211",F39="FF211"),B39&amp;C39&amp;TEXT(D39,"00")&amp;"FF","--")))))</f>
        <v>3AEKC003AR102UC</v>
      </c>
      <c r="H39" s="93" t="str">
        <f t="array" ref="H39">IF(F39="NP204","--",IF(OR(D39=11,D39=12),"--",_xlfn.IFNA(VLOOKUP(B39&amp;C39&amp;D39,IF({1,0},IO分站清单!H:H&amp;IO分站清单!L:L&amp;IO分站清单!M:M,IO分站清单!T:T),2,FALSE),IF(AND(F38="FF211",F39="FF211"),H38,"--"))))</f>
        <v>--</v>
      </c>
      <c r="I39" s="93" t="str">
        <f t="array" ref="I39">IF(AND(C39=1,OR(D39=1,D39=2)),"--",IF(OR(D39=11,D39=12),"--",_xlfn.IFNA(VLOOKUP(B39&amp;C39&amp;D39,IF({1,0},IO分站清单!H:H&amp;IO分站清单!L:L&amp;IO分站清单!M:M,IO分站清单!U:U),2,FALSE),"--")))</f>
        <v>--</v>
      </c>
      <c r="J39" s="214" t="str">
        <f t="shared" si="0"/>
        <v>控制器</v>
      </c>
      <c r="K39" s="214" t="str">
        <f t="shared" si="1"/>
        <v/>
      </c>
      <c r="L39" s="214" t="s">
        <v>31</v>
      </c>
      <c r="M39" s="214"/>
    </row>
    <row r="40" ht="18" customHeight="1" spans="1:13">
      <c r="A40" s="214">
        <v>3</v>
      </c>
      <c r="B40" s="323" t="str">
        <f t="shared" si="4"/>
        <v>3AEKC003AR</v>
      </c>
      <c r="C40" s="214">
        <v>1</v>
      </c>
      <c r="D40" s="214">
        <v>3</v>
      </c>
      <c r="E40" s="214">
        <v>3</v>
      </c>
      <c r="F40" s="214" t="str">
        <f t="array" ref="F40">IF(OR(IFERROR(SEARCH("-",E40),-1)&gt;0,E40=0),"--",IF(AND(C40=1,OR(D40=1,D40=2)),"NP204",IF(OR(D40=11,D40=12),"PM211",_xlfn.IFNA(VLOOKUP(B40&amp;C40&amp;D40,IF({1,0},IO分站清单!H:H&amp;IO分站清单!L:L&amp;IO分站清单!M:M,IO分站清单!I:I),2,FALSE),IF(AND(F39="FF211",NOT(MOD(D40,2))),"FF211","备用")))))</f>
        <v>AI216</v>
      </c>
      <c r="G40" s="214" t="str">
        <f t="array" ref="G40">IF(OR(IFERROR(SEARCH("-",E40),-1)&gt;0,E40=0),"--",IF(AND(C40=1,D40&lt;3),B40&amp;C40&amp;TEXT(D40,"00")&amp;"UC",IF(OR(D40=11,D40=12),B40&amp;C40&amp;TEXT(D40,"00")&amp;"PM",_xlfn.IFNA(VLOOKUP(B40&amp;C40&amp;D40,IF({1,0},IO分站清单!H:H&amp;IO分站清单!L:L&amp;IO分站清单!M:M,IO分站清单!K:K),2,FALSE),IF(AND(F39="FF211",F40="FF211"),B40&amp;C40&amp;TEXT(D40,"00")&amp;"FF","--")))))</f>
        <v>3AEKC003AR103AI</v>
      </c>
      <c r="H40" s="93" t="str">
        <f t="array" ref="H40">IF(F40="NP204","--",IF(OR(D40=11,D40=12),"--",_xlfn.IFNA(VLOOKUP(B40&amp;C40&amp;D40,IF({1,0},IO分站清单!H:H&amp;IO分站清单!L:L&amp;IO分站清单!M:M,IO分站清单!T:T),2,FALSE),IF(AND(F39="FF211",F40="FF211"),H39,"--"))))</f>
        <v>TB241</v>
      </c>
      <c r="I40" s="93" t="str">
        <f t="array" ref="I40">IF(AND(C40=1,OR(D40=1,D40=2)),"--",IF(OR(D40=11,D40=12),"--",_xlfn.IFNA(VLOOKUP(B40&amp;C40&amp;D40,IF({1,0},IO分站清单!H:H&amp;IO分站清单!L:L&amp;IO分站清单!M:M,IO分站清单!U:U),2,FALSE),"--")))</f>
        <v>103BN</v>
      </c>
      <c r="J40" s="214" t="str">
        <f t="shared" si="0"/>
        <v>8通道HART模拟量输入</v>
      </c>
      <c r="K40" s="214" t="str">
        <f t="shared" si="1"/>
        <v/>
      </c>
      <c r="L40" s="214" t="s">
        <v>31</v>
      </c>
      <c r="M40" s="214"/>
    </row>
    <row r="41" ht="18" customHeight="1" spans="1:13">
      <c r="A41" s="214">
        <v>4</v>
      </c>
      <c r="B41" s="323" t="str">
        <f t="shared" si="4"/>
        <v>3AEKC003AR</v>
      </c>
      <c r="C41" s="214">
        <v>1</v>
      </c>
      <c r="D41" s="214">
        <v>4</v>
      </c>
      <c r="E41" s="214">
        <v>4</v>
      </c>
      <c r="F41" s="214" t="str">
        <f t="array" ref="F41">IF(OR(IFERROR(SEARCH("-",E41),-1)&gt;0,E41=0),"--",IF(AND(C41=1,OR(D41=1,D41=2)),"NP204",IF(OR(D41=11,D41=12),"PM211",_xlfn.IFNA(VLOOKUP(B41&amp;C41&amp;D41,IF({1,0},IO分站清单!H:H&amp;IO分站清单!L:L&amp;IO分站清单!M:M,IO分站清单!I:I),2,FALSE),IF(AND(F40="FF211",NOT(MOD(D41,2))),"FF211","备用")))))</f>
        <v>AI212</v>
      </c>
      <c r="G41" s="214" t="str">
        <f t="array" ref="G41">IF(OR(IFERROR(SEARCH("-",E41),-1)&gt;0,E41=0),"--",IF(AND(C41=1,D41&lt;3),B41&amp;C41&amp;TEXT(D41,"00")&amp;"UC",IF(OR(D41=11,D41=12),B41&amp;C41&amp;TEXT(D41,"00")&amp;"PM",_xlfn.IFNA(VLOOKUP(B41&amp;C41&amp;D41,IF({1,0},IO分站清单!H:H&amp;IO分站清单!L:L&amp;IO分站清单!M:M,IO分站清单!K:K),2,FALSE),IF(AND(F40="FF211",F41="FF211"),B41&amp;C41&amp;TEXT(D41,"00")&amp;"FF","--")))))</f>
        <v>3AEKC003AR104AI</v>
      </c>
      <c r="H41" s="93" t="str">
        <f t="array" ref="H41">IF(F41="NP204","--",IF(OR(D41=11,D41=12),"--",_xlfn.IFNA(VLOOKUP(B41&amp;C41&amp;D41,IF({1,0},IO分站清单!H:H&amp;IO分站清单!L:L&amp;IO分站清单!M:M,IO分站清单!T:T),2,FALSE),IF(AND(F40="FF211",F41="FF211"),H40,"--"))))</f>
        <v>TB241</v>
      </c>
      <c r="I41" s="93" t="str">
        <f t="array" ref="I41">IF(AND(C41=1,OR(D41=1,D41=2)),"--",IF(OR(D41=11,D41=12),"--",_xlfn.IFNA(VLOOKUP(B41&amp;C41&amp;D41,IF({1,0},IO分站清单!H:H&amp;IO分站清单!L:L&amp;IO分站清单!M:M,IO分站清单!U:U),2,FALSE),"--")))</f>
        <v>104BN</v>
      </c>
      <c r="J41" s="214" t="str">
        <f t="shared" si="0"/>
        <v>8通道模拟量输入模块</v>
      </c>
      <c r="K41" s="214" t="str">
        <f t="shared" si="1"/>
        <v/>
      </c>
      <c r="L41" s="214" t="s">
        <v>31</v>
      </c>
      <c r="M41" s="214"/>
    </row>
    <row r="42" ht="18" customHeight="1" spans="1:13">
      <c r="A42" s="214">
        <v>5</v>
      </c>
      <c r="B42" s="323" t="str">
        <f t="shared" si="4"/>
        <v>3AEKC003AR</v>
      </c>
      <c r="C42" s="214">
        <v>1</v>
      </c>
      <c r="D42" s="214">
        <v>5</v>
      </c>
      <c r="E42" s="214">
        <v>5</v>
      </c>
      <c r="F42" s="214" t="str">
        <f t="array" ref="F42">IF(OR(IFERROR(SEARCH("-",E42),-1)&gt;0,E42=0),"--",IF(AND(C42=1,OR(D42=1,D42=2)),"NP204",IF(OR(D42=11,D42=12),"PM211",_xlfn.IFNA(VLOOKUP(B42&amp;C42&amp;D42,IF({1,0},IO分站清单!H:H&amp;IO分站清单!L:L&amp;IO分站清单!M:M,IO分站清单!I:I),2,FALSE),IF(AND(F41="FF211",NOT(MOD(D42,2))),"FF211","备用")))))</f>
        <v>AI232</v>
      </c>
      <c r="G42" s="214" t="str">
        <f t="array" ref="G42">IF(OR(IFERROR(SEARCH("-",E42),-1)&gt;0,E42=0),"--",IF(AND(C42=1,D42&lt;3),B42&amp;C42&amp;TEXT(D42,"00")&amp;"UC",IF(OR(D42=11,D42=12),B42&amp;C42&amp;TEXT(D42,"00")&amp;"PM",_xlfn.IFNA(VLOOKUP(B42&amp;C42&amp;D42,IF({1,0},IO分站清单!H:H&amp;IO分站清单!L:L&amp;IO分站清单!M:M,IO分站清单!K:K),2,FALSE),IF(AND(F41="FF211",F42="FF211"),B42&amp;C42&amp;TEXT(D42,"00")&amp;"FF","--")))))</f>
        <v>3AEKC003AR105RTD</v>
      </c>
      <c r="H42" s="93" t="str">
        <f t="array" ref="H42">IF(F42="NP204","--",IF(OR(D42=11,D42=12),"--",_xlfn.IFNA(VLOOKUP(B42&amp;C42&amp;D42,IF({1,0},IO分站清单!H:H&amp;IO分站清单!L:L&amp;IO分站清单!M:M,IO分站清单!T:T),2,FALSE),IF(AND(F41="FF211",F42="FF211"),H41,"--"))))</f>
        <v>TB246</v>
      </c>
      <c r="I42" s="93" t="str">
        <f t="array" ref="I42">IF(AND(C42=1,OR(D42=1,D42=2)),"--",IF(OR(D42=11,D42=12),"--",_xlfn.IFNA(VLOOKUP(B42&amp;C42&amp;D42,IF({1,0},IO分站清单!H:H&amp;IO分站清单!L:L&amp;IO分站清单!M:M,IO分站清单!U:U),2,FALSE),"--")))</f>
        <v>105BN</v>
      </c>
      <c r="J42" s="214" t="str">
        <f t="shared" si="0"/>
        <v>7通道热电阻模块</v>
      </c>
      <c r="K42" s="214" t="str">
        <f t="shared" si="1"/>
        <v/>
      </c>
      <c r="L42" s="214" t="s">
        <v>31</v>
      </c>
      <c r="M42" s="214"/>
    </row>
    <row r="43" ht="18" customHeight="1" spans="1:13">
      <c r="A43" s="214">
        <v>6</v>
      </c>
      <c r="B43" s="323" t="str">
        <f t="shared" si="4"/>
        <v>3AEKC003AR</v>
      </c>
      <c r="C43" s="214">
        <v>1</v>
      </c>
      <c r="D43" s="214">
        <v>6</v>
      </c>
      <c r="E43" s="214">
        <v>6</v>
      </c>
      <c r="F43" s="214" t="str">
        <f t="array" ref="F43">IF(OR(IFERROR(SEARCH("-",E43),-1)&gt;0,E43=0),"--",IF(AND(C43=1,OR(D43=1,D43=2)),"NP204",IF(OR(D43=11,D43=12),"PM211",_xlfn.IFNA(VLOOKUP(B43&amp;C43&amp;D43,IF({1,0},IO分站清单!H:H&amp;IO分站清单!L:L&amp;IO分站清单!M:M,IO分站清单!I:I),2,FALSE),IF(AND(F42="FF211",NOT(MOD(D43,2))),"FF211","备用")))))</f>
        <v>AI221</v>
      </c>
      <c r="G43" s="214" t="str">
        <f t="array" ref="G43">IF(OR(IFERROR(SEARCH("-",E43),-1)&gt;0,E43=0),"--",IF(AND(C43=1,D43&lt;3),B43&amp;C43&amp;TEXT(D43,"00")&amp;"UC",IF(OR(D43=11,D43=12),B43&amp;C43&amp;TEXT(D43,"00")&amp;"PM",_xlfn.IFNA(VLOOKUP(B43&amp;C43&amp;D43,IF({1,0},IO分站清单!H:H&amp;IO分站清单!L:L&amp;IO分站清单!M:M,IO分站清单!K:K),2,FALSE),IF(AND(F42="FF211",F43="FF211"),B43&amp;C43&amp;TEXT(D43,"00")&amp;"FF","--")))))</f>
        <v>3AEKC003AR106TC</v>
      </c>
      <c r="H43" s="93" t="str">
        <f t="array" ref="H43">IF(F43="NP204","--",IF(OR(D43=11,D43=12),"--",_xlfn.IFNA(VLOOKUP(B43&amp;C43&amp;D43,IF({1,0},IO分站清单!H:H&amp;IO分站清单!L:L&amp;IO分站清单!M:M,IO分站清单!T:T),2,FALSE),IF(AND(F42="FF211",F43="FF211"),H42,"--"))))</f>
        <v>TB242</v>
      </c>
      <c r="I43" s="93" t="str">
        <f t="array" ref="I43">IF(AND(C43=1,OR(D43=1,D43=2)),"--",IF(OR(D43=11,D43=12),"--",_xlfn.IFNA(VLOOKUP(B43&amp;C43&amp;D43,IF({1,0},IO分站清单!H:H&amp;IO分站清单!L:L&amp;IO分站清单!M:M,IO分站清单!U:U),2,FALSE),"--")))</f>
        <v>106BN</v>
      </c>
      <c r="J43" s="214" t="str">
        <f t="shared" si="0"/>
        <v>8通道热电偶模块</v>
      </c>
      <c r="K43" s="214" t="str">
        <f t="shared" si="1"/>
        <v/>
      </c>
      <c r="L43" s="214" t="s">
        <v>31</v>
      </c>
      <c r="M43" s="214"/>
    </row>
    <row r="44" ht="18" customHeight="1" spans="1:13">
      <c r="A44" s="214">
        <v>7</v>
      </c>
      <c r="B44" s="323" t="str">
        <f t="shared" si="4"/>
        <v>3AEKC003AR</v>
      </c>
      <c r="C44" s="214">
        <v>1</v>
      </c>
      <c r="D44" s="214">
        <v>7</v>
      </c>
      <c r="E44" s="214">
        <v>7</v>
      </c>
      <c r="F44" s="214" t="str">
        <f t="array" ref="F44">IF(OR(IFERROR(SEARCH("-",E44),-1)&gt;0,E44=0),"--",IF(AND(C44=1,OR(D44=1,D44=2)),"NP204",IF(OR(D44=11,D44=12),"PM211",_xlfn.IFNA(VLOOKUP(B44&amp;C44&amp;D44,IF({1,0},IO分站清单!H:H&amp;IO分站清单!L:L&amp;IO分站清单!M:M,IO分站清单!I:I),2,FALSE),IF(AND(F43="FF211",NOT(MOD(D44,2))),"FF211","备用")))))</f>
        <v>AO211</v>
      </c>
      <c r="G44" s="214" t="str">
        <f t="array" ref="G44">IF(OR(IFERROR(SEARCH("-",E44),-1)&gt;0,E44=0),"--",IF(AND(C44=1,D44&lt;3),B44&amp;C44&amp;TEXT(D44,"00")&amp;"UC",IF(OR(D44=11,D44=12),B44&amp;C44&amp;TEXT(D44,"00")&amp;"PM",_xlfn.IFNA(VLOOKUP(B44&amp;C44&amp;D44,IF({1,0},IO分站清单!H:H&amp;IO分站清单!L:L&amp;IO分站清单!M:M,IO分站清单!K:K),2,FALSE),IF(AND(F43="FF211",F44="FF211"),B44&amp;C44&amp;TEXT(D44,"00")&amp;"FF","--")))))</f>
        <v>3AEKC003AR107AO</v>
      </c>
      <c r="H44" s="93" t="str">
        <f t="array" ref="H44">IF(F44="NP204","--",IF(OR(D44=11,D44=12),"--",_xlfn.IFNA(VLOOKUP(B44&amp;C44&amp;D44,IF({1,0},IO分站清单!H:H&amp;IO分站清单!L:L&amp;IO分站清单!M:M,IO分站清单!T:T),2,FALSE),IF(AND(F43="FF211",F44="FF211"),H43,"--"))))</f>
        <v>TB251</v>
      </c>
      <c r="I44" s="93" t="str">
        <f t="array" ref="I44">IF(AND(C44=1,OR(D44=1,D44=2)),"--",IF(OR(D44=11,D44=12),"--",_xlfn.IFNA(VLOOKUP(B44&amp;C44&amp;D44,IF({1,0},IO分站清单!H:H&amp;IO分站清单!L:L&amp;IO分站清单!M:M,IO分站清单!U:U),2,FALSE),"--")))</f>
        <v>107BN</v>
      </c>
      <c r="J44" s="214" t="str">
        <f t="shared" si="0"/>
        <v>8通道模拟量输出模块</v>
      </c>
      <c r="K44" s="214" t="str">
        <f t="shared" si="1"/>
        <v/>
      </c>
      <c r="L44" s="214" t="s">
        <v>31</v>
      </c>
      <c r="M44" s="214"/>
    </row>
    <row r="45" ht="18" customHeight="1" spans="1:13">
      <c r="A45" s="214">
        <v>8</v>
      </c>
      <c r="B45" s="323" t="str">
        <f t="shared" si="4"/>
        <v>3AEKC003AR</v>
      </c>
      <c r="C45" s="214">
        <v>1</v>
      </c>
      <c r="D45" s="214">
        <v>8</v>
      </c>
      <c r="E45" s="214">
        <v>8</v>
      </c>
      <c r="F45" s="214" t="str">
        <f t="array" ref="F45">IF(OR(IFERROR(SEARCH("-",E45),-1)&gt;0,E45=0),"--",IF(AND(C45=1,OR(D45=1,D45=2)),"NP204",IF(OR(D45=11,D45=12),"PM211",_xlfn.IFNA(VLOOKUP(B45&amp;C45&amp;D45,IF({1,0},IO分站清单!H:H&amp;IO分站清单!L:L&amp;IO分站清单!M:M,IO分站清单!I:I),2,FALSE),IF(AND(F44="FF211",NOT(MOD(D45,2))),"FF211","备用")))))</f>
        <v>AO215</v>
      </c>
      <c r="G45" s="214" t="str">
        <f t="array" ref="G45">IF(OR(IFERROR(SEARCH("-",E45),-1)&gt;0,E45=0),"--",IF(AND(C45=1,D45&lt;3),B45&amp;C45&amp;TEXT(D45,"00")&amp;"UC",IF(OR(D45=11,D45=12),B45&amp;C45&amp;TEXT(D45,"00")&amp;"PM",_xlfn.IFNA(VLOOKUP(B45&amp;C45&amp;D45,IF({1,0},IO分站清单!H:H&amp;IO分站清单!L:L&amp;IO分站清单!M:M,IO分站清单!K:K),2,FALSE),IF(AND(F44="FF211",F45="FF211"),B45&amp;C45&amp;TEXT(D45,"00")&amp;"FF","--")))))</f>
        <v>3AEKC003AR108AO</v>
      </c>
      <c r="H45" s="93" t="str">
        <f t="array" ref="H45">IF(F45="NP204","--",IF(OR(D45=11,D45=12),"--",_xlfn.IFNA(VLOOKUP(B45&amp;C45&amp;D45,IF({1,0},IO分站清单!H:H&amp;IO分站清单!L:L&amp;IO分站清单!M:M,IO分站清单!T:T),2,FALSE),IF(AND(F44="FF211",F45="FF211"),H44,"--"))))</f>
        <v>TB244</v>
      </c>
      <c r="I45" s="93" t="str">
        <f t="array" ref="I45">IF(AND(C45=1,OR(D45=1,D45=2)),"--",IF(OR(D45=11,D45=12),"--",_xlfn.IFNA(VLOOKUP(B45&amp;C45&amp;D45,IF({1,0},IO分站清单!H:H&amp;IO分站清单!L:L&amp;IO分站清单!M:M,IO分站清单!U:U),2,FALSE),"--")))</f>
        <v>108BN</v>
      </c>
      <c r="J45" s="214" t="str">
        <f t="shared" si="0"/>
        <v>8通道HART模拟量输出</v>
      </c>
      <c r="K45" s="214" t="str">
        <f t="shared" si="1"/>
        <v/>
      </c>
      <c r="L45" s="214" t="s">
        <v>31</v>
      </c>
      <c r="M45" s="214"/>
    </row>
    <row r="46" ht="18" customHeight="1" spans="1:13">
      <c r="A46" s="214">
        <v>9</v>
      </c>
      <c r="B46" s="323" t="str">
        <f t="shared" si="4"/>
        <v>3AEKC003AR</v>
      </c>
      <c r="C46" s="214">
        <v>1</v>
      </c>
      <c r="D46" s="214">
        <v>9</v>
      </c>
      <c r="E46" s="214">
        <v>9</v>
      </c>
      <c r="F46" s="214" t="str">
        <f t="array" ref="F46">IF(OR(IFERROR(SEARCH("-",E46),-1)&gt;0,E46=0),"--",IF(AND(C46=1,OR(D46=1,D46=2)),"NP204",IF(OR(D46=11,D46=12),"PM211",_xlfn.IFNA(VLOOKUP(B46&amp;C46&amp;D46,IF({1,0},IO分站清单!H:H&amp;IO分站清单!L:L&amp;IO分站清单!M:M,IO分站清单!I:I),2,FALSE),IF(AND(F45="FF211",NOT(MOD(D46,2))),"FF211","备用")))))</f>
        <v>PI211</v>
      </c>
      <c r="G46" s="214" t="str">
        <f t="array" ref="G46">IF(OR(IFERROR(SEARCH("-",E46),-1)&gt;0,E46=0),"--",IF(AND(C46=1,D46&lt;3),B46&amp;C46&amp;TEXT(D46,"00")&amp;"UC",IF(OR(D46=11,D46=12),B46&amp;C46&amp;TEXT(D46,"00")&amp;"PM",_xlfn.IFNA(VLOOKUP(B46&amp;C46&amp;D46,IF({1,0},IO分站清单!H:H&amp;IO分站清单!L:L&amp;IO分站清单!M:M,IO分站清单!K:K),2,FALSE),IF(AND(F45="FF211",F46="FF211"),B46&amp;C46&amp;TEXT(D46,"00")&amp;"FF","--")))))</f>
        <v>3AEKC003AR109PI</v>
      </c>
      <c r="H46" s="93" t="str">
        <f t="array" ref="H46">IF(F46="NP204","--",IF(OR(D46=11,D46=12),"--",_xlfn.IFNA(VLOOKUP(B46&amp;C46&amp;D46,IF({1,0},IO分站清单!H:H&amp;IO分站清单!L:L&amp;IO分站清单!M:M,IO分站清单!T:T),2,FALSE),IF(AND(F45="FF211",F46="FF211"),H45,"--"))))</f>
        <v>TB244</v>
      </c>
      <c r="I46" s="93" t="str">
        <f t="array" ref="I46">IF(AND(C46=1,OR(D46=1,D46=2)),"--",IF(OR(D46=11,D46=12),"--",_xlfn.IFNA(VLOOKUP(B46&amp;C46&amp;D46,IF({1,0},IO分站清单!H:H&amp;IO分站清单!L:L&amp;IO分站清单!M:M,IO分站清单!U:U),2,FALSE),"--")))</f>
        <v>109BN</v>
      </c>
      <c r="J46" s="214" t="str">
        <f t="shared" si="0"/>
        <v>脉冲量输入模块</v>
      </c>
      <c r="K46" s="214" t="str">
        <f t="shared" si="1"/>
        <v/>
      </c>
      <c r="L46" s="214" t="s">
        <v>31</v>
      </c>
      <c r="M46" s="214"/>
    </row>
    <row r="47" ht="18" customHeight="1" spans="1:13">
      <c r="A47" s="214">
        <v>10</v>
      </c>
      <c r="B47" s="323" t="str">
        <f t="shared" si="4"/>
        <v>3AEKC003AR</v>
      </c>
      <c r="C47" s="214">
        <v>1</v>
      </c>
      <c r="D47" s="214">
        <v>10</v>
      </c>
      <c r="E47" s="214" t="s">
        <v>143</v>
      </c>
      <c r="F47" s="214" t="str">
        <f t="array" ref="F47">IF(OR(IFERROR(SEARCH("-",E47),-1)&gt;0,E47=0),"--",IF(AND(C47=1,OR(D47=1,D47=2)),"NP204",IF(OR(D47=11,D47=12),"PM211",_xlfn.IFNA(VLOOKUP(B47&amp;C47&amp;D47,IF({1,0},IO分站清单!H:H&amp;IO分站清单!L:L&amp;IO分站清单!M:M,IO分站清单!I:I),2,FALSE),IF(AND(F46="FF211",NOT(MOD(D47,2))),"FF211","备用")))))</f>
        <v>备用</v>
      </c>
      <c r="G47" s="214" t="str">
        <f t="array" ref="G47">IF(OR(IFERROR(SEARCH("-",E47),-1)&gt;0,E47=0),"--",IF(AND(C47=1,D47&lt;3),B47&amp;C47&amp;TEXT(D47,"00")&amp;"UC",IF(OR(D47=11,D47=12),B47&amp;C47&amp;TEXT(D47,"00")&amp;"PM",_xlfn.IFNA(VLOOKUP(B47&amp;C47&amp;D47,IF({1,0},IO分站清单!H:H&amp;IO分站清单!L:L&amp;IO分站清单!M:M,IO分站清单!K:K),2,FALSE),IF(AND(F46="FF211",F47="FF211"),B47&amp;C47&amp;TEXT(D47,"00")&amp;"FF","--")))))</f>
        <v>--</v>
      </c>
      <c r="H47" s="93" t="str">
        <f t="array" ref="H47">IF(F47="NP204","--",IF(OR(D47=11,D47=12),"--",_xlfn.IFNA(VLOOKUP(B47&amp;C47&amp;D47,IF({1,0},IO分站清单!H:H&amp;IO分站清单!L:L&amp;IO分站清单!M:M,IO分站清单!T:T),2,FALSE),IF(AND(F46="FF211",F47="FF211"),H46,"--"))))</f>
        <v>--</v>
      </c>
      <c r="I47" s="93" t="str">
        <f t="array" ref="I47">IF(AND(C47=1,OR(D47=1,D47=2)),"--",IF(OR(D47=11,D47=12),"--",_xlfn.IFNA(VLOOKUP(B47&amp;C47&amp;D47,IF({1,0},IO分站清单!H:H&amp;IO分站清单!L:L&amp;IO分站清单!M:M,IO分站清单!U:U),2,FALSE),"--")))</f>
        <v>--</v>
      </c>
      <c r="J47" s="214" t="str">
        <f t="shared" si="0"/>
        <v>--</v>
      </c>
      <c r="K47" s="214" t="str">
        <f t="shared" si="1"/>
        <v/>
      </c>
      <c r="L47" s="214" t="s">
        <v>31</v>
      </c>
      <c r="M47" s="214"/>
    </row>
    <row r="48" ht="18" customHeight="1" spans="1:13">
      <c r="A48" s="214">
        <v>11</v>
      </c>
      <c r="B48" s="323" t="str">
        <f t="shared" si="4"/>
        <v>3AEKC003AR</v>
      </c>
      <c r="C48" s="214">
        <v>1</v>
      </c>
      <c r="D48" s="214">
        <v>11</v>
      </c>
      <c r="E48" s="214" t="s">
        <v>146</v>
      </c>
      <c r="F48" s="214" t="str">
        <f t="array" ref="F48">IF(OR(IFERROR(SEARCH("-",E48),-1)&gt;0,E48=0),"--",IF(AND(C48=1,OR(D48=1,D48=2)),"NP204",IF(OR(D48=11,D48=12),"PM211",_xlfn.IFNA(VLOOKUP(B48&amp;C48&amp;D48,IF({1,0},IO分站清单!H:H&amp;IO分站清单!L:L&amp;IO分站清单!M:M,IO分站清单!I:I),2,FALSE),IF(AND(F47="FF211",NOT(MOD(D48,2))),"FF211","备用")))))</f>
        <v>PM211</v>
      </c>
      <c r="G48" s="214" t="str">
        <f t="array" ref="G48">IF(OR(IFERROR(SEARCH("-",E48),-1)&gt;0,E48=0),"--",IF(AND(C48=1,D48&lt;3),B48&amp;C48&amp;TEXT(D48,"00")&amp;"UC",IF(OR(D48=11,D48=12),B48&amp;C48&amp;TEXT(D48,"00")&amp;"PM",_xlfn.IFNA(VLOOKUP(B48&amp;C48&amp;D48,IF({1,0},IO分站清单!H:H&amp;IO分站清单!L:L&amp;IO分站清单!M:M,IO分站清单!K:K),2,FALSE),IF(AND(F47="FF211",F48="FF211"),B48&amp;C48&amp;TEXT(D48,"00")&amp;"FF","--")))))</f>
        <v>3AEKC003AR111PM</v>
      </c>
      <c r="H48" s="93" t="str">
        <f t="array" ref="H48">IF(F48="NP204","--",IF(OR(D48=11,D48=12),"--",_xlfn.IFNA(VLOOKUP(B48&amp;C48&amp;D48,IF({1,0},IO分站清单!H:H&amp;IO分站清单!L:L&amp;IO分站清单!M:M,IO分站清单!T:T),2,FALSE),IF(AND(F47="FF211",F48="FF211"),H47,"--"))))</f>
        <v>--</v>
      </c>
      <c r="I48" s="93" t="str">
        <f t="array" ref="I48">IF(AND(C48=1,OR(D48=1,D48=2)),"--",IF(OR(D48=11,D48=12),"--",_xlfn.IFNA(VLOOKUP(B48&amp;C48&amp;D48,IF({1,0},IO分站清单!H:H&amp;IO分站清单!L:L&amp;IO分站清单!M:M,IO分站清单!U:U),2,FALSE),"--")))</f>
        <v>--</v>
      </c>
      <c r="J48" s="214" t="str">
        <f t="shared" si="0"/>
        <v>DC24V电源板卡</v>
      </c>
      <c r="K48" s="214" t="str">
        <f t="shared" si="1"/>
        <v/>
      </c>
      <c r="L48" s="214" t="s">
        <v>31</v>
      </c>
      <c r="M48" s="214"/>
    </row>
    <row r="49" ht="18" customHeight="1" spans="1:13">
      <c r="A49" s="215">
        <v>12</v>
      </c>
      <c r="B49" s="324" t="str">
        <f t="shared" si="4"/>
        <v>3AEKC003AR</v>
      </c>
      <c r="C49" s="215">
        <v>1</v>
      </c>
      <c r="D49" s="215">
        <v>12</v>
      </c>
      <c r="E49" s="215" t="s">
        <v>149</v>
      </c>
      <c r="F49" s="215" t="str">
        <f t="array" ref="F49">IF(OR(IFERROR(SEARCH("-",E49),-1)&gt;0,E49=0),"--",IF(AND(C49=1,OR(D49=1,D49=2)),"NP204",IF(OR(D49=11,D49=12),"PM211",_xlfn.IFNA(VLOOKUP(B49&amp;C49&amp;D49,IF({1,0},IO分站清单!H:H&amp;IO分站清单!L:L&amp;IO分站清单!M:M,IO分站清单!I:I),2,FALSE),IF(AND(F48="FF211",NOT(MOD(D49,2))),"FF211","备用")))))</f>
        <v>PM211</v>
      </c>
      <c r="G49" s="215" t="str">
        <f t="array" ref="G49">IF(OR(IFERROR(SEARCH("-",E49),-1)&gt;0,E49=0),"--",IF(AND(C49=1,D49&lt;3),B49&amp;C49&amp;TEXT(D49,"00")&amp;"UC",IF(OR(D49=11,D49=12),B49&amp;C49&amp;TEXT(D49,"00")&amp;"PM",_xlfn.IFNA(VLOOKUP(B49&amp;C49&amp;D49,IF({1,0},IO分站清单!H:H&amp;IO分站清单!L:L&amp;IO分站清单!M:M,IO分站清单!K:K),2,FALSE),IF(AND(F48="FF211",F49="FF211"),B49&amp;C49&amp;TEXT(D49,"00")&amp;"FF","--")))))</f>
        <v>3AEKC003AR112PM</v>
      </c>
      <c r="H49" s="216" t="str">
        <f t="array" ref="H49">IF(F49="NP204","--",IF(OR(D49=11,D49=12),"--",_xlfn.IFNA(VLOOKUP(B49&amp;C49&amp;D49,IF({1,0},IO分站清单!H:H&amp;IO分站清单!L:L&amp;IO分站清单!M:M,IO分站清单!T:T),2,FALSE),IF(AND(F48="FF211",F49="FF211"),H48,"--"))))</f>
        <v>--</v>
      </c>
      <c r="I49" s="216" t="str">
        <f t="array" ref="I49">IF(AND(C49=1,OR(D49=1,D49=2)),"--",IF(OR(D49=11,D49=12),"--",_xlfn.IFNA(VLOOKUP(B49&amp;C49&amp;D49,IF({1,0},IO分站清单!H:H&amp;IO分站清单!L:L&amp;IO分站清单!M:M,IO分站清单!U:U),2,FALSE),"--")))</f>
        <v>--</v>
      </c>
      <c r="J49" s="215" t="str">
        <f t="shared" si="0"/>
        <v>DC24V电源板卡</v>
      </c>
      <c r="K49" s="215" t="str">
        <f t="shared" si="1"/>
        <v/>
      </c>
      <c r="L49" s="215" t="s">
        <v>31</v>
      </c>
      <c r="M49" s="215"/>
    </row>
    <row r="50" ht="18" customHeight="1" spans="1:13">
      <c r="A50" s="217">
        <v>13</v>
      </c>
      <c r="B50" s="325" t="str">
        <f t="shared" si="4"/>
        <v>3AEKC003AR</v>
      </c>
      <c r="C50" s="217">
        <v>2</v>
      </c>
      <c r="D50" s="217">
        <v>1</v>
      </c>
      <c r="E50" s="217">
        <f t="shared" ref="E50:E73" si="5">IF(AND(C50=1,D50&lt;3),"",IF(D50&lt;10,(C50-1)*10+D50,IF(D50=10,(C50-1)&amp;"A",IF(D50=11,(C50-1)&amp;"B",(C50-1)&amp;"C"))))</f>
        <v>11</v>
      </c>
      <c r="F50" s="217" t="str">
        <f t="array" ref="F50">IF(OR(IFERROR(SEARCH("-",E50),-1)&gt;0,E50=0),"--",IF(AND(C50=1,OR(D50=1,D50=2)),"NP204",IF(OR(D50=11,D50=12),"PM211",_xlfn.IFNA(VLOOKUP(B50&amp;C50&amp;D50,IF({1,0},IO分站清单!H:H&amp;IO分站清单!L:L&amp;IO分站清单!M:M,IO分站清单!I:I),2,FALSE),IF(AND(F49="FF211",NOT(MOD(D50,2))),"FF211","备用")))))</f>
        <v>DI211</v>
      </c>
      <c r="G50" s="217" t="str">
        <f t="array" ref="G50">IF(OR(IFERROR(SEARCH("-",E50),-1)&gt;0,E50=0),"--",IF(AND(C50=1,D50&lt;3),B50&amp;C50&amp;TEXT(D50,"00")&amp;"UC",IF(OR(D50=11,D50=12),B50&amp;C50&amp;TEXT(D50,"00")&amp;"PM",_xlfn.IFNA(VLOOKUP(B50&amp;C50&amp;D50,IF({1,0},IO分站清单!H:H&amp;IO分站清单!L:L&amp;IO分站清单!M:M,IO分站清单!K:K),2,FALSE),IF(AND(F49="FF211",F50="FF211"),B50&amp;C50&amp;TEXT(D50,"00")&amp;"FF","--")))))</f>
        <v>3AEKC003AR201DI</v>
      </c>
      <c r="H50" s="218" t="str">
        <f t="array" ref="H50">IF(F50="NP204","--",IF(OR(D50=11,D50=12),"--",_xlfn.IFNA(VLOOKUP(B50&amp;C50&amp;D50,IF({1,0},IO分站清单!H:H&amp;IO分站清单!L:L&amp;IO分站清单!M:M,IO分站清单!T:T),2,FALSE),IF(AND(F49="FF211",F50="FF211"),H49,"--"))))</f>
        <v>TB222</v>
      </c>
      <c r="I50" s="218" t="str">
        <f t="array" ref="I50">IF(AND(C50=1,OR(D50=1,D50=2)),"--",IF(OR(D50=11,D50=12),"--",_xlfn.IFNA(VLOOKUP(B50&amp;C50&amp;D50,IF({1,0},IO分站清单!H:H&amp;IO分站清单!L:L&amp;IO分站清单!M:M,IO分站清单!U:U),2,FALSE),"--")))</f>
        <v>201BN</v>
      </c>
      <c r="J50" s="217" t="str">
        <f t="shared" si="0"/>
        <v>16通道开关量输入模块</v>
      </c>
      <c r="K50" s="217" t="str">
        <f t="shared" si="1"/>
        <v/>
      </c>
      <c r="L50" s="217" t="s">
        <v>31</v>
      </c>
      <c r="M50" s="217"/>
    </row>
    <row r="51" ht="18" customHeight="1" spans="1:13">
      <c r="A51" s="214">
        <v>14</v>
      </c>
      <c r="B51" s="323" t="str">
        <f t="shared" si="4"/>
        <v>3AEKC003AR</v>
      </c>
      <c r="C51" s="214">
        <v>2</v>
      </c>
      <c r="D51" s="214">
        <v>2</v>
      </c>
      <c r="E51" s="214">
        <f t="shared" si="5"/>
        <v>12</v>
      </c>
      <c r="F51" s="214" t="str">
        <f t="array" ref="F51">IF(OR(IFERROR(SEARCH("-",E51),-1)&gt;0,E51=0),"--",IF(AND(C51=1,OR(D51=1,D51=2)),"NP204",IF(OR(D51=11,D51=12),"PM211",_xlfn.IFNA(VLOOKUP(B51&amp;C51&amp;D51,IF({1,0},IO分站清单!H:H&amp;IO分站清单!L:L&amp;IO分站清单!M:M,IO分站清单!I:I),2,FALSE),IF(AND(F50="FF211",NOT(MOD(D51,2))),"FF211","备用")))))</f>
        <v>DI211</v>
      </c>
      <c r="G51" s="214" t="str">
        <f t="array" ref="G51">IF(OR(IFERROR(SEARCH("-",E51),-1)&gt;0,E51=0),"--",IF(AND(C51=1,D51&lt;3),B51&amp;C51&amp;TEXT(D51,"00")&amp;"UC",IF(OR(D51=11,D51=12),B51&amp;C51&amp;TEXT(D51,"00")&amp;"PM",_xlfn.IFNA(VLOOKUP(B51&amp;C51&amp;D51,IF({1,0},IO分站清单!H:H&amp;IO分站清单!L:L&amp;IO分站清单!M:M,IO分站清单!K:K),2,FALSE),IF(AND(F50="FF211",F51="FF211"),B51&amp;C51&amp;TEXT(D51,"00")&amp;"FF","--")))))</f>
        <v>3AEKC003AR202DI</v>
      </c>
      <c r="H51" s="93" t="str">
        <f t="array" ref="H51">IF(F51="NP204","--",IF(OR(D51=11,D51=12),"--",_xlfn.IFNA(VLOOKUP(B51&amp;C51&amp;D51,IF({1,0},IO分站清单!H:H&amp;IO分站清单!L:L&amp;IO分站清单!M:M,IO分站清单!T:T),2,FALSE),IF(AND(F50="FF211",F51="FF211"),H50,"--"))))</f>
        <v>TB221</v>
      </c>
      <c r="I51" s="93" t="str">
        <f t="array" ref="I51">IF(AND(C51=1,OR(D51=1,D51=2)),"--",IF(OR(D51=11,D51=12),"--",_xlfn.IFNA(VLOOKUP(B51&amp;C51&amp;D51,IF({1,0},IO分站清单!H:H&amp;IO分站清单!L:L&amp;IO分站清单!M:M,IO分站清单!U:U),2,FALSE),"--")))</f>
        <v>202BN</v>
      </c>
      <c r="J51" s="214" t="str">
        <f t="shared" si="0"/>
        <v>16通道开关量输入模块</v>
      </c>
      <c r="K51" s="214" t="str">
        <f t="shared" si="1"/>
        <v/>
      </c>
      <c r="L51" s="214" t="s">
        <v>31</v>
      </c>
      <c r="M51" s="214"/>
    </row>
    <row r="52" ht="18" customHeight="1" spans="1:13">
      <c r="A52" s="214">
        <v>15</v>
      </c>
      <c r="B52" s="323" t="str">
        <f t="shared" si="4"/>
        <v>3AEKC003AR</v>
      </c>
      <c r="C52" s="214">
        <v>2</v>
      </c>
      <c r="D52" s="214">
        <v>3</v>
      </c>
      <c r="E52" s="214">
        <f t="shared" si="5"/>
        <v>13</v>
      </c>
      <c r="F52" s="214" t="str">
        <f t="array" ref="F52">IF(OR(IFERROR(SEARCH("-",E52),-1)&gt;0,E52=0),"--",IF(AND(C52=1,OR(D52=1,D52=2)),"NP204",IF(OR(D52=11,D52=12),"PM211",_xlfn.IFNA(VLOOKUP(B52&amp;C52&amp;D52,IF({1,0},IO分站清单!H:H&amp;IO分站清单!L:L&amp;IO分站清单!M:M,IO分站清单!I:I),2,FALSE),IF(AND(F51="FF211",NOT(MOD(D52,2))),"FF211","备用")))))</f>
        <v>DO211</v>
      </c>
      <c r="G52" s="214" t="str">
        <f t="array" ref="G52">IF(OR(IFERROR(SEARCH("-",E52),-1)&gt;0,E52=0),"--",IF(AND(C52=1,D52&lt;3),B52&amp;C52&amp;TEXT(D52,"00")&amp;"UC",IF(OR(D52=11,D52=12),B52&amp;C52&amp;TEXT(D52,"00")&amp;"PM",_xlfn.IFNA(VLOOKUP(B52&amp;C52&amp;D52,IF({1,0},IO分站清单!H:H&amp;IO分站清单!L:L&amp;IO分站清单!M:M,IO分站清单!K:K),2,FALSE),IF(AND(F51="FF211",F52="FF211"),B52&amp;C52&amp;TEXT(D52,"00")&amp;"FF","--")))))</f>
        <v>3AEKC003AR203DO</v>
      </c>
      <c r="H52" s="93" t="str">
        <f t="array" ref="H52">IF(F52="NP204","--",IF(OR(D52=11,D52=12),"--",_xlfn.IFNA(VLOOKUP(B52&amp;C52&amp;D52,IF({1,0},IO分站清单!H:H&amp;IO分站清单!L:L&amp;IO分站清单!M:M,IO分站清单!T:T),2,FALSE),IF(AND(F51="FF211",F52="FF211"),H51,"--"))))</f>
        <v>TB233</v>
      </c>
      <c r="I52" s="93" t="str">
        <f t="array" ref="I52">IF(AND(C52=1,OR(D52=1,D52=2)),"--",IF(OR(D52=11,D52=12),"--",_xlfn.IFNA(VLOOKUP(B52&amp;C52&amp;D52,IF({1,0},IO分站清单!H:H&amp;IO分站清单!L:L&amp;IO分站清单!M:M,IO分站清单!U:U),2,FALSE),"--")))</f>
        <v>203BN</v>
      </c>
      <c r="J52" s="214" t="str">
        <f t="shared" si="0"/>
        <v>16通道开关量输出模块</v>
      </c>
      <c r="K52" s="214" t="str">
        <f t="shared" si="1"/>
        <v/>
      </c>
      <c r="L52" s="214" t="s">
        <v>31</v>
      </c>
      <c r="M52" s="214"/>
    </row>
    <row r="53" ht="18" customHeight="1" spans="1:13">
      <c r="A53" s="214">
        <v>16</v>
      </c>
      <c r="B53" s="323" t="str">
        <f t="shared" si="4"/>
        <v>3AEKC003AR</v>
      </c>
      <c r="C53" s="214">
        <v>2</v>
      </c>
      <c r="D53" s="214">
        <v>4</v>
      </c>
      <c r="E53" s="214">
        <f t="shared" si="5"/>
        <v>14</v>
      </c>
      <c r="F53" s="214" t="str">
        <f t="array" ref="F53">IF(OR(IFERROR(SEARCH("-",E53),-1)&gt;0,E53=0),"--",IF(AND(C53=1,OR(D53=1,D53=2)),"NP204",IF(OR(D53=11,D53=12),"PM211",_xlfn.IFNA(VLOOKUP(B53&amp;C53&amp;D53,IF({1,0},IO分站清单!H:H&amp;IO分站清单!L:L&amp;IO分站清单!M:M,IO分站清单!I:I),2,FALSE),IF(AND(F52="FF211",NOT(MOD(D53,2))),"FF211","备用")))))</f>
        <v>DO211</v>
      </c>
      <c r="G53" s="214" t="str">
        <f t="array" ref="G53">IF(OR(IFERROR(SEARCH("-",E53),-1)&gt;0,E53=0),"--",IF(AND(C53=1,D53&lt;3),B53&amp;C53&amp;TEXT(D53,"00")&amp;"UC",IF(OR(D53=11,D53=12),B53&amp;C53&amp;TEXT(D53,"00")&amp;"PM",_xlfn.IFNA(VLOOKUP(B53&amp;C53&amp;D53,IF({1,0},IO分站清单!H:H&amp;IO分站清单!L:L&amp;IO分站清单!M:M,IO分站清单!K:K),2,FALSE),IF(AND(F52="FF211",F53="FF211"),B53&amp;C53&amp;TEXT(D53,"00")&amp;"FF","--")))))</f>
        <v>3AEKC003AR204DO</v>
      </c>
      <c r="H53" s="93" t="str">
        <f t="array" ref="H53">IF(F53="NP204","--",IF(OR(D53=11,D53=12),"--",_xlfn.IFNA(VLOOKUP(B53&amp;C53&amp;D53,IF({1,0},IO分站清单!H:H&amp;IO分站清单!L:L&amp;IO分站清单!M:M,IO分站清单!T:T),2,FALSE),IF(AND(F52="FF211",F53="FF211"),H52,"--"))))</f>
        <v>TB231</v>
      </c>
      <c r="I53" s="93" t="str">
        <f t="array" ref="I53">IF(AND(C53=1,OR(D53=1,D53=2)),"--",IF(OR(D53=11,D53=12),"--",_xlfn.IFNA(VLOOKUP(B53&amp;C53&amp;D53,IF({1,0},IO分站清单!H:H&amp;IO分站清单!L:L&amp;IO分站清单!M:M,IO分站清单!U:U),2,FALSE),"--")))</f>
        <v>204BN</v>
      </c>
      <c r="J53" s="214" t="str">
        <f t="shared" si="0"/>
        <v>16通道开关量输出模块</v>
      </c>
      <c r="K53" s="214" t="str">
        <f t="shared" si="1"/>
        <v/>
      </c>
      <c r="L53" s="214" t="s">
        <v>31</v>
      </c>
      <c r="M53" s="214"/>
    </row>
    <row r="54" ht="18" customHeight="1" spans="1:13">
      <c r="A54" s="214">
        <v>17</v>
      </c>
      <c r="B54" s="323" t="str">
        <f t="shared" si="4"/>
        <v>3AEKC003AR</v>
      </c>
      <c r="C54" s="214">
        <v>2</v>
      </c>
      <c r="D54" s="214">
        <v>5</v>
      </c>
      <c r="E54" s="214">
        <f t="shared" si="5"/>
        <v>15</v>
      </c>
      <c r="F54" s="214" t="str">
        <f t="array" ref="F54">IF(OR(IFERROR(SEARCH("-",E54),-1)&gt;0,E54=0),"--",IF(AND(C54=1,OR(D54=1,D54=2)),"NP204",IF(OR(D54=11,D54=12),"PM211",_xlfn.IFNA(VLOOKUP(B54&amp;C54&amp;D54,IF({1,0},IO分站清单!H:H&amp;IO分站清单!L:L&amp;IO分站清单!M:M,IO分站清单!I:I),2,FALSE),IF(AND(F53="FF211",NOT(MOD(D54,2))),"FF211","备用")))))</f>
        <v>FF211</v>
      </c>
      <c r="G54" s="214" t="str">
        <f t="array" ref="G54">IF(OR(IFERROR(SEARCH("-",E54),-1)&gt;0,E54=0),"--",IF(AND(C54=1,D54&lt;3),B54&amp;C54&amp;TEXT(D54,"00")&amp;"UC",IF(OR(D54=11,D54=12),B54&amp;C54&amp;TEXT(D54,"00")&amp;"PM",_xlfn.IFNA(VLOOKUP(B54&amp;C54&amp;D54,IF({1,0},IO分站清单!H:H&amp;IO分站清单!L:L&amp;IO分站清单!M:M,IO分站清单!K:K),2,FALSE),IF(AND(F53="FF211",F54="FF211"),B54&amp;C54&amp;TEXT(D54,"00")&amp;"FF","--")))))</f>
        <v>3AEKC003AR205FF</v>
      </c>
      <c r="H54" s="93" t="str">
        <f t="array" ref="H54">IF(F54="NP204","--",IF(OR(D54=11,D54=12),"--",_xlfn.IFNA(VLOOKUP(B54&amp;C54&amp;D54,IF({1,0},IO分站清单!H:H&amp;IO分站清单!L:L&amp;IO分站清单!M:M,IO分站清单!T:T),2,FALSE),IF(AND(F53="FF211",F54="FF211"),H53,"--"))))</f>
        <v>TB271</v>
      </c>
      <c r="I54" s="93" t="str">
        <f t="array" ref="I54">IF(AND(C54=1,OR(D54=1,D54=2)),"--",IF(OR(D54=11,D54=12),"--",_xlfn.IFNA(VLOOKUP(B54&amp;C54&amp;D54,IF({1,0},IO分站清单!H:H&amp;IO分站清单!L:L&amp;IO分站清单!M:M,IO分站清单!U:U),2,FALSE),"--")))</f>
        <v>205_1FI</v>
      </c>
      <c r="J54" s="214" t="str">
        <f t="shared" si="0"/>
        <v>FF H1网关通信模块</v>
      </c>
      <c r="K54" s="214" t="str">
        <f t="shared" si="1"/>
        <v>冗余</v>
      </c>
      <c r="L54" s="214" t="s">
        <v>31</v>
      </c>
      <c r="M54" s="214"/>
    </row>
    <row r="55" ht="18" customHeight="1" spans="1:13">
      <c r="A55" s="214">
        <v>18</v>
      </c>
      <c r="B55" s="323" t="str">
        <f t="shared" si="4"/>
        <v>3AEKC003AR</v>
      </c>
      <c r="C55" s="214">
        <v>2</v>
      </c>
      <c r="D55" s="214">
        <v>6</v>
      </c>
      <c r="E55" s="214">
        <f t="shared" si="5"/>
        <v>16</v>
      </c>
      <c r="F55" s="214" t="str">
        <f t="array" ref="F55">IF(OR(IFERROR(SEARCH("-",E55),-1)&gt;0,E55=0),"--",IF(AND(C55=1,OR(D55=1,D55=2)),"NP204",IF(OR(D55=11,D55=12),"PM211",_xlfn.IFNA(VLOOKUP(B55&amp;C55&amp;D55,IF({1,0},IO分站清单!H:H&amp;IO分站清单!L:L&amp;IO分站清单!M:M,IO分站清单!I:I),2,FALSE),IF(AND(F54="FF211",NOT(MOD(D55,2))),"FF211","备用")))))</f>
        <v>FF211</v>
      </c>
      <c r="G55" s="214" t="str">
        <f t="array" ref="G55">IF(OR(IFERROR(SEARCH("-",E55),-1)&gt;0,E55=0),"--",IF(AND(C55=1,D55&lt;3),B55&amp;C55&amp;TEXT(D55,"00")&amp;"UC",IF(OR(D55=11,D55=12),B55&amp;C55&amp;TEXT(D55,"00")&amp;"PM",_xlfn.IFNA(VLOOKUP(B55&amp;C55&amp;D55,IF({1,0},IO分站清单!H:H&amp;IO分站清单!L:L&amp;IO分站清单!M:M,IO分站清单!K:K),2,FALSE),IF(AND(F54="FF211",F55="FF211"),B55&amp;C55&amp;TEXT(D55,"00")&amp;"FF","--")))))</f>
        <v>3AEKC003AR206FF</v>
      </c>
      <c r="H55" s="93" t="str">
        <f t="array" ref="H55">IF(F55="NP204","--",IF(OR(D55=11,D55=12),"--",_xlfn.IFNA(VLOOKUP(B55&amp;C55&amp;D55,IF({1,0},IO分站清单!H:H&amp;IO分站清单!L:L&amp;IO分站清单!M:M,IO分站清单!T:T),2,FALSE),IF(AND(F54="FF211",F55="FF211"),H54,"--"))))</f>
        <v>TB271</v>
      </c>
      <c r="I55" s="93" t="str">
        <f t="array" ref="I55">IF(AND(C55=1,OR(D55=1,D55=2)),"--",IF(OR(D55=11,D55=12),"--",_xlfn.IFNA(VLOOKUP(B55&amp;C55&amp;D55,IF({1,0},IO分站清单!H:H&amp;IO分站清单!L:L&amp;IO分站清单!M:M,IO分站清单!U:U),2,FALSE),"--")))</f>
        <v>--</v>
      </c>
      <c r="J55" s="214" t="str">
        <f t="shared" si="0"/>
        <v>FF H1网关通信模块</v>
      </c>
      <c r="K55" s="214" t="str">
        <f t="shared" si="1"/>
        <v/>
      </c>
      <c r="L55" s="214" t="s">
        <v>31</v>
      </c>
      <c r="M55" s="214"/>
    </row>
    <row r="56" ht="18" customHeight="1" spans="1:13">
      <c r="A56" s="214">
        <v>19</v>
      </c>
      <c r="B56" s="323" t="str">
        <f t="shared" si="4"/>
        <v>3AEKC003AR</v>
      </c>
      <c r="C56" s="214">
        <v>2</v>
      </c>
      <c r="D56" s="214">
        <v>7</v>
      </c>
      <c r="E56" s="214">
        <f t="shared" si="5"/>
        <v>17</v>
      </c>
      <c r="F56" s="214" t="str">
        <f t="array" ref="F56">IF(OR(IFERROR(SEARCH("-",E56),-1)&gt;0,E56=0),"--",IF(AND(C56=1,OR(D56=1,D56=2)),"NP204",IF(OR(D56=11,D56=12),"PM211",_xlfn.IFNA(VLOOKUP(B56&amp;C56&amp;D56,IF({1,0},IO分站清单!H:H&amp;IO分站清单!L:L&amp;IO分站清单!M:M,IO分站清单!I:I),2,FALSE),IF(AND(F55="FF211",NOT(MOD(D56,2))),"FF211","备用")))))</f>
        <v>FF211</v>
      </c>
      <c r="G56" s="214" t="str">
        <f t="array" ref="G56">IF(OR(IFERROR(SEARCH("-",E56),-1)&gt;0,E56=0),"--",IF(AND(C56=1,D56&lt;3),B56&amp;C56&amp;TEXT(D56,"00")&amp;"UC",IF(OR(D56=11,D56=12),B56&amp;C56&amp;TEXT(D56,"00")&amp;"PM",_xlfn.IFNA(VLOOKUP(B56&amp;C56&amp;D56,IF({1,0},IO分站清单!H:H&amp;IO分站清单!L:L&amp;IO分站清单!M:M,IO分站清单!K:K),2,FALSE),IF(AND(F55="FF211",F56="FF211"),B56&amp;C56&amp;TEXT(D56,"00")&amp;"FF","--")))))</f>
        <v>3AEKC003AR207FF</v>
      </c>
      <c r="H56" s="93" t="str">
        <f t="array" ref="H56">IF(F56="NP204","--",IF(OR(D56=11,D56=12),"--",_xlfn.IFNA(VLOOKUP(B56&amp;C56&amp;D56,IF({1,0},IO分站清单!H:H&amp;IO分站清单!L:L&amp;IO分站清单!M:M,IO分站清单!T:T),2,FALSE),IF(AND(F55="FF211",F56="FF211"),H55,"--"))))</f>
        <v>TB271</v>
      </c>
      <c r="I56" s="93" t="str">
        <f t="array" ref="I56">IF(AND(C56=1,OR(D56=1,D56=2)),"--",IF(OR(D56=11,D56=12),"--",_xlfn.IFNA(VLOOKUP(B56&amp;C56&amp;D56,IF({1,0},IO分站清单!H:H&amp;IO分站清单!L:L&amp;IO分站清单!M:M,IO分站清单!U:U),2,FALSE),"--")))</f>
        <v>207_1FI</v>
      </c>
      <c r="J56" s="214" t="str">
        <f t="shared" si="0"/>
        <v>FF H1网关通信模块</v>
      </c>
      <c r="K56" s="214" t="str">
        <f t="shared" si="1"/>
        <v>冗余</v>
      </c>
      <c r="L56" s="214" t="s">
        <v>31</v>
      </c>
      <c r="M56" s="214"/>
    </row>
    <row r="57" ht="18" customHeight="1" spans="1:13">
      <c r="A57" s="214">
        <v>20</v>
      </c>
      <c r="B57" s="323" t="str">
        <f t="shared" si="4"/>
        <v>3AEKC003AR</v>
      </c>
      <c r="C57" s="214">
        <v>2</v>
      </c>
      <c r="D57" s="214">
        <v>8</v>
      </c>
      <c r="E57" s="214">
        <f t="shared" si="5"/>
        <v>18</v>
      </c>
      <c r="F57" s="214" t="str">
        <f t="array" ref="F57">IF(OR(IFERROR(SEARCH("-",E57),-1)&gt;0,E57=0),"--",IF(AND(C57=1,OR(D57=1,D57=2)),"NP204",IF(OR(D57=11,D57=12),"PM211",_xlfn.IFNA(VLOOKUP(B57&amp;C57&amp;D57,IF({1,0},IO分站清单!H:H&amp;IO分站清单!L:L&amp;IO分站清单!M:M,IO分站清单!I:I),2,FALSE),IF(AND(F56="FF211",NOT(MOD(D57,2))),"FF211","备用")))))</f>
        <v>FF211</v>
      </c>
      <c r="G57" s="214" t="str">
        <f t="array" ref="G57">IF(OR(IFERROR(SEARCH("-",E57),-1)&gt;0,E57=0),"--",IF(AND(C57=1,D57&lt;3),B57&amp;C57&amp;TEXT(D57,"00")&amp;"UC",IF(OR(D57=11,D57=12),B57&amp;C57&amp;TEXT(D57,"00")&amp;"PM",_xlfn.IFNA(VLOOKUP(B57&amp;C57&amp;D57,IF({1,0},IO分站清单!H:H&amp;IO分站清单!L:L&amp;IO分站清单!M:M,IO分站清单!K:K),2,FALSE),IF(AND(F56="FF211",F57="FF211"),B57&amp;C57&amp;TEXT(D57,"00")&amp;"FF","--")))))</f>
        <v>3AEKC003AR208FF</v>
      </c>
      <c r="H57" s="93" t="str">
        <f t="array" ref="H57">IF(F57="NP204","--",IF(OR(D57=11,D57=12),"--",_xlfn.IFNA(VLOOKUP(B57&amp;C57&amp;D57,IF({1,0},IO分站清单!H:H&amp;IO分站清单!L:L&amp;IO分站清单!M:M,IO分站清单!T:T),2,FALSE),IF(AND(F56="FF211",F57="FF211"),H56,"--"))))</f>
        <v>TB271</v>
      </c>
      <c r="I57" s="93" t="str">
        <f t="array" ref="I57">IF(AND(C57=1,OR(D57=1,D57=2)),"--",IF(OR(D57=11,D57=12),"--",_xlfn.IFNA(VLOOKUP(B57&amp;C57&amp;D57,IF({1,0},IO分站清单!H:H&amp;IO分站清单!L:L&amp;IO分站清单!M:M,IO分站清单!U:U),2,FALSE),"--")))</f>
        <v>--</v>
      </c>
      <c r="J57" s="214" t="str">
        <f t="shared" si="0"/>
        <v>FF H1网关通信模块</v>
      </c>
      <c r="K57" s="214" t="str">
        <f t="shared" si="1"/>
        <v/>
      </c>
      <c r="L57" s="214" t="s">
        <v>31</v>
      </c>
      <c r="M57" s="214"/>
    </row>
    <row r="58" ht="18" customHeight="1" spans="1:13">
      <c r="A58" s="214">
        <v>21</v>
      </c>
      <c r="B58" s="323" t="str">
        <f t="shared" si="4"/>
        <v>3AEKC003AR</v>
      </c>
      <c r="C58" s="214">
        <v>2</v>
      </c>
      <c r="D58" s="214">
        <v>9</v>
      </c>
      <c r="E58" s="214">
        <f t="shared" si="5"/>
        <v>19</v>
      </c>
      <c r="F58" s="214" t="str">
        <f t="array" ref="F58">IF(OR(IFERROR(SEARCH("-",E58),-1)&gt;0,E58=0),"--",IF(AND(C58=1,OR(D58=1,D58=2)),"NP204",IF(OR(D58=11,D58=12),"PM211",_xlfn.IFNA(VLOOKUP(B58&amp;C58&amp;D58,IF({1,0},IO分站清单!H:H&amp;IO分站清单!L:L&amp;IO分站清单!M:M,IO分站清单!I:I),2,FALSE),IF(AND(F57="FF211",NOT(MOD(D58,2))),"FF211","备用")))))</f>
        <v>DP211</v>
      </c>
      <c r="G58" s="214" t="str">
        <f t="array" ref="G58">IF(OR(IFERROR(SEARCH("-",E58),-1)&gt;0,E58=0),"--",IF(AND(C58=1,D58&lt;3),B58&amp;C58&amp;TEXT(D58,"00")&amp;"UC",IF(OR(D58=11,D58=12),B58&amp;C58&amp;TEXT(D58,"00")&amp;"PM",_xlfn.IFNA(VLOOKUP(B58&amp;C58&amp;D58,IF({1,0},IO分站清单!H:H&amp;IO分站清单!L:L&amp;IO分站清单!M:M,IO分站清单!K:K),2,FALSE),IF(AND(F57="FF211",F58="FF211"),B58&amp;C58&amp;TEXT(D58,"00")&amp;"FF","--")))))</f>
        <v>3AEKC003AR209DP</v>
      </c>
      <c r="H58" s="93" t="str">
        <f t="array" ref="H58">IF(F58="NP204","--",IF(OR(D58=11,D58=12),"--",_xlfn.IFNA(VLOOKUP(B58&amp;C58&amp;D58,IF({1,0},IO分站清单!H:H&amp;IO分站清单!L:L&amp;IO分站清单!M:M,IO分站清单!T:T),2,FALSE),IF(AND(F57="FF211",F58="FF211"),H57,"--"))))</f>
        <v>TB272</v>
      </c>
      <c r="I58" s="93" t="str">
        <f t="array" ref="I58">IF(AND(C58=1,OR(D58=1,D58=2)),"--",IF(OR(D58=11,D58=12),"--",_xlfn.IFNA(VLOOKUP(B58&amp;C58&amp;D58,IF({1,0},IO分站清单!H:H&amp;IO分站清单!L:L&amp;IO分站清单!M:M,IO分站清单!U:U),2,FALSE),"--")))</f>
        <v>209BN</v>
      </c>
      <c r="J58" s="214" t="str">
        <f t="shared" si="0"/>
        <v>PROFIBUS DP通信模块</v>
      </c>
      <c r="K58" s="214" t="str">
        <f t="shared" si="1"/>
        <v/>
      </c>
      <c r="L58" s="214" t="s">
        <v>31</v>
      </c>
      <c r="M58" s="214"/>
    </row>
    <row r="59" ht="18" customHeight="1" spans="1:13">
      <c r="A59" s="214">
        <v>22</v>
      </c>
      <c r="B59" s="323" t="str">
        <f t="shared" si="4"/>
        <v>3AEKC003AR</v>
      </c>
      <c r="C59" s="214">
        <v>2</v>
      </c>
      <c r="D59" s="214">
        <v>10</v>
      </c>
      <c r="E59" s="214" t="str">
        <f t="shared" si="5"/>
        <v>1A</v>
      </c>
      <c r="F59" s="214" t="str">
        <f t="array" ref="F59">IF(OR(IFERROR(SEARCH("-",E59),-1)&gt;0,E59=0),"--",IF(AND(C59=1,OR(D59=1,D59=2)),"NP204",IF(OR(D59=11,D59=12),"PM211",_xlfn.IFNA(VLOOKUP(B59&amp;C59&amp;D59,IF({1,0},IO分站清单!H:H&amp;IO分站清单!L:L&amp;IO分站清单!M:M,IO分站清单!I:I),2,FALSE),IF(AND(F58="FF211",NOT(MOD(D59,2))),"FF211","备用")))))</f>
        <v>DP211</v>
      </c>
      <c r="G59" s="214" t="str">
        <f t="array" ref="G59">IF(OR(IFERROR(SEARCH("-",E59),-1)&gt;0,E59=0),"--",IF(AND(C59=1,D59&lt;3),B59&amp;C59&amp;TEXT(D59,"00")&amp;"UC",IF(OR(D59=11,D59=12),B59&amp;C59&amp;TEXT(D59,"00")&amp;"PM",_xlfn.IFNA(VLOOKUP(B59&amp;C59&amp;D59,IF({1,0},IO分站清单!H:H&amp;IO分站清单!L:L&amp;IO分站清单!M:M,IO分站清单!K:K),2,FALSE),IF(AND(F58="FF211",F59="FF211"),B59&amp;C59&amp;TEXT(D59,"00")&amp;"FF","--")))))</f>
        <v>3AEKC003AR210DP</v>
      </c>
      <c r="H59" s="93" t="str">
        <f t="array" ref="H59">IF(F59="NP204","--",IF(OR(D59=11,D59=12),"--",_xlfn.IFNA(VLOOKUP(B59&amp;C59&amp;D59,IF({1,0},IO分站清单!H:H&amp;IO分站清单!L:L&amp;IO分站清单!M:M,IO分站清单!T:T),2,FALSE),IF(AND(F58="FF211",F59="FF211"),H58,"--"))))</f>
        <v>TB272</v>
      </c>
      <c r="I59" s="93" t="str">
        <f t="array" ref="I59">IF(AND(C59=1,OR(D59=1,D59=2)),"--",IF(OR(D59=11,D59=12),"--",_xlfn.IFNA(VLOOKUP(B59&amp;C59&amp;D59,IF({1,0},IO分站清单!H:H&amp;IO分站清单!L:L&amp;IO分站清单!M:M,IO分站清单!U:U),2,FALSE),"--")))</f>
        <v>210BN</v>
      </c>
      <c r="J59" s="214" t="str">
        <f t="shared" si="0"/>
        <v>PROFIBUS DP通信模块</v>
      </c>
      <c r="K59" s="214" t="str">
        <f t="shared" si="1"/>
        <v/>
      </c>
      <c r="L59" s="214" t="s">
        <v>31</v>
      </c>
      <c r="M59" s="214"/>
    </row>
    <row r="60" ht="18" customHeight="1" spans="1:13">
      <c r="A60" s="214">
        <v>23</v>
      </c>
      <c r="B60" s="323" t="str">
        <f t="shared" si="4"/>
        <v>3AEKC003AR</v>
      </c>
      <c r="C60" s="214">
        <v>2</v>
      </c>
      <c r="D60" s="214">
        <v>11</v>
      </c>
      <c r="E60" s="214" t="str">
        <f t="shared" si="5"/>
        <v>1B</v>
      </c>
      <c r="F60" s="214" t="str">
        <f t="array" ref="F60">IF(OR(IFERROR(SEARCH("-",E60),-1)&gt;0,E60=0),"--",IF(AND(C60=1,OR(D60=1,D60=2)),"NP204",IF(OR(D60=11,D60=12),"PM211",_xlfn.IFNA(VLOOKUP(B60&amp;C60&amp;D60,IF({1,0},IO分站清单!H:H&amp;IO分站清单!L:L&amp;IO分站清单!M:M,IO分站清单!I:I),2,FALSE),IF(AND(F59="FF211",NOT(MOD(D60,2))),"FF211","备用")))))</f>
        <v>PM211</v>
      </c>
      <c r="G60" s="214" t="str">
        <f t="array" ref="G60">IF(OR(IFERROR(SEARCH("-",E60),-1)&gt;0,E60=0),"--",IF(AND(C60=1,D60&lt;3),B60&amp;C60&amp;TEXT(D60,"00")&amp;"UC",IF(OR(D60=11,D60=12),B60&amp;C60&amp;TEXT(D60,"00")&amp;"PM",_xlfn.IFNA(VLOOKUP(B60&amp;C60&amp;D60,IF({1,0},IO分站清单!H:H&amp;IO分站清单!L:L&amp;IO分站清单!M:M,IO分站清单!K:K),2,FALSE),IF(AND(F59="FF211",F60="FF211"),B60&amp;C60&amp;TEXT(D60,"00")&amp;"FF","--")))))</f>
        <v>3AEKC003AR211PM</v>
      </c>
      <c r="H60" s="93" t="str">
        <f t="array" ref="H60">IF(F60="NP204","--",IF(OR(D60=11,D60=12),"--",_xlfn.IFNA(VLOOKUP(B60&amp;C60&amp;D60,IF({1,0},IO分站清单!H:H&amp;IO分站清单!L:L&amp;IO分站清单!M:M,IO分站清单!T:T),2,FALSE),IF(AND(F59="FF211",F60="FF211"),H59,"--"))))</f>
        <v>--</v>
      </c>
      <c r="I60" s="93" t="str">
        <f t="array" ref="I60">IF(AND(C60=1,OR(D60=1,D60=2)),"--",IF(OR(D60=11,D60=12),"--",_xlfn.IFNA(VLOOKUP(B60&amp;C60&amp;D60,IF({1,0},IO分站清单!H:H&amp;IO分站清单!L:L&amp;IO分站清单!M:M,IO分站清单!U:U),2,FALSE),"--")))</f>
        <v>--</v>
      </c>
      <c r="J60" s="214" t="str">
        <f t="shared" si="0"/>
        <v>DC24V电源板卡</v>
      </c>
      <c r="K60" s="214" t="str">
        <f t="shared" si="1"/>
        <v/>
      </c>
      <c r="L60" s="214" t="s">
        <v>31</v>
      </c>
      <c r="M60" s="214"/>
    </row>
    <row r="61" ht="18" customHeight="1" spans="1:13">
      <c r="A61" s="215">
        <v>24</v>
      </c>
      <c r="B61" s="324" t="str">
        <f t="shared" si="4"/>
        <v>3AEKC003AR</v>
      </c>
      <c r="C61" s="215">
        <v>2</v>
      </c>
      <c r="D61" s="215">
        <v>12</v>
      </c>
      <c r="E61" s="215" t="str">
        <f t="shared" si="5"/>
        <v>1C</v>
      </c>
      <c r="F61" s="215" t="str">
        <f t="array" ref="F61">IF(OR(IFERROR(SEARCH("-",E61),-1)&gt;0,E61=0),"--",IF(AND(C61=1,OR(D61=1,D61=2)),"NP204",IF(OR(D61=11,D61=12),"PM211",_xlfn.IFNA(VLOOKUP(B61&amp;C61&amp;D61,IF({1,0},IO分站清单!H:H&amp;IO分站清单!L:L&amp;IO分站清单!M:M,IO分站清单!I:I),2,FALSE),IF(AND(F60="FF211",NOT(MOD(D61,2))),"FF211","备用")))))</f>
        <v>PM211</v>
      </c>
      <c r="G61" s="215" t="str">
        <f t="array" ref="G61">IF(OR(IFERROR(SEARCH("-",E61),-1)&gt;0,E61=0),"--",IF(AND(C61=1,D61&lt;3),B61&amp;C61&amp;TEXT(D61,"00")&amp;"UC",IF(OR(D61=11,D61=12),B61&amp;C61&amp;TEXT(D61,"00")&amp;"PM",_xlfn.IFNA(VLOOKUP(B61&amp;C61&amp;D61,IF({1,0},IO分站清单!H:H&amp;IO分站清单!L:L&amp;IO分站清单!M:M,IO分站清单!K:K),2,FALSE),IF(AND(F60="FF211",F61="FF211"),B61&amp;C61&amp;TEXT(D61,"00")&amp;"FF","--")))))</f>
        <v>3AEKC003AR212PM</v>
      </c>
      <c r="H61" s="216" t="str">
        <f t="array" ref="H61">IF(F61="NP204","--",IF(OR(D61=11,D61=12),"--",_xlfn.IFNA(VLOOKUP(B61&amp;C61&amp;D61,IF({1,0},IO分站清单!H:H&amp;IO分站清单!L:L&amp;IO分站清单!M:M,IO分站清单!T:T),2,FALSE),IF(AND(F60="FF211",F61="FF211"),H60,"--"))))</f>
        <v>--</v>
      </c>
      <c r="I61" s="216" t="str">
        <f t="array" ref="I61">IF(AND(C61=1,OR(D61=1,D61=2)),"--",IF(OR(D61=11,D61=12),"--",_xlfn.IFNA(VLOOKUP(B61&amp;C61&amp;D61,IF({1,0},IO分站清单!H:H&amp;IO分站清单!L:L&amp;IO分站清单!M:M,IO分站清单!U:U),2,FALSE),"--")))</f>
        <v>--</v>
      </c>
      <c r="J61" s="215" t="str">
        <f t="shared" si="0"/>
        <v>DC24V电源板卡</v>
      </c>
      <c r="K61" s="215" t="str">
        <f t="shared" si="1"/>
        <v/>
      </c>
      <c r="L61" s="215" t="s">
        <v>31</v>
      </c>
      <c r="M61" s="215"/>
    </row>
    <row r="62" ht="18" customHeight="1" spans="1:13">
      <c r="A62" s="217">
        <v>25</v>
      </c>
      <c r="B62" s="325" t="str">
        <f t="shared" si="4"/>
        <v>3AEKC003AR</v>
      </c>
      <c r="C62" s="217">
        <v>3</v>
      </c>
      <c r="D62" s="217">
        <v>1</v>
      </c>
      <c r="E62" s="217">
        <f t="shared" si="5"/>
        <v>21</v>
      </c>
      <c r="F62" s="217" t="str">
        <f t="array" ref="F62">IF(OR(IFERROR(SEARCH("-",E62),-1)&gt;0,E62=0),"--",IF(AND(C62=1,OR(D62=1,D62=2)),"NP204",IF(OR(D62=11,D62=12),"PM211",_xlfn.IFNA(VLOOKUP(B62&amp;C62&amp;D62,IF({1,0},IO分站清单!H:H&amp;IO分站清单!L:L&amp;IO分站清单!M:M,IO分站清单!I:I),2,FALSE),IF(AND(F61="FF211",NOT(MOD(D62,2))),"FF211","备用")))))</f>
        <v>MD216</v>
      </c>
      <c r="G62" s="217" t="str">
        <f t="array" ref="G62">IF(OR(IFERROR(SEARCH("-",E62),-1)&gt;0,E62=0),"--",IF(AND(C62=1,D62&lt;3),B62&amp;C62&amp;TEXT(D62,"00")&amp;"UC",IF(OR(D62=11,D62=12),B62&amp;C62&amp;TEXT(D62,"00")&amp;"PM",_xlfn.IFNA(VLOOKUP(B62&amp;C62&amp;D62,IF({1,0},IO分站清单!H:H&amp;IO分站清单!L:L&amp;IO分站清单!M:M,IO分站清单!K:K),2,FALSE),IF(AND(F61="FF211",F62="FF211"),B62&amp;C62&amp;TEXT(D62,"00")&amp;"FF","--")))))</f>
        <v>3AEKC003AR301MD</v>
      </c>
      <c r="H62" s="218" t="str">
        <f t="array" ref="H62">IF(F62="NP204","--",IF(OR(D62=11,D62=12),"--",_xlfn.IFNA(VLOOKUP(B62&amp;C62&amp;D62,IF({1,0},IO分站清单!H:H&amp;IO分站清单!L:L&amp;IO分站清单!M:M,IO分站清单!T:T),2,FALSE),IF(AND(F61="FF211",F62="FF211"),H61,"--"))))</f>
        <v>--</v>
      </c>
      <c r="I62" s="218" t="str">
        <f t="array" ref="I62">IF(AND(C62=1,OR(D62=1,D62=2)),"--",IF(OR(D62=11,D62=12),"--",_xlfn.IFNA(VLOOKUP(B62&amp;C62&amp;D62,IF({1,0},IO分站清单!H:H&amp;IO分站清单!L:L&amp;IO分站清单!M:M,IO分站清单!U:U),2,FALSE),"--")))</f>
        <v>--</v>
      </c>
      <c r="J62" s="217" t="str">
        <f t="shared" si="0"/>
        <v>MODBUS TCP通信模块</v>
      </c>
      <c r="K62" s="217" t="str">
        <f t="shared" si="1"/>
        <v/>
      </c>
      <c r="L62" s="217" t="s">
        <v>31</v>
      </c>
      <c r="M62" s="217"/>
    </row>
    <row r="63" ht="18" customHeight="1" spans="1:13">
      <c r="A63" s="214">
        <v>26</v>
      </c>
      <c r="B63" s="326" t="str">
        <f t="shared" si="4"/>
        <v>3AEKC003AR</v>
      </c>
      <c r="C63" s="219">
        <v>3</v>
      </c>
      <c r="D63" s="219">
        <v>2</v>
      </c>
      <c r="E63" s="214">
        <f t="shared" si="5"/>
        <v>22</v>
      </c>
      <c r="F63" s="214" t="str">
        <f t="array" ref="F63">IF(OR(IFERROR(SEARCH("-",E63),-1)&gt;0,E63=0),"--",IF(AND(C63=1,OR(D63=1,D63=2)),"NP204",IF(OR(D63=11,D63=12),"PM211",_xlfn.IFNA(VLOOKUP(B63&amp;C63&amp;D63,IF({1,0},IO分站清单!H:H&amp;IO分站清单!L:L&amp;IO分站清单!M:M,IO分站清单!I:I),2,FALSE),IF(AND(F62="FF211",NOT(MOD(D63,2))),"FF211","备用")))))</f>
        <v>MD211</v>
      </c>
      <c r="G63" s="214" t="str">
        <f t="array" ref="G63">IF(OR(IFERROR(SEARCH("-",E63),-1)&gt;0,E63=0),"--",IF(AND(C63=1,D63&lt;3),B63&amp;C63&amp;TEXT(D63,"00")&amp;"UC",IF(OR(D63=11,D63=12),B63&amp;C63&amp;TEXT(D63,"00")&amp;"PM",_xlfn.IFNA(VLOOKUP(B63&amp;C63&amp;D63,IF({1,0},IO分站清单!H:H&amp;IO分站清单!L:L&amp;IO分站清单!M:M,IO分站清单!K:K),2,FALSE),IF(AND(F62="FF211",F63="FF211"),B63&amp;C63&amp;TEXT(D63,"00")&amp;"FF","--")))))</f>
        <v>3AEKC003AR302MD</v>
      </c>
      <c r="H63" s="93" t="str">
        <f t="array" ref="H63">IF(F63="NP204","--",IF(OR(D63=11,D63=12),"--",_xlfn.IFNA(VLOOKUP(B63&amp;C63&amp;D63,IF({1,0},IO分站清单!H:H&amp;IO分站清单!L:L&amp;IO分站清单!M:M,IO分站清单!T:T),2,FALSE),IF(AND(F62="FF211",F63="FF211"),H62,"--"))))</f>
        <v>TB244</v>
      </c>
      <c r="I63" s="93" t="str">
        <f t="array" ref="I63">IF(AND(C63=1,OR(D63=1,D63=2)),"--",IF(OR(D63=11,D63=12),"--",_xlfn.IFNA(VLOOKUP(B63&amp;C63&amp;D63,IF({1,0},IO分站清单!H:H&amp;IO分站清单!L:L&amp;IO分站清单!M:M,IO分站清单!U:U),2,FALSE),"--")))</f>
        <v>302BN</v>
      </c>
      <c r="J63" s="214" t="str">
        <f t="shared" si="0"/>
        <v>MODBUS RTU通信模块</v>
      </c>
      <c r="K63" s="214" t="str">
        <f t="shared" si="1"/>
        <v/>
      </c>
      <c r="L63" s="214" t="s">
        <v>31</v>
      </c>
      <c r="M63" s="214"/>
    </row>
    <row r="64" ht="18" customHeight="1" spans="1:13">
      <c r="A64" s="214">
        <v>27</v>
      </c>
      <c r="B64" s="326" t="str">
        <f t="shared" si="4"/>
        <v>3AEKC003AR</v>
      </c>
      <c r="C64" s="219">
        <v>3</v>
      </c>
      <c r="D64" s="219">
        <v>3</v>
      </c>
      <c r="E64" s="214">
        <f t="shared" si="5"/>
        <v>23</v>
      </c>
      <c r="F64" s="214" t="str">
        <f t="array" ref="F64">IF(OR(IFERROR(SEARCH("-",E64),-1)&gt;0,E64=0),"--",IF(AND(C64=1,OR(D64=1,D64=2)),"NP204",IF(OR(D64=11,D64=12),"PM211",_xlfn.IFNA(VLOOKUP(B64&amp;C64&amp;D64,IF({1,0},IO分站清单!H:H&amp;IO分站清单!L:L&amp;IO分站清单!M:M,IO分站清单!I:I),2,FALSE),IF(AND(F63="FF211",NOT(MOD(D64,2))),"FF211","备用")))))</f>
        <v>备用</v>
      </c>
      <c r="G64" s="214" t="str">
        <f t="array" ref="G64">IF(OR(IFERROR(SEARCH("-",E64),-1)&gt;0,E64=0),"--",IF(AND(C64=1,D64&lt;3),B64&amp;C64&amp;TEXT(D64,"00")&amp;"UC",IF(OR(D64=11,D64=12),B64&amp;C64&amp;TEXT(D64,"00")&amp;"PM",_xlfn.IFNA(VLOOKUP(B64&amp;C64&amp;D64,IF({1,0},IO分站清单!H:H&amp;IO分站清单!L:L&amp;IO分站清单!M:M,IO分站清单!K:K),2,FALSE),IF(AND(F63="FF211",F64="FF211"),B64&amp;C64&amp;TEXT(D64,"00")&amp;"FF","--")))))</f>
        <v>--</v>
      </c>
      <c r="H64" s="93" t="str">
        <f t="array" ref="H64">IF(F64="NP204","--",IF(OR(D64=11,D64=12),"--",_xlfn.IFNA(VLOOKUP(B64&amp;C64&amp;D64,IF({1,0},IO分站清单!H:H&amp;IO分站清单!L:L&amp;IO分站清单!M:M,IO分站清单!T:T),2,FALSE),IF(AND(F63="FF211",F64="FF211"),H63,"--"))))</f>
        <v>--</v>
      </c>
      <c r="I64" s="93" t="str">
        <f t="array" ref="I64">IF(AND(C64=1,OR(D64=1,D64=2)),"--",IF(OR(D64=11,D64=12),"--",_xlfn.IFNA(VLOOKUP(B64&amp;C64&amp;D64,IF({1,0},IO分站清单!H:H&amp;IO分站清单!L:L&amp;IO分站清单!M:M,IO分站清单!U:U),2,FALSE),"--")))</f>
        <v>--</v>
      </c>
      <c r="J64" s="214" t="str">
        <f t="shared" si="0"/>
        <v>--</v>
      </c>
      <c r="K64" s="214" t="str">
        <f t="shared" si="1"/>
        <v/>
      </c>
      <c r="L64" s="214" t="s">
        <v>31</v>
      </c>
      <c r="M64" s="214"/>
    </row>
    <row r="65" ht="18" customHeight="1" spans="1:13">
      <c r="A65" s="214">
        <v>28</v>
      </c>
      <c r="B65" s="326" t="str">
        <f t="shared" si="4"/>
        <v>3AEKC003AR</v>
      </c>
      <c r="C65" s="219">
        <v>3</v>
      </c>
      <c r="D65" s="219">
        <v>4</v>
      </c>
      <c r="E65" s="214">
        <f t="shared" si="5"/>
        <v>24</v>
      </c>
      <c r="F65" s="214" t="str">
        <f t="array" ref="F65">IF(OR(IFERROR(SEARCH("-",E65),-1)&gt;0,E65=0),"--",IF(AND(C65=1,OR(D65=1,D65=2)),"NP204",IF(OR(D65=11,D65=12),"PM211",_xlfn.IFNA(VLOOKUP(B65&amp;C65&amp;D65,IF({1,0},IO分站清单!H:H&amp;IO分站清单!L:L&amp;IO分站清单!M:M,IO分站清单!I:I),2,FALSE),IF(AND(F64="FF211",NOT(MOD(D65,2))),"FF211","备用")))))</f>
        <v>备用</v>
      </c>
      <c r="G65" s="214" t="str">
        <f t="array" ref="G65">IF(OR(IFERROR(SEARCH("-",E65),-1)&gt;0,E65=0),"--",IF(AND(C65=1,D65&lt;3),B65&amp;C65&amp;TEXT(D65,"00")&amp;"UC",IF(OR(D65=11,D65=12),B65&amp;C65&amp;TEXT(D65,"00")&amp;"PM",_xlfn.IFNA(VLOOKUP(B65&amp;C65&amp;D65,IF({1,0},IO分站清单!H:H&amp;IO分站清单!L:L&amp;IO分站清单!M:M,IO分站清单!K:K),2,FALSE),IF(AND(F64="FF211",F65="FF211"),B65&amp;C65&amp;TEXT(D65,"00")&amp;"FF","--")))))</f>
        <v>--</v>
      </c>
      <c r="H65" s="93" t="str">
        <f t="array" ref="H65">IF(F65="NP204","--",IF(OR(D65=11,D65=12),"--",_xlfn.IFNA(VLOOKUP(B65&amp;C65&amp;D65,IF({1,0},IO分站清单!H:H&amp;IO分站清单!L:L&amp;IO分站清单!M:M,IO分站清单!T:T),2,FALSE),IF(AND(F64="FF211",F65="FF211"),H64,"--"))))</f>
        <v>--</v>
      </c>
      <c r="I65" s="93" t="str">
        <f t="array" ref="I65">IF(AND(C65=1,OR(D65=1,D65=2)),"--",IF(OR(D65=11,D65=12),"--",_xlfn.IFNA(VLOOKUP(B65&amp;C65&amp;D65,IF({1,0},IO分站清单!H:H&amp;IO分站清单!L:L&amp;IO分站清单!M:M,IO分站清单!U:U),2,FALSE),"--")))</f>
        <v>--</v>
      </c>
      <c r="J65" s="214" t="str">
        <f t="shared" si="0"/>
        <v>--</v>
      </c>
      <c r="K65" s="214" t="str">
        <f t="shared" si="1"/>
        <v/>
      </c>
      <c r="L65" s="214" t="s">
        <v>31</v>
      </c>
      <c r="M65" s="214"/>
    </row>
    <row r="66" ht="18" customHeight="1" spans="1:13">
      <c r="A66" s="214">
        <v>29</v>
      </c>
      <c r="B66" s="326" t="str">
        <f t="shared" si="4"/>
        <v>3AEKC003AR</v>
      </c>
      <c r="C66" s="219">
        <v>3</v>
      </c>
      <c r="D66" s="219">
        <v>5</v>
      </c>
      <c r="E66" s="214">
        <f t="shared" si="5"/>
        <v>25</v>
      </c>
      <c r="F66" s="214" t="str">
        <f t="array" ref="F66">IF(OR(IFERROR(SEARCH("-",E66),-1)&gt;0,E66=0),"--",IF(AND(C66=1,OR(D66=1,D66=2)),"NP204",IF(OR(D66=11,D66=12),"PM211",_xlfn.IFNA(VLOOKUP(B66&amp;C66&amp;D66,IF({1,0},IO分站清单!H:H&amp;IO分站清单!L:L&amp;IO分站清单!M:M,IO分站清单!I:I),2,FALSE),IF(AND(F65="FF211",NOT(MOD(D66,2))),"FF211","备用")))))</f>
        <v>备用</v>
      </c>
      <c r="G66" s="214" t="str">
        <f t="array" ref="G66">IF(OR(IFERROR(SEARCH("-",E66),-1)&gt;0,E66=0),"--",IF(AND(C66=1,D66&lt;3),B66&amp;C66&amp;TEXT(D66,"00")&amp;"UC",IF(OR(D66=11,D66=12),B66&amp;C66&amp;TEXT(D66,"00")&amp;"PM",_xlfn.IFNA(VLOOKUP(B66&amp;C66&amp;D66,IF({1,0},IO分站清单!H:H&amp;IO分站清单!L:L&amp;IO分站清单!M:M,IO分站清单!K:K),2,FALSE),IF(AND(F65="FF211",F66="FF211"),B66&amp;C66&amp;TEXT(D66,"00")&amp;"FF","--")))))</f>
        <v>--</v>
      </c>
      <c r="H66" s="93" t="str">
        <f t="array" ref="H66">IF(F66="NP204","--",IF(OR(D66=11,D66=12),"--",_xlfn.IFNA(VLOOKUP(B66&amp;C66&amp;D66,IF({1,0},IO分站清单!H:H&amp;IO分站清单!L:L&amp;IO分站清单!M:M,IO分站清单!T:T),2,FALSE),IF(AND(F65="FF211",F66="FF211"),H65,"--"))))</f>
        <v>--</v>
      </c>
      <c r="I66" s="93" t="str">
        <f t="array" ref="I66">IF(AND(C66=1,OR(D66=1,D66=2)),"--",IF(OR(D66=11,D66=12),"--",_xlfn.IFNA(VLOOKUP(B66&amp;C66&amp;D66,IF({1,0},IO分站清单!H:H&amp;IO分站清单!L:L&amp;IO分站清单!M:M,IO分站清单!U:U),2,FALSE),"--")))</f>
        <v>--</v>
      </c>
      <c r="J66" s="214" t="str">
        <f t="shared" si="0"/>
        <v>--</v>
      </c>
      <c r="K66" s="214" t="str">
        <f t="shared" si="1"/>
        <v/>
      </c>
      <c r="L66" s="214" t="s">
        <v>31</v>
      </c>
      <c r="M66" s="214"/>
    </row>
    <row r="67" ht="18" customHeight="1" spans="1:13">
      <c r="A67" s="214">
        <v>30</v>
      </c>
      <c r="B67" s="326" t="str">
        <f t="shared" si="4"/>
        <v>3AEKC003AR</v>
      </c>
      <c r="C67" s="219">
        <v>3</v>
      </c>
      <c r="D67" s="219">
        <v>6</v>
      </c>
      <c r="E67" s="214">
        <f t="shared" si="5"/>
        <v>26</v>
      </c>
      <c r="F67" s="214" t="str">
        <f t="array" ref="F67">IF(OR(IFERROR(SEARCH("-",E67),-1)&gt;0,E67=0),"--",IF(AND(C67=1,OR(D67=1,D67=2)),"NP204",IF(OR(D67=11,D67=12),"PM211",_xlfn.IFNA(VLOOKUP(B67&amp;C67&amp;D67,IF({1,0},IO分站清单!H:H&amp;IO分站清单!L:L&amp;IO分站清单!M:M,IO分站清单!I:I),2,FALSE),IF(AND(F66="FF211",NOT(MOD(D67,2))),"FF211","备用")))))</f>
        <v>备用</v>
      </c>
      <c r="G67" s="214" t="str">
        <f t="array" ref="G67">IF(OR(IFERROR(SEARCH("-",E67),-1)&gt;0,E67=0),"--",IF(AND(C67=1,D67&lt;3),B67&amp;C67&amp;TEXT(D67,"00")&amp;"UC",IF(OR(D67=11,D67=12),B67&amp;C67&amp;TEXT(D67,"00")&amp;"PM",_xlfn.IFNA(VLOOKUP(B67&amp;C67&amp;D67,IF({1,0},IO分站清单!H:H&amp;IO分站清单!L:L&amp;IO分站清单!M:M,IO分站清单!K:K),2,FALSE),IF(AND(F66="FF211",F67="FF211"),B67&amp;C67&amp;TEXT(D67,"00")&amp;"FF","--")))))</f>
        <v>--</v>
      </c>
      <c r="H67" s="93" t="str">
        <f t="array" ref="H67">IF(F67="NP204","--",IF(OR(D67=11,D67=12),"--",_xlfn.IFNA(VLOOKUP(B67&amp;C67&amp;D67,IF({1,0},IO分站清单!H:H&amp;IO分站清单!L:L&amp;IO分站清单!M:M,IO分站清单!T:T),2,FALSE),IF(AND(F66="FF211",F67="FF211"),H66,"--"))))</f>
        <v>--</v>
      </c>
      <c r="I67" s="93" t="str">
        <f t="array" ref="I67">IF(AND(C67=1,OR(D67=1,D67=2)),"--",IF(OR(D67=11,D67=12),"--",_xlfn.IFNA(VLOOKUP(B67&amp;C67&amp;D67,IF({1,0},IO分站清单!H:H&amp;IO分站清单!L:L&amp;IO分站清单!M:M,IO分站清单!U:U),2,FALSE),"--")))</f>
        <v>--</v>
      </c>
      <c r="J67" s="214" t="str">
        <f t="shared" ref="J67:J73" si="6">IF(F67="FF211","FF H1网关通信模块",IF(F67="DP211","PROFIBUS DP通信模块",IF(F67="AI212","8通道模拟量输入模块",IF(F67="AI216","8通道HART模拟量输入",IF(F67="AI221","8通道热电偶模块",IF(F67="AI231","8通道热电阻模块",IF(F67="AI232","7通道热电阻模块",IF(F67="AO211","8通道模拟量输出模块",IF(F67="AO215","8通道HART模拟量输出",IF(F67="PI211","脉冲量输入模块",IF(F67="DI211","16通道开关量输入模块",IF(F67="DO211","16通道开关量输出模块",IF(F67="MD216","MODBUS TCP通信模块",IF(F67="MD211","MODBUS RTU通信模块",IF(F67="NP204","控制器",IF(F67="PM211","DC24V电源板卡","--"))))))))))))))))</f>
        <v>--</v>
      </c>
      <c r="K67" s="214" t="str">
        <f t="shared" ref="K67:K73" si="7">IF(AND(MOD(D67,2),F67="FF211"),"冗余","")</f>
        <v/>
      </c>
      <c r="L67" s="214" t="s">
        <v>31</v>
      </c>
      <c r="M67" s="214"/>
    </row>
    <row r="68" ht="18" customHeight="1" spans="1:13">
      <c r="A68" s="214">
        <v>31</v>
      </c>
      <c r="B68" s="326" t="str">
        <f t="shared" si="4"/>
        <v>3AEKC003AR</v>
      </c>
      <c r="C68" s="219">
        <v>3</v>
      </c>
      <c r="D68" s="219">
        <v>7</v>
      </c>
      <c r="E68" s="214">
        <f t="shared" si="5"/>
        <v>27</v>
      </c>
      <c r="F68" s="214" t="str">
        <f t="array" ref="F68">IF(OR(IFERROR(SEARCH("-",E68),-1)&gt;0,E68=0),"--",IF(AND(C68=1,OR(D68=1,D68=2)),"NP204",IF(OR(D68=11,D68=12),"PM211",_xlfn.IFNA(VLOOKUP(B68&amp;C68&amp;D68,IF({1,0},IO分站清单!H:H&amp;IO分站清单!L:L&amp;IO分站清单!M:M,IO分站清单!I:I),2,FALSE),IF(AND(F67="FF211",NOT(MOD(D68,2))),"FF211","备用")))))</f>
        <v>备用</v>
      </c>
      <c r="G68" s="214" t="str">
        <f t="array" ref="G68">IF(OR(IFERROR(SEARCH("-",E68),-1)&gt;0,E68=0),"--",IF(AND(C68=1,D68&lt;3),B68&amp;C68&amp;TEXT(D68,"00")&amp;"UC",IF(OR(D68=11,D68=12),B68&amp;C68&amp;TEXT(D68,"00")&amp;"PM",_xlfn.IFNA(VLOOKUP(B68&amp;C68&amp;D68,IF({1,0},IO分站清单!H:H&amp;IO分站清单!L:L&amp;IO分站清单!M:M,IO分站清单!K:K),2,FALSE),IF(AND(F67="FF211",F68="FF211"),B68&amp;C68&amp;TEXT(D68,"00")&amp;"FF","--")))))</f>
        <v>--</v>
      </c>
      <c r="H68" s="93" t="str">
        <f t="array" ref="H68">IF(F68="NP204","--",IF(OR(D68=11,D68=12),"--",_xlfn.IFNA(VLOOKUP(B68&amp;C68&amp;D68,IF({1,0},IO分站清单!H:H&amp;IO分站清单!L:L&amp;IO分站清单!M:M,IO分站清单!T:T),2,FALSE),IF(AND(F67="FF211",F68="FF211"),H67,"--"))))</f>
        <v>--</v>
      </c>
      <c r="I68" s="93" t="str">
        <f t="array" ref="I68">IF(AND(C68=1,OR(D68=1,D68=2)),"--",IF(OR(D68=11,D68=12),"--",_xlfn.IFNA(VLOOKUP(B68&amp;C68&amp;D68,IF({1,0},IO分站清单!H:H&amp;IO分站清单!L:L&amp;IO分站清单!M:M,IO分站清单!U:U),2,FALSE),"--")))</f>
        <v>--</v>
      </c>
      <c r="J68" s="214" t="str">
        <f t="shared" si="6"/>
        <v>--</v>
      </c>
      <c r="K68" s="214" t="str">
        <f t="shared" si="7"/>
        <v/>
      </c>
      <c r="L68" s="214" t="s">
        <v>31</v>
      </c>
      <c r="M68" s="214"/>
    </row>
    <row r="69" ht="18" customHeight="1" spans="1:13">
      <c r="A69" s="214">
        <v>32</v>
      </c>
      <c r="B69" s="326" t="str">
        <f t="shared" si="4"/>
        <v>3AEKC003AR</v>
      </c>
      <c r="C69" s="219">
        <v>3</v>
      </c>
      <c r="D69" s="219">
        <v>8</v>
      </c>
      <c r="E69" s="214">
        <f t="shared" si="5"/>
        <v>28</v>
      </c>
      <c r="F69" s="214" t="str">
        <f t="array" ref="F69">IF(OR(IFERROR(SEARCH("-",E69),-1)&gt;0,E69=0),"--",IF(AND(C69=1,OR(D69=1,D69=2)),"NP204",IF(OR(D69=11,D69=12),"PM211",_xlfn.IFNA(VLOOKUP(B69&amp;C69&amp;D69,IF({1,0},IO分站清单!H:H&amp;IO分站清单!L:L&amp;IO分站清单!M:M,IO分站清单!I:I),2,FALSE),IF(AND(F68="FF211",NOT(MOD(D69,2))),"FF211","备用")))))</f>
        <v>备用</v>
      </c>
      <c r="G69" s="214" t="str">
        <f t="array" ref="G69">IF(OR(IFERROR(SEARCH("-",E69),-1)&gt;0,E69=0),"--",IF(AND(C69=1,D69&lt;3),B69&amp;C69&amp;TEXT(D69,"00")&amp;"UC",IF(OR(D69=11,D69=12),B69&amp;C69&amp;TEXT(D69,"00")&amp;"PM",_xlfn.IFNA(VLOOKUP(B69&amp;C69&amp;D69,IF({1,0},IO分站清单!H:H&amp;IO分站清单!L:L&amp;IO分站清单!M:M,IO分站清单!K:K),2,FALSE),IF(AND(F68="FF211",F69="FF211"),B69&amp;C69&amp;TEXT(D69,"00")&amp;"FF","--")))))</f>
        <v>--</v>
      </c>
      <c r="H69" s="93" t="str">
        <f t="array" ref="H69">IF(F69="NP204","--",IF(OR(D69=11,D69=12),"--",_xlfn.IFNA(VLOOKUP(B69&amp;C69&amp;D69,IF({1,0},IO分站清单!H:H&amp;IO分站清单!L:L&amp;IO分站清单!M:M,IO分站清单!T:T),2,FALSE),IF(AND(F68="FF211",F69="FF211"),H68,"--"))))</f>
        <v>--</v>
      </c>
      <c r="I69" s="93" t="str">
        <f t="array" ref="I69">IF(AND(C69=1,OR(D69=1,D69=2)),"--",IF(OR(D69=11,D69=12),"--",_xlfn.IFNA(VLOOKUP(B69&amp;C69&amp;D69,IF({1,0},IO分站清单!H:H&amp;IO分站清单!L:L&amp;IO分站清单!M:M,IO分站清单!U:U),2,FALSE),"--")))</f>
        <v>--</v>
      </c>
      <c r="J69" s="214" t="str">
        <f t="shared" si="6"/>
        <v>--</v>
      </c>
      <c r="K69" s="214" t="str">
        <f t="shared" si="7"/>
        <v/>
      </c>
      <c r="L69" s="214" t="s">
        <v>31</v>
      </c>
      <c r="M69" s="214"/>
    </row>
    <row r="70" ht="18" customHeight="1" spans="1:13">
      <c r="A70" s="214">
        <v>33</v>
      </c>
      <c r="B70" s="326" t="str">
        <f t="shared" si="4"/>
        <v>3AEKC003AR</v>
      </c>
      <c r="C70" s="219">
        <v>3</v>
      </c>
      <c r="D70" s="219">
        <v>9</v>
      </c>
      <c r="E70" s="214">
        <f t="shared" si="5"/>
        <v>29</v>
      </c>
      <c r="F70" s="214" t="str">
        <f t="array" ref="F70">IF(OR(IFERROR(SEARCH("-",E70),-1)&gt;0,E70=0),"--",IF(AND(C70=1,OR(D70=1,D70=2)),"NP204",IF(OR(D70=11,D70=12),"PM211",_xlfn.IFNA(VLOOKUP(B70&amp;C70&amp;D70,IF({1,0},IO分站清单!H:H&amp;IO分站清单!L:L&amp;IO分站清单!M:M,IO分站清单!I:I),2,FALSE),IF(AND(F69="FF211",NOT(MOD(D70,2))),"FF211","备用")))))</f>
        <v>备用</v>
      </c>
      <c r="G70" s="214" t="str">
        <f t="array" ref="G70">IF(OR(IFERROR(SEARCH("-",E70),-1)&gt;0,E70=0),"--",IF(AND(C70=1,D70&lt;3),B70&amp;C70&amp;TEXT(D70,"00")&amp;"UC",IF(OR(D70=11,D70=12),B70&amp;C70&amp;TEXT(D70,"00")&amp;"PM",_xlfn.IFNA(VLOOKUP(B70&amp;C70&amp;D70,IF({1,0},IO分站清单!H:H&amp;IO分站清单!L:L&amp;IO分站清单!M:M,IO分站清单!K:K),2,FALSE),IF(AND(F69="FF211",F70="FF211"),B70&amp;C70&amp;TEXT(D70,"00")&amp;"FF","--")))))</f>
        <v>--</v>
      </c>
      <c r="H70" s="93" t="str">
        <f t="array" ref="H70">IF(F70="NP204","--",IF(OR(D70=11,D70=12),"--",_xlfn.IFNA(VLOOKUP(B70&amp;C70&amp;D70,IF({1,0},IO分站清单!H:H&amp;IO分站清单!L:L&amp;IO分站清单!M:M,IO分站清单!T:T),2,FALSE),IF(AND(F69="FF211",F70="FF211"),H69,"--"))))</f>
        <v>--</v>
      </c>
      <c r="I70" s="93" t="str">
        <f t="array" ref="I70">IF(AND(C70=1,OR(D70=1,D70=2)),"--",IF(OR(D70=11,D70=12),"--",_xlfn.IFNA(VLOOKUP(B70&amp;C70&amp;D70,IF({1,0},IO分站清单!H:H&amp;IO分站清单!L:L&amp;IO分站清单!M:M,IO分站清单!U:U),2,FALSE),"--")))</f>
        <v>--</v>
      </c>
      <c r="J70" s="214" t="str">
        <f t="shared" si="6"/>
        <v>--</v>
      </c>
      <c r="K70" s="214" t="str">
        <f t="shared" si="7"/>
        <v/>
      </c>
      <c r="L70" s="214" t="s">
        <v>31</v>
      </c>
      <c r="M70" s="214"/>
    </row>
    <row r="71" ht="18" customHeight="1" spans="1:13">
      <c r="A71" s="214">
        <v>34</v>
      </c>
      <c r="B71" s="326" t="str">
        <f t="shared" si="4"/>
        <v>3AEKC003AR</v>
      </c>
      <c r="C71" s="219">
        <v>3</v>
      </c>
      <c r="D71" s="219">
        <v>10</v>
      </c>
      <c r="E71" s="214" t="str">
        <f t="shared" si="5"/>
        <v>2A</v>
      </c>
      <c r="F71" s="214" t="str">
        <f t="array" ref="F71">IF(OR(IFERROR(SEARCH("-",E71),-1)&gt;0,E71=0),"--",IF(AND(C71=1,OR(D71=1,D71=2)),"NP204",IF(OR(D71=11,D71=12),"PM211",_xlfn.IFNA(VLOOKUP(B71&amp;C71&amp;D71,IF({1,0},IO分站清单!H:H&amp;IO分站清单!L:L&amp;IO分站清单!M:M,IO分站清单!I:I),2,FALSE),IF(AND(F70="FF211",NOT(MOD(D71,2))),"FF211","备用")))))</f>
        <v>备用</v>
      </c>
      <c r="G71" s="214" t="str">
        <f t="array" ref="G71">IF(OR(IFERROR(SEARCH("-",E71),-1)&gt;0,E71=0),"--",IF(AND(C71=1,D71&lt;3),B71&amp;C71&amp;TEXT(D71,"00")&amp;"UC",IF(OR(D71=11,D71=12),B71&amp;C71&amp;TEXT(D71,"00")&amp;"PM",_xlfn.IFNA(VLOOKUP(B71&amp;C71&amp;D71,IF({1,0},IO分站清单!H:H&amp;IO分站清单!L:L&amp;IO分站清单!M:M,IO分站清单!K:K),2,FALSE),IF(AND(F70="FF211",F71="FF211"),B71&amp;C71&amp;TEXT(D71,"00")&amp;"FF","--")))))</f>
        <v>--</v>
      </c>
      <c r="H71" s="93" t="str">
        <f t="array" ref="H71">IF(F71="NP204","--",IF(OR(D71=11,D71=12),"--",_xlfn.IFNA(VLOOKUP(B71&amp;C71&amp;D71,IF({1,0},IO分站清单!H:H&amp;IO分站清单!L:L&amp;IO分站清单!M:M,IO分站清单!T:T),2,FALSE),IF(AND(F70="FF211",F71="FF211"),H70,"--"))))</f>
        <v>--</v>
      </c>
      <c r="I71" s="93" t="str">
        <f t="array" ref="I71">IF(AND(C71=1,OR(D71=1,D71=2)),"--",IF(OR(D71=11,D71=12),"--",_xlfn.IFNA(VLOOKUP(B71&amp;C71&amp;D71,IF({1,0},IO分站清单!H:H&amp;IO分站清单!L:L&amp;IO分站清单!M:M,IO分站清单!U:U),2,FALSE),"--")))</f>
        <v>--</v>
      </c>
      <c r="J71" s="214" t="str">
        <f t="shared" si="6"/>
        <v>--</v>
      </c>
      <c r="K71" s="214" t="str">
        <f t="shared" si="7"/>
        <v/>
      </c>
      <c r="L71" s="214" t="s">
        <v>31</v>
      </c>
      <c r="M71" s="214"/>
    </row>
    <row r="72" ht="18" customHeight="1" spans="1:13">
      <c r="A72" s="214">
        <v>35</v>
      </c>
      <c r="B72" s="326" t="str">
        <f t="shared" si="4"/>
        <v>3AEKC003AR</v>
      </c>
      <c r="C72" s="219">
        <v>3</v>
      </c>
      <c r="D72" s="219">
        <v>11</v>
      </c>
      <c r="E72" s="214" t="str">
        <f t="shared" si="5"/>
        <v>2B</v>
      </c>
      <c r="F72" s="214" t="str">
        <f t="array" ref="F72">IF(OR(IFERROR(SEARCH("-",E72),-1)&gt;0,E72=0),"--",IF(AND(C72=1,OR(D72=1,D72=2)),"NP204",IF(OR(D72=11,D72=12),"PM211",_xlfn.IFNA(VLOOKUP(B72&amp;C72&amp;D72,IF({1,0},IO分站清单!H:H&amp;IO分站清单!L:L&amp;IO分站清单!M:M,IO分站清单!I:I),2,FALSE),IF(AND(F71="FF211",NOT(MOD(D72,2))),"FF211","备用")))))</f>
        <v>PM211</v>
      </c>
      <c r="G72" s="214" t="str">
        <f t="array" ref="G72">IF(OR(IFERROR(SEARCH("-",E72),-1)&gt;0,E72=0),"--",IF(AND(C72=1,D72&lt;3),B72&amp;C72&amp;TEXT(D72,"00")&amp;"UC",IF(OR(D72=11,D72=12),B72&amp;C72&amp;TEXT(D72,"00")&amp;"PM",_xlfn.IFNA(VLOOKUP(B72&amp;C72&amp;D72,IF({1,0},IO分站清单!H:H&amp;IO分站清单!L:L&amp;IO分站清单!M:M,IO分站清单!K:K),2,FALSE),IF(AND(F71="FF211",F72="FF211"),B72&amp;C72&amp;TEXT(D72,"00")&amp;"FF","--")))))</f>
        <v>3AEKC003AR311PM</v>
      </c>
      <c r="H72" s="93" t="str">
        <f t="array" ref="H72">IF(F72="NP204","--",IF(OR(D72=11,D72=12),"--",_xlfn.IFNA(VLOOKUP(B72&amp;C72&amp;D72,IF({1,0},IO分站清单!H:H&amp;IO分站清单!L:L&amp;IO分站清单!M:M,IO分站清单!T:T),2,FALSE),IF(AND(F71="FF211",F72="FF211"),H71,"--"))))</f>
        <v>--</v>
      </c>
      <c r="I72" s="93" t="str">
        <f t="array" ref="I72">IF(AND(C72=1,OR(D72=1,D72=2)),"--",IF(OR(D72=11,D72=12),"--",_xlfn.IFNA(VLOOKUP(B72&amp;C72&amp;D72,IF({1,0},IO分站清单!H:H&amp;IO分站清单!L:L&amp;IO分站清单!M:M,IO分站清单!U:U),2,FALSE),"--")))</f>
        <v>--</v>
      </c>
      <c r="J72" s="214" t="str">
        <f t="shared" si="6"/>
        <v>DC24V电源板卡</v>
      </c>
      <c r="K72" s="214" t="str">
        <f t="shared" si="7"/>
        <v/>
      </c>
      <c r="L72" s="214" t="s">
        <v>31</v>
      </c>
      <c r="M72" s="214"/>
    </row>
    <row r="73" ht="18" customHeight="1" spans="1:13">
      <c r="A73" s="215">
        <v>36</v>
      </c>
      <c r="B73" s="327" t="str">
        <f t="shared" si="4"/>
        <v>3AEKC003AR</v>
      </c>
      <c r="C73" s="220">
        <v>3</v>
      </c>
      <c r="D73" s="220">
        <v>12</v>
      </c>
      <c r="E73" s="215" t="str">
        <f t="shared" si="5"/>
        <v>2C</v>
      </c>
      <c r="F73" s="215" t="str">
        <f t="array" ref="F73">IF(OR(IFERROR(SEARCH("-",E73),-1)&gt;0,E73=0),"--",IF(AND(C73=1,OR(D73=1,D73=2)),"NP204",IF(OR(D73=11,D73=12),"PM211",_xlfn.IFNA(VLOOKUP(B73&amp;C73&amp;D73,IF({1,0},IO分站清单!H:H&amp;IO分站清单!L:L&amp;IO分站清单!M:M,IO分站清单!I:I),2,FALSE),IF(AND(F72="FF211",NOT(MOD(D73,2))),"FF211","备用")))))</f>
        <v>PM211</v>
      </c>
      <c r="G73" s="215" t="str">
        <f t="array" ref="G73">IF(OR(IFERROR(SEARCH("-",E73),-1)&gt;0,E73=0),"--",IF(AND(C73=1,D73&lt;3),B73&amp;C73&amp;TEXT(D73,"00")&amp;"UC",IF(OR(D73=11,D73=12),B73&amp;C73&amp;TEXT(D73,"00")&amp;"PM",_xlfn.IFNA(VLOOKUP(B73&amp;C73&amp;D73,IF({1,0},IO分站清单!H:H&amp;IO分站清单!L:L&amp;IO分站清单!M:M,IO分站清单!K:K),2,FALSE),IF(AND(F72="FF211",F73="FF211"),B73&amp;C73&amp;TEXT(D73,"00")&amp;"FF","--")))))</f>
        <v>3AEKC003AR312PM</v>
      </c>
      <c r="H73" s="216" t="str">
        <f t="array" ref="H73">IF(F73="NP204","--",IF(OR(D73=11,D73=12),"--",_xlfn.IFNA(VLOOKUP(B73&amp;C73&amp;D73,IF({1,0},IO分站清单!H:H&amp;IO分站清单!L:L&amp;IO分站清单!M:M,IO分站清单!T:T),2,FALSE),IF(AND(F72="FF211",F73="FF211"),H72,"--"))))</f>
        <v>--</v>
      </c>
      <c r="I73" s="216" t="str">
        <f t="array" ref="I73">IF(AND(C73=1,OR(D73=1,D73=2)),"--",IF(OR(D73=11,D73=12),"--",_xlfn.IFNA(VLOOKUP(B73&amp;C73&amp;D73,IF({1,0},IO分站清单!H:H&amp;IO分站清单!L:L&amp;IO分站清单!M:M,IO分站清单!U:U),2,FALSE),"--")))</f>
        <v>--</v>
      </c>
      <c r="J73" s="215" t="str">
        <f t="shared" si="6"/>
        <v>DC24V电源板卡</v>
      </c>
      <c r="K73" s="215" t="str">
        <f t="shared" si="7"/>
        <v/>
      </c>
      <c r="L73" s="215" t="s">
        <v>31</v>
      </c>
      <c r="M73" s="215"/>
    </row>
  </sheetData>
  <sortState ref="R3:S11">
    <sortCondition ref="R3:R11"/>
  </sortState>
  <mergeCells count="9">
    <mergeCell ref="O1:S1"/>
    <mergeCell ref="P15:P16"/>
    <mergeCell ref="P17:P18"/>
    <mergeCell ref="Q15:Q16"/>
    <mergeCell ref="Q17:Q18"/>
    <mergeCell ref="R5:R6"/>
    <mergeCell ref="R12:R14"/>
    <mergeCell ref="S5:S6"/>
    <mergeCell ref="S12:S14"/>
  </mergeCells>
  <pageMargins left="0.984251968503937" right="0.78740157480315" top="0.826771653543307" bottom="0.748031496062992" header="0.393700787401575" footer="0.236220472440945"/>
  <pageSetup paperSize="9" scale="54" fitToHeight="0" orientation="portrait"/>
  <headerFooter>
    <oddHeader>&amp;LB113子项IO分站清单
B/CFC&amp;CR2-DCS-D-SJ-113-X-LST-ES-005
B113子项主系统板卡布置清单&amp;R
P&amp;P+4 / P18</oddHeader>
  </headerFooter>
  <rowBreaks count="1" manualBreakCount="1">
    <brk id="37" max="16383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0"/>
  <dimension ref="A1:CD179"/>
  <sheetViews>
    <sheetView zoomScale="80" zoomScaleNormal="80" zoomScalePageLayoutView="70" zoomScaleSheetLayoutView="70" workbookViewId="0">
      <pane ySplit="2" topLeftCell="A3" activePane="bottomLeft" state="frozen"/>
      <selection/>
      <selection pane="bottomLeft" activeCell="A1" sqref="A1:C1"/>
    </sheetView>
  </sheetViews>
  <sheetFormatPr defaultColWidth="9" defaultRowHeight="15"/>
  <cols>
    <col min="1" max="1" width="4.125" style="152" customWidth="1"/>
    <col min="2" max="2" width="22.8083333333333" style="152" customWidth="1"/>
    <col min="3" max="3" width="11.0916666666667" style="153" customWidth="1"/>
    <col min="4" max="4" width="23.9" style="154" customWidth="1"/>
    <col min="5" max="5" width="32.175" style="155" customWidth="1"/>
    <col min="6" max="6" width="14.9916666666667" style="152" customWidth="1"/>
    <col min="7" max="7" width="12.1833333333333" style="152" customWidth="1"/>
    <col min="8" max="8" width="14.375" style="152" customWidth="1"/>
    <col min="9" max="9" width="11.725" style="152" customWidth="1"/>
    <col min="10" max="10" width="10.7833333333333" style="152" customWidth="1"/>
    <col min="11" max="11" width="22.3416666666667" style="154" customWidth="1"/>
    <col min="12" max="13" width="6.6" style="156" customWidth="1"/>
    <col min="14" max="14" width="8.39166666666667" style="156" customWidth="1"/>
    <col min="15" max="15" width="7.94166666666667" style="153" customWidth="1"/>
    <col min="16" max="16" width="12.5" style="156" customWidth="1"/>
    <col min="17" max="17" width="14.6833333333333" style="154" customWidth="1"/>
    <col min="18" max="18" width="9.85" style="154" customWidth="1"/>
    <col min="19" max="19" width="9.99166666666667" style="152" customWidth="1"/>
    <col min="20" max="20" width="12.6583333333333" style="152" customWidth="1"/>
    <col min="21" max="21" width="9.99166666666667" style="152" customWidth="1"/>
    <col min="22" max="25" width="9.20833333333333" style="152" customWidth="1"/>
    <col min="26" max="26" width="9.21666666666667" style="152" customWidth="1"/>
    <col min="27" max="27" width="20.6166666666667" style="154" customWidth="1"/>
    <col min="28" max="29" width="12.5" style="152" customWidth="1"/>
    <col min="30" max="31" width="12.4916666666667" style="152" customWidth="1"/>
    <col min="32" max="32" width="21.4666666666667" style="152" customWidth="1"/>
    <col min="33" max="33" width="17.8083333333333" style="152" customWidth="1"/>
    <col min="34" max="34" width="19.0583333333333" style="152" customWidth="1"/>
    <col min="35" max="35" width="12.3416666666667" style="152" customWidth="1"/>
    <col min="36" max="36" width="28.025" style="155" customWidth="1"/>
    <col min="37" max="37" width="12.3416666666667" style="152" customWidth="1"/>
    <col min="38" max="38" width="12.35" style="157" customWidth="1"/>
    <col min="39" max="39" width="12.8166666666667" style="152" customWidth="1"/>
    <col min="40" max="40" width="12.375" style="152" customWidth="1"/>
    <col min="41" max="41" width="16.0666666666667" style="152" customWidth="1"/>
    <col min="42" max="42" width="14.875" style="158" customWidth="1"/>
    <col min="43" max="43" width="6.18333333333333" style="152" customWidth="1"/>
    <col min="44" max="44" width="27.4166666666667" style="155" customWidth="1"/>
    <col min="45" max="45" width="13.5" style="152" customWidth="1"/>
    <col min="46" max="46" width="14.9916666666667" style="152" customWidth="1"/>
    <col min="47" max="47" width="24" style="152" customWidth="1"/>
    <col min="48" max="48" width="12.625" style="152" customWidth="1"/>
    <col min="49" max="81" width="8.43333333333333" style="152" customWidth="1"/>
    <col min="82" max="82" width="11.25" style="152" customWidth="1"/>
    <col min="83" max="16384" width="9" style="123"/>
  </cols>
  <sheetData>
    <row r="1" s="123" customFormat="1" ht="37" customHeight="1" spans="1:82">
      <c r="A1" s="159" t="s">
        <v>159</v>
      </c>
      <c r="B1" s="160"/>
      <c r="C1" s="161"/>
      <c r="D1" s="162"/>
      <c r="E1" s="163"/>
      <c r="F1" s="162"/>
      <c r="G1" s="162"/>
      <c r="H1" s="162"/>
      <c r="I1" s="162"/>
      <c r="J1" s="162"/>
      <c r="K1" s="176"/>
      <c r="L1" s="177"/>
      <c r="M1" s="177"/>
      <c r="N1" s="177"/>
      <c r="O1" s="178"/>
      <c r="P1" s="179"/>
      <c r="Q1" s="176"/>
      <c r="R1" s="176"/>
      <c r="S1" s="187"/>
      <c r="T1" s="162"/>
      <c r="U1" s="187"/>
      <c r="V1" s="187"/>
      <c r="W1" s="187"/>
      <c r="X1" s="187"/>
      <c r="Y1" s="187"/>
      <c r="Z1" s="187"/>
      <c r="AA1" s="176"/>
      <c r="AB1" s="187"/>
      <c r="AC1" s="187"/>
      <c r="AD1" s="162"/>
      <c r="AE1" s="162"/>
      <c r="AF1" s="162"/>
      <c r="AG1" s="162"/>
      <c r="AH1" s="162"/>
      <c r="AI1" s="162"/>
      <c r="AJ1" s="163"/>
      <c r="AK1" s="162"/>
      <c r="AL1" s="188"/>
      <c r="AM1" s="162"/>
      <c r="AN1" s="162"/>
      <c r="AO1" s="187"/>
      <c r="AP1" s="100"/>
      <c r="AQ1" s="162"/>
      <c r="AR1" s="163"/>
      <c r="AS1" s="162"/>
      <c r="AT1" s="162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  <c r="CD1" s="187"/>
    </row>
    <row r="2" s="128" customFormat="1" ht="32" customHeight="1" spans="1:82">
      <c r="A2" s="92" t="s">
        <v>110</v>
      </c>
      <c r="B2" s="92" t="s">
        <v>160</v>
      </c>
      <c r="C2" s="95" t="s">
        <v>161</v>
      </c>
      <c r="D2" s="97" t="s">
        <v>162</v>
      </c>
      <c r="E2" s="92" t="s">
        <v>119</v>
      </c>
      <c r="F2" s="92" t="s">
        <v>163</v>
      </c>
      <c r="G2" s="101" t="s">
        <v>164</v>
      </c>
      <c r="H2" s="92" t="s">
        <v>165</v>
      </c>
      <c r="I2" s="97" t="s">
        <v>115</v>
      </c>
      <c r="J2" s="97" t="s">
        <v>166</v>
      </c>
      <c r="K2" s="97" t="s">
        <v>116</v>
      </c>
      <c r="L2" s="180" t="s">
        <v>167</v>
      </c>
      <c r="M2" s="103" t="s">
        <v>113</v>
      </c>
      <c r="N2" s="103" t="s">
        <v>168</v>
      </c>
      <c r="O2" s="103" t="s">
        <v>169</v>
      </c>
      <c r="P2" s="103" t="s">
        <v>170</v>
      </c>
      <c r="Q2" s="106" t="s">
        <v>171</v>
      </c>
      <c r="R2" s="106" t="s">
        <v>172</v>
      </c>
      <c r="S2" s="107" t="s">
        <v>173</v>
      </c>
      <c r="T2" s="107" t="s">
        <v>174</v>
      </c>
      <c r="U2" s="107" t="s">
        <v>118</v>
      </c>
      <c r="V2" s="97" t="s">
        <v>175</v>
      </c>
      <c r="W2" s="97" t="s">
        <v>176</v>
      </c>
      <c r="X2" s="97" t="s">
        <v>177</v>
      </c>
      <c r="Y2" s="97" t="s">
        <v>178</v>
      </c>
      <c r="Z2" s="92" t="s">
        <v>179</v>
      </c>
      <c r="AA2" s="97" t="s">
        <v>180</v>
      </c>
      <c r="AB2" s="97" t="s">
        <v>181</v>
      </c>
      <c r="AC2" s="97" t="s">
        <v>182</v>
      </c>
      <c r="AD2" s="92" t="s">
        <v>183</v>
      </c>
      <c r="AE2" s="92" t="s">
        <v>184</v>
      </c>
      <c r="AF2" s="92" t="s">
        <v>185</v>
      </c>
      <c r="AG2" s="92" t="s">
        <v>186</v>
      </c>
      <c r="AH2" s="97" t="s">
        <v>187</v>
      </c>
      <c r="AI2" s="92" t="s">
        <v>188</v>
      </c>
      <c r="AJ2" s="92" t="s">
        <v>189</v>
      </c>
      <c r="AK2" s="92" t="s">
        <v>190</v>
      </c>
      <c r="AL2" s="92" t="s">
        <v>191</v>
      </c>
      <c r="AM2" s="92" t="s">
        <v>192</v>
      </c>
      <c r="AN2" s="92" t="s">
        <v>193</v>
      </c>
      <c r="AO2" s="101" t="s">
        <v>194</v>
      </c>
      <c r="AP2" s="110" t="s">
        <v>195</v>
      </c>
      <c r="AQ2" s="92" t="s">
        <v>121</v>
      </c>
      <c r="AR2" s="111" t="s">
        <v>120</v>
      </c>
      <c r="AS2" s="92" t="s">
        <v>196</v>
      </c>
      <c r="AT2" s="113" t="s">
        <v>122</v>
      </c>
      <c r="AU2" s="101" t="s">
        <v>197</v>
      </c>
      <c r="AV2" s="115" t="s">
        <v>198</v>
      </c>
      <c r="AW2" s="101" t="s">
        <v>199</v>
      </c>
      <c r="AX2" s="101" t="s">
        <v>200</v>
      </c>
      <c r="AY2" s="101" t="s">
        <v>201</v>
      </c>
      <c r="AZ2" s="101" t="s">
        <v>202</v>
      </c>
      <c r="BA2" s="101" t="s">
        <v>203</v>
      </c>
      <c r="BB2" s="101" t="s">
        <v>204</v>
      </c>
      <c r="BC2" s="101" t="s">
        <v>205</v>
      </c>
      <c r="BD2" s="101" t="s">
        <v>206</v>
      </c>
      <c r="BE2" s="101" t="s">
        <v>207</v>
      </c>
      <c r="BF2" s="101" t="s">
        <v>208</v>
      </c>
      <c r="BG2" s="101" t="s">
        <v>209</v>
      </c>
      <c r="BH2" s="101" t="s">
        <v>210</v>
      </c>
      <c r="BI2" s="101" t="s">
        <v>211</v>
      </c>
      <c r="BJ2" s="101" t="s">
        <v>212</v>
      </c>
      <c r="BK2" s="101" t="s">
        <v>213</v>
      </c>
      <c r="BL2" s="101" t="s">
        <v>214</v>
      </c>
      <c r="BM2" s="101" t="s">
        <v>215</v>
      </c>
      <c r="BN2" s="101" t="s">
        <v>216</v>
      </c>
      <c r="BO2" s="101" t="s">
        <v>217</v>
      </c>
      <c r="BP2" s="101" t="s">
        <v>218</v>
      </c>
      <c r="BQ2" s="101" t="s">
        <v>219</v>
      </c>
      <c r="BR2" s="101" t="s">
        <v>220</v>
      </c>
      <c r="BS2" s="101" t="s">
        <v>221</v>
      </c>
      <c r="BT2" s="101" t="s">
        <v>222</v>
      </c>
      <c r="BU2" s="101" t="s">
        <v>223</v>
      </c>
      <c r="BV2" s="101" t="s">
        <v>224</v>
      </c>
      <c r="BW2" s="101" t="s">
        <v>225</v>
      </c>
      <c r="BX2" s="101" t="s">
        <v>226</v>
      </c>
      <c r="BY2" s="101" t="s">
        <v>227</v>
      </c>
      <c r="BZ2" s="101" t="s">
        <v>228</v>
      </c>
      <c r="CA2" s="101" t="s">
        <v>229</v>
      </c>
      <c r="CB2" s="101" t="s">
        <v>230</v>
      </c>
      <c r="CC2" s="130" t="s">
        <v>231</v>
      </c>
      <c r="CD2" s="206" t="s">
        <v>232</v>
      </c>
    </row>
    <row r="3" s="123" customFormat="1" ht="21" customHeight="1" spans="1:82">
      <c r="A3" s="164">
        <v>1</v>
      </c>
      <c r="B3" s="164" t="str">
        <f t="shared" ref="B3:B11" si="0">K3&amp;"CH"&amp;IF(N3&lt;10,"0"&amp;N3,N3)</f>
        <v>3AEKC003AR103AICH01</v>
      </c>
      <c r="C3" s="165"/>
      <c r="D3" s="166" t="str">
        <f t="shared" ref="D3:D8" si="1">IF(CLEAN(B3)="","","R")&amp;SUBSTITUTE(TRIM(B3),"-","")&amp;IF(CLEAN(C3)="","","_"&amp;C3)</f>
        <v>R3AEKC003AR103AICH01</v>
      </c>
      <c r="E3" s="167" t="s">
        <v>233</v>
      </c>
      <c r="F3" s="166" t="s">
        <v>234</v>
      </c>
      <c r="G3" s="168"/>
      <c r="H3" s="328" t="s">
        <v>124</v>
      </c>
      <c r="I3" s="181" t="str">
        <f>IF(IFERROR(SEARCH("TCP",AG3),-1)&gt;0,"MD216",IF(IFERROR(SEARCH("RTU",AG3),-1)&gt;0,"MD211",IF(OR(IFERROR(SEARCH("DP",AG3),-1)&gt;0,IFERROR(SEARCH("PROFIBUS",AG3),-1)&gt;0),"DP211",IF(IFERROR(SEARCH("FF",AG3),-1)&gt;0,"FF211",IF(AND(AF3="AI",IFERROR(SEARCH("NH",AI3),-1)&gt;0),"AI212",IF(AND(AF3="AI",IFERROR(SEARCH("4*20mA",AG3),-1)&gt;0),"AI216",IF(AND(AF3="AI",IFERROR(SEARCH("TC",AG3),-1)&gt;0),"AI221",IF(AND(AF3="AI",IFERROR(SEARCH("PT",AG3),-1)&gt;0),"AI232",IF(AND(AF3="AO",OR(AI3="AO1",AI3="AO2")),"AO211",IF(AND(AF3="AO",AI3="AOH"),"AO215",IF(OR(AF3="PI",AE3="P"),"PI211",IF(AF3="DI","DI211",IF(AF3="DO","DO211",IF(IFERROR(SEARCH("OPC",AG3),-1)&gt;0,"--","未知板卡"))))))))))))))</f>
        <v>AI216</v>
      </c>
      <c r="J3" s="181" t="str">
        <f>IF(I3="--","--",L3&amp;TEXT(M3,"00")&amp;IF(I3="AI232","RTD",IF(I3="AI221","TC",LEFT(I3,2))))</f>
        <v>103AI</v>
      </c>
      <c r="K3" s="166" t="str">
        <f>IF(I3="--","--",H3&amp;J3)</f>
        <v>3AEKC003AR103AI</v>
      </c>
      <c r="L3" s="168">
        <v>1</v>
      </c>
      <c r="M3" s="168">
        <v>3</v>
      </c>
      <c r="N3" s="168">
        <v>1</v>
      </c>
      <c r="O3" s="182"/>
      <c r="P3" s="168"/>
      <c r="Q3" s="181"/>
      <c r="R3" s="181"/>
      <c r="S3" s="181">
        <f>IF(I3="--","--",(L3-1)*10+M3)</f>
        <v>3</v>
      </c>
      <c r="T3" s="181" t="str">
        <f>IF(I3="DO211",CHOOSE(MID(AI3,3,LEN(AI3)-1),"TB233","TB233","TB231","TB231","TB231"),IF(AND(I3="DI211",AI3="DI4",IFERROR(SEARCH("继电器",AJ3),-1)&gt;0),"TB222",IF(I3="DI211",CHOOSE(MID(AI3,3,LEN(AI3)-1),"TB222","TB222","TB222","TB221","TB222","TB222"),IF(OR(I3="AI212",I3="AI216"),"TB241",IF(I3="AI221","TB242",IF(I3="AI232","TB246",IF(I3="AO211","TB251",IF(OR(I3="PI211",I3="AO215",I3="MD211"),"TB244",IF(I3="MD216","--",IF(I3="FF211","TB271",IF(I3="DP211","TB272",IF(I3="--","--","ERR"))))))))))))</f>
        <v>TB241</v>
      </c>
      <c r="U3" s="181" t="str">
        <f>IF(I3="FF211",L3&amp;TEXT(M3,"00")&amp;"_"&amp;N3&amp;"FI",IF(OR(I3="MD216",I3="--"),"--",L3&amp;TEXT(M3,"00")&amp;"BN"))</f>
        <v>103BN</v>
      </c>
      <c r="V3" s="181" t="str">
        <f>IF(OR(T3="TB221",T3="TB222",T3="TB242",T3="TB243",T3="TB246"),N3&amp;"A",IF(AND(OR(T3="TB231",T3="TB232",T3="TB233"),OR(AN3="",AN3="NO")),N3&amp;"B",IF(AND(OR(T3="TB231",T3="TB232",T3="TB233"),AN3="NC"),N3&amp;"A",IF(AND(T3="TB241",OR(I3="AI212",I3="AI216")),N3&amp;CHOOSE(MID(AI3,3,1),"B","A","A","A","A","B"),IF(AND(T3="TB244",I3="AO215"),N3*2+22,IF(AND(T3="TB244",I3="PI211"),(N3-1)*4+2,IF(AND(T3="TB244",I3="MD211"),CHOOSE(N3,"8","28"),IF(T3="TB271","a",IF(OR(T3="TB272",T3="TB271"),"--",IF(T3="TB251",N3&amp;"B",IF(T3="--","--","Err")))))))))))</f>
        <v>1B</v>
      </c>
      <c r="W3" s="181" t="str">
        <f>IF(OR(T3="TB221",T3="TB222",T3="TB242",T3="TB246"),N3&amp;"B",IF(OR(T3="TB231",T3="TB233",T3="TB251"),N3&amp;"C",IF(AND(T3="TB241",OR(I3="AI212",I3="AI216")),N3&amp;CHOOSE(MID(AI3,3,1),"A","C","C","C","C","A"),IF(AND(T3="TB244",I3="AO215"),N3*2+19,IF(AND(T3="TB244",I3="PI211"),N3*4,IF(AND(T3="TB244",I3="MD211"),CHOOSE(N3,"12","32"),IF(T3="TB271","b",IF(OR(T3="TB272",T3="TB271"),"--",IF(T3="--","--","Err")))))))))</f>
        <v>1A</v>
      </c>
      <c r="X3" s="181" t="str">
        <f>IF(T3="TB271","IE-BUS",IF(OR(AI3="AI7",AI3="AI8",AI3="AI9"),N3&amp;"C",IF(AND(T3="TB244",I3="MD211"),"GND:"&amp;CHOOSE(N3,"10","30"),"--")))</f>
        <v>--</v>
      </c>
      <c r="Y3" s="181" t="str">
        <f t="shared" ref="Y3:Y8" si="2">IF(AI3="AI9",N3&amp;"D","--")</f>
        <v>--</v>
      </c>
      <c r="Z3" s="181"/>
      <c r="AA3" s="166" t="str">
        <f>IF(IFERROR(SEARCH("FS",Z3),-1)&gt;0,G3&amp;"_"&amp;O3&amp;"_"&amp;Z3,"--")</f>
        <v>--</v>
      </c>
      <c r="AB3" s="168" t="str">
        <f>IF(IFERROR(SEARCH("FS",Z3),-1)&gt;0,IF(AND(IFERROR(SEARCH("A",AF3),-1)&gt;0,IFERROR(SEARCH("四",AJ3),-1)&gt;0),P3&amp;"A",IF(IFERROR(SEARCH("AI",AF3),-1)&gt;0,P3&amp;"B",IF(IFERROR(SEARCH("AO",AF3),-1)&gt;0,P3&amp;"C",IF(IFERROR(SEARCH("DI",AF3),-1)&gt;0,P3&amp;"A",IF(AND(IFERROR(SEARCH("DO",AF3),-1)&gt;0,IFERROR(SEARCH("NC",AN3),-1)&gt;0),P3&amp;"A",IF(IFERROR(SEARCH("DO",AF3),-1)&gt;0,P3&amp;"B","--")))))),"--")</f>
        <v>--</v>
      </c>
      <c r="AC3" s="168" t="str">
        <f>IF(IFERROR(SEARCH("FS",Z3),-1)&gt;0,IF(AND(IFERROR(SEARCH("A",AF3),-1)&gt;0,IFERROR(SEARCH("四",AJ3),-1)&gt;0),P3&amp;"C",IF(IFERROR(SEARCH("AI",AF3),-1)&gt;0,P3&amp;"A",IF(IFERROR(SEARCH("AO",AF3),-1)&gt;0,P3&amp;"B",IF(IFERROR(SEARCH("DI",AF3),-1)&gt;0,P3&amp;"B",IF(AND(IFERROR(SEARCH("DO",AF3),-1)&gt;0,IFERROR(SEARCH("无源",AJ3),-1)&gt;0),P3&amp;"C",IF(IFERROR(SEARCH("DO",AF3),-1)&gt;0,P3&amp;"D","--")))))),"--")</f>
        <v>--</v>
      </c>
      <c r="AD3" s="181" t="s">
        <v>235</v>
      </c>
      <c r="AE3" s="181" t="s">
        <v>236</v>
      </c>
      <c r="AF3" s="168" t="s">
        <v>237</v>
      </c>
      <c r="AG3" s="181" t="s">
        <v>238</v>
      </c>
      <c r="AH3" s="181" t="str">
        <f>IF(OR(IFERROR(SEARCH("TCP",AG3),-1)&gt;0,IFERROR(SEARCH("RTU",AG3),-1)&gt;0),"--",IF(LEFT(AI3,2)="AI",CHOOSE(MID(AI3,3,IF(IFERROR(SEARCH("NH",AI3),-1)&gt;0,"1",LEN(AI3)-1)),"DCS","DCS(提供24VDC)","DCS(提供220VAC)","USER","USER","DCS(提供220VAC)","DCS","DCS","DCS","DCS"),IF(LEFT(AI3,2)="AO","DCS",IF(LEFT(AI3,1)="P",CHOOSE(MID(AI3,2,LEN(AI3)-1),"DCS(提供24VDC)","DCS(提供220VAC)","USER"),IF(LEFT(AI3,2)="DI",CHOOSE(MID(AI3,3,LEN(AI3)-1),"DCS","DCS(提供24VDC)","DCS(提供220VAC)","USER","USER","DCS(提供24VDC)"),IF(LEFT(AI3,2)="DO",CHOOSE(MID(AI3,3,LEN(AI3)-1),"DCS","DCS(提供24VDC)","DCS(提供220VAC)","USER","USER"),IF(LEFT(AI3,2)="FF",CHOOSE(MID(AI3,3,LEN(AI3)-1),"DCS","DCS(提供24VDC)","DCS(提供220VAC)","USER","USER","DCS","DCS","DCS"),IF(LEFT(AI3,2)="DP","DCS(提供220VAC)",IF(IFERROR(SEARCH("DP",AG3),-1)&gt;0,"--",IF(IFERROR(SEARCH("OPC",AG3),-1)&gt;0,"--","Err"))))))))))</f>
        <v>DCS</v>
      </c>
      <c r="AI3" s="168" t="s">
        <v>239</v>
      </c>
      <c r="AJ3" s="189" t="s">
        <v>240</v>
      </c>
      <c r="AK3" s="329" t="s">
        <v>241</v>
      </c>
      <c r="AL3" s="329" t="s">
        <v>242</v>
      </c>
      <c r="AM3" s="329" t="s">
        <v>243</v>
      </c>
      <c r="AN3" s="190" t="s">
        <v>244</v>
      </c>
      <c r="AO3" s="190"/>
      <c r="AP3" s="168"/>
      <c r="AQ3" s="190" t="s">
        <v>31</v>
      </c>
      <c r="AR3" s="170"/>
      <c r="AS3" s="166"/>
      <c r="AT3" s="166"/>
      <c r="AU3" s="328" t="s">
        <v>245</v>
      </c>
      <c r="AV3" s="200"/>
      <c r="AW3" s="200"/>
      <c r="AX3" s="200"/>
      <c r="AY3" s="200"/>
      <c r="AZ3" s="200"/>
      <c r="BA3" s="200"/>
      <c r="BB3" s="200"/>
      <c r="BC3" s="200"/>
      <c r="BD3" s="200"/>
      <c r="BE3" s="200"/>
      <c r="BF3" s="200"/>
      <c r="BG3" s="200"/>
      <c r="BH3" s="200"/>
      <c r="BI3" s="200"/>
      <c r="BJ3" s="200"/>
      <c r="BK3" s="200"/>
      <c r="BL3" s="200"/>
      <c r="BM3" s="200"/>
      <c r="BN3" s="200"/>
      <c r="BO3" s="200"/>
      <c r="BP3" s="200"/>
      <c r="BQ3" s="200"/>
      <c r="BR3" s="200"/>
      <c r="BS3" s="200"/>
      <c r="BT3" s="200"/>
      <c r="BU3" s="200"/>
      <c r="BV3" s="200"/>
      <c r="BW3" s="200"/>
      <c r="BX3" s="200"/>
      <c r="BY3" s="200"/>
      <c r="BZ3" s="200"/>
      <c r="CA3" s="200"/>
      <c r="CB3" s="200"/>
      <c r="CC3" s="200"/>
      <c r="CD3" s="181">
        <f>IF(AM3="","",IF(AK3="r/min",0,IF(ABS(AM3-AL3)&lt;=10,3,IF(AND((10&lt;ABS(AM3-AL3)),(ABS(AM3-AL3)&lt;=100)),2,IF(100&lt;ABS(AM3-AL3),1,"")))))</f>
        <v>1</v>
      </c>
    </row>
    <row r="4" s="123" customFormat="1" ht="21" customHeight="1" spans="1:82">
      <c r="A4" s="93">
        <v>2</v>
      </c>
      <c r="B4" s="93" t="str">
        <f t="shared" si="0"/>
        <v>3AEKC003AR103AICH02</v>
      </c>
      <c r="C4" s="96"/>
      <c r="D4" s="100" t="str">
        <f t="shared" si="1"/>
        <v>R3AEKC003AR103AICH02</v>
      </c>
      <c r="E4" s="169" t="s">
        <v>233</v>
      </c>
      <c r="F4" s="100" t="s">
        <v>234</v>
      </c>
      <c r="G4" s="102"/>
      <c r="H4" s="330" t="s">
        <v>124</v>
      </c>
      <c r="I4" s="98" t="str">
        <f t="shared" ref="I4:I36" si="3">IF(IFERROR(SEARCH("TCP",AG4),-1)&gt;0,"MD216",IF(IFERROR(SEARCH("RTU",AG4),-1)&gt;0,"MD211",IF(OR(IFERROR(SEARCH("DP",AG4),-1)&gt;0,IFERROR(SEARCH("PROFIBUS",AG4),-1)&gt;0),"DP211",IF(IFERROR(SEARCH("FF",AG4),-1)&gt;0,"FF211",IF(AND(AF4="AI",IFERROR(SEARCH("NH",AI4),-1)&gt;0),"AI212",IF(AND(AF4="AI",IFERROR(SEARCH("4*20mA",AG4),-1)&gt;0),"AI216",IF(AND(AF4="AI",IFERROR(SEARCH("TC",AG4),-1)&gt;0),"AI221",IF(AND(AF4="AI",IFERROR(SEARCH("PT",AG4),-1)&gt;0),"AI232",IF(AND(AF4="AO",OR(AI4="AO1",AI4="AO2")),"AO211",IF(AND(AF4="AO",AI4="AOH"),"AO215",IF(OR(AF4="PI",AE4="P"),"PI211",IF(AF4="DI","DI211",IF(AF4="DO","DO211",IF(IFERROR(SEARCH("OPC",AG4),-1)&gt;0,"--","未知板卡"))))))))))))))</f>
        <v>AI216</v>
      </c>
      <c r="J4" s="98" t="str">
        <f t="shared" ref="J4:J36" si="4">IF(I4="--","--",L4&amp;TEXT(M4,"00")&amp;IF(I4="AI232","RTD",IF(I4="AI221","TC",LEFT(I4,2))))</f>
        <v>103AI</v>
      </c>
      <c r="K4" s="100" t="str">
        <f t="shared" ref="K4:K36" si="5">IF(I4="--","--",H4&amp;J4)</f>
        <v>3AEKC003AR103AI</v>
      </c>
      <c r="L4" s="102">
        <v>1</v>
      </c>
      <c r="M4" s="102">
        <v>3</v>
      </c>
      <c r="N4" s="102">
        <v>2</v>
      </c>
      <c r="O4" s="183"/>
      <c r="P4" s="102"/>
      <c r="Q4" s="98"/>
      <c r="R4" s="98"/>
      <c r="S4" s="98">
        <f t="shared" ref="S4:S36" si="6">IF(I4="--","--",(L4-1)*10+M4)</f>
        <v>3</v>
      </c>
      <c r="T4" s="98" t="str">
        <f t="shared" ref="T4:T23" si="7">IF(I4="DO211",CHOOSE(MID(AI4,3,LEN(AI4)-1),"TB233","TB233","TB231","TB231","TB231"),IF(AND(I4="DI211",AI4="DI4",IFERROR(SEARCH("继电器",AJ4),-1)&gt;0),"TB222",IF(I4="DI211",CHOOSE(MID(AI4,3,LEN(AI4)-1),"TB222","TB222","TB222","TB221","TB222","TB222"),IF(OR(I4="AI212",I4="AI216"),"TB241",IF(I4="AI221","TB242",IF(I4="AI232","TB246",IF(I4="AO211","TB251",IF(OR(I4="PI211",I4="AO215",I4="MD211"),"TB244",IF(I4="MD216","--",IF(I4="FF211","TB271",IF(I4="DP211","TB272",IF(I4="--","--","ERR"))))))))))))</f>
        <v>TB241</v>
      </c>
      <c r="U4" s="98" t="str">
        <f t="shared" ref="U4:U36" si="8">IF(I4="FF211",L4&amp;TEXT(M4,"00")&amp;"_"&amp;N4&amp;"FI",IF(OR(I4="MD216",I4="--"),"--",L4&amp;TEXT(M4,"00")&amp;"BN"))</f>
        <v>103BN</v>
      </c>
      <c r="V4" s="98" t="str">
        <f t="shared" ref="V4:V35" si="9">IF(OR(T4="TB221",T4="TB222",T4="TB242",T4="TB243",T4="TB246"),N4&amp;"A",IF(AND(OR(T4="TB231",T4="TB232",T4="TB233"),OR(AN4="",AN4="NO")),N4&amp;"B",IF(AND(OR(T4="TB231",T4="TB232",T4="TB233"),AN4="NC"),N4&amp;"A",IF(AND(T4="TB241",OR(I4="AI212",I4="AI216")),N4&amp;CHOOSE(MID(AI4,3,1),"B","A","A","A","A","B"),IF(AND(T4="TB244",I4="AO215"),N4*2+22,IF(AND(T4="TB244",I4="PI211"),(N4-1)*4+2,IF(AND(T4="TB244",I4="MD211"),CHOOSE(N4,"8","28"),IF(T4="TB271","a",IF(OR(T4="TB272",T4="TB271"),"--",IF(T4="TB251",N4&amp;"B",IF(T4="--","--","Err")))))))))))</f>
        <v>2A</v>
      </c>
      <c r="W4" s="98" t="str">
        <f t="shared" ref="W4:W35" si="10">IF(OR(T4="TB221",T4="TB222",T4="TB242",T4="TB246"),N4&amp;"B",IF(OR(T4="TB231",T4="TB233",T4="TB251"),N4&amp;"C",IF(AND(T4="TB241",OR(I4="AI212",I4="AI216")),N4&amp;CHOOSE(MID(AI4,3,1),"A","C","C","C","C","A"),IF(AND(T4="TB244",I4="AO215"),N4*2+19,IF(AND(T4="TB244",I4="PI211"),N4*4,IF(AND(T4="TB244",I4="MD211"),CHOOSE(N4,"12","32"),IF(T4="TB271","b",IF(OR(T4="TB272",T4="TB271"),"--",IF(T4="--","--","Err")))))))))</f>
        <v>2C</v>
      </c>
      <c r="X4" s="98" t="str">
        <f t="shared" ref="X4:X35" si="11">IF(T4="TB271","IE-BUS",IF(OR(AI4="AI7",AI4="AI8",AI4="AI9"),N4&amp;"C",IF(AND(T4="TB244",I4="MD211"),"GND:"&amp;CHOOSE(N4,"10","30"),"--")))</f>
        <v>--</v>
      </c>
      <c r="Y4" s="98" t="str">
        <f t="shared" si="2"/>
        <v>--</v>
      </c>
      <c r="Z4" s="98"/>
      <c r="AA4" s="100" t="str">
        <f t="shared" ref="AA4:AA36" si="12">IF(IFERROR(SEARCH("FS",Z4),-1)&gt;0,G4&amp;"_"&amp;O4&amp;"_"&amp;Z4,"--")</f>
        <v>--</v>
      </c>
      <c r="AB4" s="102" t="str">
        <f t="shared" ref="AB4:AB35" si="13">IF(IFERROR(SEARCH("FS",Z4),-1)&gt;0,IF(AND(IFERROR(SEARCH("A",AF4),-1)&gt;0,IFERROR(SEARCH("四",AJ4),-1)&gt;0),P4&amp;"A",IF(IFERROR(SEARCH("AI",AF4),-1)&gt;0,P4&amp;"B",IF(IFERROR(SEARCH("AO",AF4),-1)&gt;0,P4&amp;"C",IF(IFERROR(SEARCH("DI",AF4),-1)&gt;0,P4&amp;"A",IF(AND(IFERROR(SEARCH("DO",AF4),-1)&gt;0,IFERROR(SEARCH("NC",AN4),-1)&gt;0),P4&amp;"A",IF(IFERROR(SEARCH("DO",AF4),-1)&gt;0,P4&amp;"B","--")))))),"--")</f>
        <v>--</v>
      </c>
      <c r="AC4" s="102" t="str">
        <f t="shared" ref="AC4:AC35" si="14">IF(IFERROR(SEARCH("FS",Z4),-1)&gt;0,IF(AND(IFERROR(SEARCH("A",AF4),-1)&gt;0,IFERROR(SEARCH("四",AJ4),-1)&gt;0),P4&amp;"C",IF(IFERROR(SEARCH("AI",AF4),-1)&gt;0,P4&amp;"A",IF(IFERROR(SEARCH("AO",AF4),-1)&gt;0,P4&amp;"B",IF(IFERROR(SEARCH("DI",AF4),-1)&gt;0,P4&amp;"B",IF(AND(IFERROR(SEARCH("DO",AF4),-1)&gt;0,IFERROR(SEARCH("无源",AJ4),-1)&gt;0),P4&amp;"C",IF(IFERROR(SEARCH("DO",AF4),-1)&gt;0,P4&amp;"D","--")))))),"--")</f>
        <v>--</v>
      </c>
      <c r="AD4" s="98" t="s">
        <v>235</v>
      </c>
      <c r="AE4" s="98" t="s">
        <v>236</v>
      </c>
      <c r="AF4" s="102" t="s">
        <v>237</v>
      </c>
      <c r="AG4" s="98" t="s">
        <v>238</v>
      </c>
      <c r="AH4" s="98" t="str">
        <f t="shared" ref="AH4:AH36" si="15">IF(OR(IFERROR(SEARCH("TCP",AG4),-1)&gt;0,IFERROR(SEARCH("RTU",AG4),-1)&gt;0),"--",IF(LEFT(AI4,2)="AI",CHOOSE(MID(AI4,3,IF(IFERROR(SEARCH("NH",AI4),-1)&gt;0,"1",LEN(AI4)-1)),"DCS","DCS(提供24VDC)","DCS(提供220VAC)","USER","USER","DCS(提供220VAC)","DCS","DCS","DCS","DCS"),IF(LEFT(AI4,2)="AO","DCS",IF(LEFT(AI4,1)="P",CHOOSE(MID(AI4,2,LEN(AI4)-1),"DCS(提供24VDC)","DCS(提供220VAC)","USER"),IF(LEFT(AI4,2)="DI",CHOOSE(MID(AI4,3,LEN(AI4)-1),"DCS","DCS(提供24VDC)","DCS(提供220VAC)","USER","USER","DCS(提供24VDC)"),IF(LEFT(AI4,2)="DO",CHOOSE(MID(AI4,3,LEN(AI4)-1),"DCS","DCS(提供24VDC)","DCS(提供220VAC)","USER","USER"),IF(LEFT(AI4,2)="FF",CHOOSE(MID(AI4,3,LEN(AI4)-1),"DCS","DCS(提供24VDC)","DCS(提供220VAC)","USER","USER","DCS","DCS","DCS"),IF(LEFT(AI4,2)="DP","DCS(提供220VAC)",IF(IFERROR(SEARCH("DP",AG4),-1)&gt;0,"--",IF(IFERROR(SEARCH("OPC",AG4),-1)&gt;0,"--","Err"))))))))))</f>
        <v>DCS(提供24VDC)</v>
      </c>
      <c r="AI4" s="102" t="s">
        <v>246</v>
      </c>
      <c r="AJ4" s="191" t="s">
        <v>247</v>
      </c>
      <c r="AK4" s="331" t="s">
        <v>241</v>
      </c>
      <c r="AL4" s="331" t="s">
        <v>242</v>
      </c>
      <c r="AM4" s="331" t="s">
        <v>243</v>
      </c>
      <c r="AN4" s="76" t="s">
        <v>244</v>
      </c>
      <c r="AO4" s="76"/>
      <c r="AP4" s="102"/>
      <c r="AQ4" s="76" t="s">
        <v>31</v>
      </c>
      <c r="AR4" s="169"/>
      <c r="AS4" s="100"/>
      <c r="AT4" s="100"/>
      <c r="AU4" s="330" t="s">
        <v>245</v>
      </c>
      <c r="AV4" s="201"/>
      <c r="AW4" s="201"/>
      <c r="AX4" s="201"/>
      <c r="AY4" s="201"/>
      <c r="AZ4" s="201"/>
      <c r="BA4" s="201"/>
      <c r="BB4" s="201"/>
      <c r="BC4" s="201"/>
      <c r="BD4" s="201"/>
      <c r="BE4" s="201"/>
      <c r="BF4" s="201"/>
      <c r="BG4" s="201"/>
      <c r="BH4" s="201"/>
      <c r="BI4" s="201"/>
      <c r="BJ4" s="201"/>
      <c r="BK4" s="201"/>
      <c r="BL4" s="201"/>
      <c r="BM4" s="201"/>
      <c r="BN4" s="201"/>
      <c r="BO4" s="201"/>
      <c r="BP4" s="201"/>
      <c r="BQ4" s="201"/>
      <c r="BR4" s="201"/>
      <c r="BS4" s="201"/>
      <c r="BT4" s="201"/>
      <c r="BU4" s="201"/>
      <c r="BV4" s="201"/>
      <c r="BW4" s="201"/>
      <c r="BX4" s="201"/>
      <c r="BY4" s="201"/>
      <c r="BZ4" s="201"/>
      <c r="CA4" s="201"/>
      <c r="CB4" s="201"/>
      <c r="CC4" s="201"/>
      <c r="CD4" s="98">
        <f t="shared" ref="CD4:CD36" si="16">IF(AM4="","",IF(AK4="r/min",0,IF(ABS(AM4-AL4)&lt;=10,3,IF(AND((10&lt;ABS(AM4-AL4)),(ABS(AM4-AL4)&lt;=100)),2,IF(100&lt;ABS(AM4-AL4),1,"")))))</f>
        <v>1</v>
      </c>
    </row>
    <row r="5" s="123" customFormat="1" ht="21" customHeight="1" spans="1:82">
      <c r="A5" s="93">
        <v>3</v>
      </c>
      <c r="B5" s="93" t="str">
        <f t="shared" si="0"/>
        <v>3AEKC003AR103AICH03</v>
      </c>
      <c r="C5" s="96"/>
      <c r="D5" s="100" t="str">
        <f t="shared" si="1"/>
        <v>R3AEKC003AR103AICH03</v>
      </c>
      <c r="E5" s="169" t="s">
        <v>233</v>
      </c>
      <c r="F5" s="100" t="s">
        <v>234</v>
      </c>
      <c r="G5" s="102"/>
      <c r="H5" s="330" t="s">
        <v>124</v>
      </c>
      <c r="I5" s="98" t="str">
        <f t="shared" si="3"/>
        <v>AI216</v>
      </c>
      <c r="J5" s="98" t="str">
        <f t="shared" si="4"/>
        <v>103AI</v>
      </c>
      <c r="K5" s="100" t="str">
        <f t="shared" si="5"/>
        <v>3AEKC003AR103AI</v>
      </c>
      <c r="L5" s="102">
        <v>1</v>
      </c>
      <c r="M5" s="102">
        <v>3</v>
      </c>
      <c r="N5" s="102">
        <v>3</v>
      </c>
      <c r="O5" s="183"/>
      <c r="P5" s="102"/>
      <c r="Q5" s="98"/>
      <c r="R5" s="98"/>
      <c r="S5" s="98">
        <f t="shared" si="6"/>
        <v>3</v>
      </c>
      <c r="T5" s="98" t="str">
        <f t="shared" si="7"/>
        <v>TB241</v>
      </c>
      <c r="U5" s="98" t="str">
        <f t="shared" si="8"/>
        <v>103BN</v>
      </c>
      <c r="V5" s="98" t="str">
        <f t="shared" si="9"/>
        <v>3A</v>
      </c>
      <c r="W5" s="98" t="str">
        <f t="shared" si="10"/>
        <v>3C</v>
      </c>
      <c r="X5" s="98" t="str">
        <f t="shared" si="11"/>
        <v>--</v>
      </c>
      <c r="Y5" s="98" t="str">
        <f t="shared" si="2"/>
        <v>--</v>
      </c>
      <c r="Z5" s="98"/>
      <c r="AA5" s="100" t="str">
        <f t="shared" si="12"/>
        <v>--</v>
      </c>
      <c r="AB5" s="102" t="str">
        <f t="shared" si="13"/>
        <v>--</v>
      </c>
      <c r="AC5" s="102" t="str">
        <f t="shared" si="14"/>
        <v>--</v>
      </c>
      <c r="AD5" s="98" t="s">
        <v>235</v>
      </c>
      <c r="AE5" s="98" t="s">
        <v>236</v>
      </c>
      <c r="AF5" s="102" t="s">
        <v>237</v>
      </c>
      <c r="AG5" s="98" t="s">
        <v>238</v>
      </c>
      <c r="AH5" s="98" t="str">
        <f t="shared" si="15"/>
        <v>DCS(提供220VAC)</v>
      </c>
      <c r="AI5" s="102" t="s">
        <v>248</v>
      </c>
      <c r="AJ5" s="191" t="s">
        <v>249</v>
      </c>
      <c r="AK5" s="331" t="s">
        <v>241</v>
      </c>
      <c r="AL5" s="331" t="s">
        <v>242</v>
      </c>
      <c r="AM5" s="331" t="s">
        <v>250</v>
      </c>
      <c r="AN5" s="76" t="s">
        <v>244</v>
      </c>
      <c r="AO5" s="76"/>
      <c r="AP5" s="102"/>
      <c r="AQ5" s="76" t="s">
        <v>31</v>
      </c>
      <c r="AR5" s="169"/>
      <c r="AS5" s="100"/>
      <c r="AT5" s="100"/>
      <c r="AU5" s="330" t="s">
        <v>245</v>
      </c>
      <c r="AV5" s="201"/>
      <c r="AW5" s="201"/>
      <c r="AX5" s="201"/>
      <c r="AY5" s="201"/>
      <c r="AZ5" s="201"/>
      <c r="BA5" s="201"/>
      <c r="BB5" s="201"/>
      <c r="BC5" s="201"/>
      <c r="BD5" s="201"/>
      <c r="BE5" s="201"/>
      <c r="BF5" s="201"/>
      <c r="BG5" s="201"/>
      <c r="BH5" s="201"/>
      <c r="BI5" s="201"/>
      <c r="BJ5" s="201"/>
      <c r="BK5" s="201"/>
      <c r="BL5" s="201"/>
      <c r="BM5" s="201"/>
      <c r="BN5" s="201"/>
      <c r="BO5" s="201"/>
      <c r="BP5" s="201"/>
      <c r="BQ5" s="201"/>
      <c r="BR5" s="201"/>
      <c r="BS5" s="201"/>
      <c r="BT5" s="201"/>
      <c r="BU5" s="201"/>
      <c r="BV5" s="201"/>
      <c r="BW5" s="201"/>
      <c r="BX5" s="201"/>
      <c r="BY5" s="201"/>
      <c r="BZ5" s="201"/>
      <c r="CA5" s="201"/>
      <c r="CB5" s="201"/>
      <c r="CC5" s="201"/>
      <c r="CD5" s="98">
        <f t="shared" si="16"/>
        <v>2</v>
      </c>
    </row>
    <row r="6" s="123" customFormat="1" ht="21" customHeight="1" spans="1:82">
      <c r="A6" s="93">
        <v>4</v>
      </c>
      <c r="B6" s="93" t="str">
        <f t="shared" si="0"/>
        <v>3AEKC003AR103AICH04</v>
      </c>
      <c r="C6" s="96"/>
      <c r="D6" s="100" t="str">
        <f t="shared" si="1"/>
        <v>R3AEKC003AR103AICH04</v>
      </c>
      <c r="E6" s="169" t="s">
        <v>233</v>
      </c>
      <c r="F6" s="100" t="s">
        <v>234</v>
      </c>
      <c r="G6" s="102"/>
      <c r="H6" s="330" t="s">
        <v>124</v>
      </c>
      <c r="I6" s="98" t="str">
        <f t="shared" si="3"/>
        <v>AI216</v>
      </c>
      <c r="J6" s="98" t="str">
        <f t="shared" si="4"/>
        <v>103AI</v>
      </c>
      <c r="K6" s="100" t="str">
        <f t="shared" si="5"/>
        <v>3AEKC003AR103AI</v>
      </c>
      <c r="L6" s="102">
        <v>1</v>
      </c>
      <c r="M6" s="102">
        <v>3</v>
      </c>
      <c r="N6" s="102">
        <v>4</v>
      </c>
      <c r="O6" s="183"/>
      <c r="P6" s="102"/>
      <c r="Q6" s="98"/>
      <c r="R6" s="98"/>
      <c r="S6" s="98">
        <f t="shared" si="6"/>
        <v>3</v>
      </c>
      <c r="T6" s="98" t="str">
        <f t="shared" si="7"/>
        <v>TB241</v>
      </c>
      <c r="U6" s="98" t="str">
        <f t="shared" si="8"/>
        <v>103BN</v>
      </c>
      <c r="V6" s="98" t="str">
        <f t="shared" si="9"/>
        <v>4A</v>
      </c>
      <c r="W6" s="98" t="str">
        <f t="shared" si="10"/>
        <v>4C</v>
      </c>
      <c r="X6" s="98" t="str">
        <f t="shared" si="11"/>
        <v>--</v>
      </c>
      <c r="Y6" s="98" t="str">
        <f t="shared" si="2"/>
        <v>--</v>
      </c>
      <c r="Z6" s="98"/>
      <c r="AA6" s="100" t="str">
        <f t="shared" si="12"/>
        <v>--</v>
      </c>
      <c r="AB6" s="102" t="str">
        <f t="shared" si="13"/>
        <v>--</v>
      </c>
      <c r="AC6" s="102" t="str">
        <f t="shared" si="14"/>
        <v>--</v>
      </c>
      <c r="AD6" s="98" t="s">
        <v>235</v>
      </c>
      <c r="AE6" s="98" t="s">
        <v>236</v>
      </c>
      <c r="AF6" s="102" t="s">
        <v>237</v>
      </c>
      <c r="AG6" s="98" t="s">
        <v>238</v>
      </c>
      <c r="AH6" s="98" t="str">
        <f t="shared" si="15"/>
        <v>USER</v>
      </c>
      <c r="AI6" s="102" t="s">
        <v>251</v>
      </c>
      <c r="AJ6" s="191" t="s">
        <v>247</v>
      </c>
      <c r="AK6" s="331" t="s">
        <v>241</v>
      </c>
      <c r="AL6" s="331" t="s">
        <v>242</v>
      </c>
      <c r="AM6" s="331" t="s">
        <v>252</v>
      </c>
      <c r="AN6" s="76" t="s">
        <v>244</v>
      </c>
      <c r="AO6" s="76"/>
      <c r="AP6" s="102"/>
      <c r="AQ6" s="76" t="s">
        <v>31</v>
      </c>
      <c r="AR6" s="169"/>
      <c r="AS6" s="100"/>
      <c r="AT6" s="100"/>
      <c r="AU6" s="330" t="s">
        <v>245</v>
      </c>
      <c r="AV6" s="201"/>
      <c r="AW6" s="201"/>
      <c r="AX6" s="201"/>
      <c r="AY6" s="201"/>
      <c r="AZ6" s="201"/>
      <c r="BA6" s="201"/>
      <c r="BB6" s="201"/>
      <c r="BC6" s="201"/>
      <c r="BD6" s="201"/>
      <c r="BE6" s="201"/>
      <c r="BF6" s="201"/>
      <c r="BG6" s="201"/>
      <c r="BH6" s="201"/>
      <c r="BI6" s="201"/>
      <c r="BJ6" s="201"/>
      <c r="BK6" s="201"/>
      <c r="BL6" s="201"/>
      <c r="BM6" s="201"/>
      <c r="BN6" s="201"/>
      <c r="BO6" s="201"/>
      <c r="BP6" s="201"/>
      <c r="BQ6" s="201"/>
      <c r="BR6" s="201"/>
      <c r="BS6" s="201"/>
      <c r="BT6" s="201"/>
      <c r="BU6" s="201"/>
      <c r="BV6" s="201"/>
      <c r="BW6" s="201"/>
      <c r="BX6" s="201"/>
      <c r="BY6" s="201"/>
      <c r="BZ6" s="201"/>
      <c r="CA6" s="201"/>
      <c r="CB6" s="201"/>
      <c r="CC6" s="201"/>
      <c r="CD6" s="98">
        <f t="shared" si="16"/>
        <v>2</v>
      </c>
    </row>
    <row r="7" s="123" customFormat="1" ht="21" customHeight="1" spans="1:82">
      <c r="A7" s="93">
        <v>5</v>
      </c>
      <c r="B7" s="93" t="str">
        <f t="shared" si="0"/>
        <v>3AEKC003AR103AICH05</v>
      </c>
      <c r="C7" s="96"/>
      <c r="D7" s="100" t="str">
        <f t="shared" si="1"/>
        <v>R3AEKC003AR103AICH05</v>
      </c>
      <c r="E7" s="169" t="s">
        <v>233</v>
      </c>
      <c r="F7" s="100" t="s">
        <v>234</v>
      </c>
      <c r="G7" s="102"/>
      <c r="H7" s="330" t="s">
        <v>124</v>
      </c>
      <c r="I7" s="98" t="str">
        <f t="shared" si="3"/>
        <v>AI216</v>
      </c>
      <c r="J7" s="98" t="str">
        <f t="shared" si="4"/>
        <v>103AI</v>
      </c>
      <c r="K7" s="100" t="str">
        <f t="shared" si="5"/>
        <v>3AEKC003AR103AI</v>
      </c>
      <c r="L7" s="102">
        <v>1</v>
      </c>
      <c r="M7" s="102">
        <v>3</v>
      </c>
      <c r="N7" s="102">
        <v>5</v>
      </c>
      <c r="O7" s="183"/>
      <c r="P7" s="102"/>
      <c r="Q7" s="98"/>
      <c r="R7" s="98"/>
      <c r="S7" s="98">
        <f t="shared" si="6"/>
        <v>3</v>
      </c>
      <c r="T7" s="98" t="str">
        <f t="shared" si="7"/>
        <v>TB241</v>
      </c>
      <c r="U7" s="98" t="str">
        <f t="shared" si="8"/>
        <v>103BN</v>
      </c>
      <c r="V7" s="98" t="str">
        <f t="shared" si="9"/>
        <v>5A</v>
      </c>
      <c r="W7" s="98" t="str">
        <f t="shared" si="10"/>
        <v>5C</v>
      </c>
      <c r="X7" s="98" t="str">
        <f t="shared" si="11"/>
        <v>--</v>
      </c>
      <c r="Y7" s="98" t="str">
        <f t="shared" si="2"/>
        <v>--</v>
      </c>
      <c r="Z7" s="98"/>
      <c r="AA7" s="100" t="str">
        <f t="shared" si="12"/>
        <v>--</v>
      </c>
      <c r="AB7" s="102" t="str">
        <f t="shared" si="13"/>
        <v>--</v>
      </c>
      <c r="AC7" s="102" t="str">
        <f t="shared" si="14"/>
        <v>--</v>
      </c>
      <c r="AD7" s="98" t="s">
        <v>235</v>
      </c>
      <c r="AE7" s="98" t="s">
        <v>236</v>
      </c>
      <c r="AF7" s="102" t="s">
        <v>237</v>
      </c>
      <c r="AG7" s="98" t="s">
        <v>238</v>
      </c>
      <c r="AH7" s="98" t="str">
        <f t="shared" si="15"/>
        <v>USER</v>
      </c>
      <c r="AI7" s="102" t="s">
        <v>253</v>
      </c>
      <c r="AJ7" s="191" t="s">
        <v>249</v>
      </c>
      <c r="AK7" s="331" t="s">
        <v>241</v>
      </c>
      <c r="AL7" s="331" t="s">
        <v>242</v>
      </c>
      <c r="AM7" s="331" t="s">
        <v>243</v>
      </c>
      <c r="AN7" s="76" t="s">
        <v>244</v>
      </c>
      <c r="AO7" s="76"/>
      <c r="AP7" s="102"/>
      <c r="AQ7" s="76" t="s">
        <v>31</v>
      </c>
      <c r="AR7" s="169"/>
      <c r="AS7" s="100"/>
      <c r="AT7" s="100"/>
      <c r="AU7" s="330" t="s">
        <v>245</v>
      </c>
      <c r="AV7" s="201"/>
      <c r="AW7" s="201"/>
      <c r="AX7" s="201"/>
      <c r="AY7" s="201"/>
      <c r="AZ7" s="201"/>
      <c r="BA7" s="201"/>
      <c r="BB7" s="201"/>
      <c r="BC7" s="201"/>
      <c r="BD7" s="201"/>
      <c r="BE7" s="201"/>
      <c r="BF7" s="201"/>
      <c r="BG7" s="201"/>
      <c r="BH7" s="201"/>
      <c r="BI7" s="201"/>
      <c r="BJ7" s="201"/>
      <c r="BK7" s="201"/>
      <c r="BL7" s="201"/>
      <c r="BM7" s="201"/>
      <c r="BN7" s="201"/>
      <c r="BO7" s="201"/>
      <c r="BP7" s="201"/>
      <c r="BQ7" s="201"/>
      <c r="BR7" s="201"/>
      <c r="BS7" s="201"/>
      <c r="BT7" s="201"/>
      <c r="BU7" s="201"/>
      <c r="BV7" s="201"/>
      <c r="BW7" s="201"/>
      <c r="BX7" s="201"/>
      <c r="BY7" s="201"/>
      <c r="BZ7" s="201"/>
      <c r="CA7" s="201"/>
      <c r="CB7" s="201"/>
      <c r="CC7" s="201"/>
      <c r="CD7" s="98">
        <f t="shared" si="16"/>
        <v>1</v>
      </c>
    </row>
    <row r="8" s="123" customFormat="1" ht="21" customHeight="1" spans="1:82">
      <c r="A8" s="93">
        <v>6</v>
      </c>
      <c r="B8" s="93" t="str">
        <f t="shared" si="0"/>
        <v>3AEKC003AR103AICH06</v>
      </c>
      <c r="C8" s="96"/>
      <c r="D8" s="100" t="str">
        <f t="shared" si="1"/>
        <v>R3AEKC003AR103AICH06</v>
      </c>
      <c r="E8" s="169" t="s">
        <v>233</v>
      </c>
      <c r="F8" s="100" t="s">
        <v>234</v>
      </c>
      <c r="G8" s="102"/>
      <c r="H8" s="330" t="s">
        <v>124</v>
      </c>
      <c r="I8" s="98" t="str">
        <f t="shared" si="3"/>
        <v>AI216</v>
      </c>
      <c r="J8" s="98" t="str">
        <f t="shared" si="4"/>
        <v>103AI</v>
      </c>
      <c r="K8" s="100" t="str">
        <f t="shared" si="5"/>
        <v>3AEKC003AR103AI</v>
      </c>
      <c r="L8" s="102">
        <v>1</v>
      </c>
      <c r="M8" s="102">
        <v>3</v>
      </c>
      <c r="N8" s="102">
        <v>6</v>
      </c>
      <c r="O8" s="183"/>
      <c r="P8" s="102"/>
      <c r="Q8" s="98"/>
      <c r="R8" s="98"/>
      <c r="S8" s="98">
        <f t="shared" si="6"/>
        <v>3</v>
      </c>
      <c r="T8" s="98" t="str">
        <f t="shared" si="7"/>
        <v>TB241</v>
      </c>
      <c r="U8" s="98" t="str">
        <f t="shared" si="8"/>
        <v>103BN</v>
      </c>
      <c r="V8" s="98" t="str">
        <f t="shared" si="9"/>
        <v>6B</v>
      </c>
      <c r="W8" s="98" t="str">
        <f t="shared" si="10"/>
        <v>6A</v>
      </c>
      <c r="X8" s="98" t="str">
        <f t="shared" si="11"/>
        <v>--</v>
      </c>
      <c r="Y8" s="98" t="str">
        <f t="shared" si="2"/>
        <v>--</v>
      </c>
      <c r="Z8" s="98"/>
      <c r="AA8" s="100" t="str">
        <f t="shared" si="12"/>
        <v>--</v>
      </c>
      <c r="AB8" s="102" t="str">
        <f t="shared" si="13"/>
        <v>--</v>
      </c>
      <c r="AC8" s="102" t="str">
        <f t="shared" si="14"/>
        <v>--</v>
      </c>
      <c r="AD8" s="98" t="s">
        <v>235</v>
      </c>
      <c r="AE8" s="98" t="s">
        <v>236</v>
      </c>
      <c r="AF8" s="102" t="s">
        <v>237</v>
      </c>
      <c r="AG8" s="98" t="s">
        <v>238</v>
      </c>
      <c r="AH8" s="98" t="str">
        <f t="shared" si="15"/>
        <v>DCS(提供220VAC)</v>
      </c>
      <c r="AI8" s="102" t="s">
        <v>254</v>
      </c>
      <c r="AJ8" s="192" t="s">
        <v>255</v>
      </c>
      <c r="AK8" s="331" t="s">
        <v>241</v>
      </c>
      <c r="AL8" s="331" t="s">
        <v>242</v>
      </c>
      <c r="AM8" s="331" t="s">
        <v>243</v>
      </c>
      <c r="AN8" s="76" t="s">
        <v>244</v>
      </c>
      <c r="AO8" s="76"/>
      <c r="AP8" s="102"/>
      <c r="AQ8" s="76" t="s">
        <v>31</v>
      </c>
      <c r="AR8" s="169"/>
      <c r="AS8" s="100"/>
      <c r="AT8" s="100"/>
      <c r="AU8" s="330" t="s">
        <v>245</v>
      </c>
      <c r="AV8" s="201"/>
      <c r="AW8" s="201"/>
      <c r="AX8" s="201"/>
      <c r="AY8" s="201"/>
      <c r="AZ8" s="201"/>
      <c r="BA8" s="201"/>
      <c r="BB8" s="201"/>
      <c r="BC8" s="201"/>
      <c r="BD8" s="201"/>
      <c r="BE8" s="201"/>
      <c r="BF8" s="201"/>
      <c r="BG8" s="201"/>
      <c r="BH8" s="201"/>
      <c r="BI8" s="201"/>
      <c r="BJ8" s="201"/>
      <c r="BK8" s="201"/>
      <c r="BL8" s="201"/>
      <c r="BM8" s="201"/>
      <c r="BN8" s="201"/>
      <c r="BO8" s="201"/>
      <c r="BP8" s="201"/>
      <c r="BQ8" s="201"/>
      <c r="BR8" s="201"/>
      <c r="BS8" s="201"/>
      <c r="BT8" s="201"/>
      <c r="BU8" s="201"/>
      <c r="BV8" s="201"/>
      <c r="BW8" s="201"/>
      <c r="BX8" s="201"/>
      <c r="BY8" s="201"/>
      <c r="BZ8" s="201"/>
      <c r="CA8" s="201"/>
      <c r="CB8" s="201"/>
      <c r="CC8" s="201"/>
      <c r="CD8" s="98">
        <f t="shared" si="16"/>
        <v>1</v>
      </c>
    </row>
    <row r="9" s="123" customFormat="1" ht="21" customHeight="1" spans="1:82">
      <c r="A9" s="164">
        <v>7</v>
      </c>
      <c r="B9" s="164" t="str">
        <f t="shared" ref="B9:B32" si="17">K9&amp;"CH"&amp;IF(N9&lt;10,"0"&amp;N9,N9)</f>
        <v>3AEKC003AR104AICH01</v>
      </c>
      <c r="C9" s="165"/>
      <c r="D9" s="166" t="str">
        <f t="shared" ref="D9:D22" si="18">IF(CLEAN(B9)="","","R")&amp;SUBSTITUTE(TRIM(B9),"-","")&amp;IF(CLEAN(C9)="","","_"&amp;C9)</f>
        <v>R3AEKC003AR104AICH01</v>
      </c>
      <c r="E9" s="167" t="s">
        <v>233</v>
      </c>
      <c r="F9" s="166" t="s">
        <v>234</v>
      </c>
      <c r="G9" s="168"/>
      <c r="H9" s="328" t="s">
        <v>124</v>
      </c>
      <c r="I9" s="181" t="str">
        <f t="shared" si="3"/>
        <v>AI212</v>
      </c>
      <c r="J9" s="181" t="str">
        <f t="shared" si="4"/>
        <v>104AI</v>
      </c>
      <c r="K9" s="166" t="str">
        <f t="shared" si="5"/>
        <v>3AEKC003AR104AI</v>
      </c>
      <c r="L9" s="168">
        <v>1</v>
      </c>
      <c r="M9" s="168">
        <v>4</v>
      </c>
      <c r="N9" s="168">
        <v>1</v>
      </c>
      <c r="O9" s="182"/>
      <c r="P9" s="168"/>
      <c r="Q9" s="181"/>
      <c r="R9" s="181"/>
      <c r="S9" s="181">
        <f t="shared" si="6"/>
        <v>4</v>
      </c>
      <c r="T9" s="181" t="str">
        <f t="shared" si="7"/>
        <v>TB241</v>
      </c>
      <c r="U9" s="181" t="str">
        <f t="shared" si="8"/>
        <v>104BN</v>
      </c>
      <c r="V9" s="181" t="str">
        <f t="shared" si="9"/>
        <v>1B</v>
      </c>
      <c r="W9" s="181" t="str">
        <f t="shared" si="10"/>
        <v>1A</v>
      </c>
      <c r="X9" s="181" t="str">
        <f t="shared" si="11"/>
        <v>--</v>
      </c>
      <c r="Y9" s="181" t="str">
        <f t="shared" ref="Y9:Y32" si="19">IF(AI9="AI9",N9&amp;"D","--")</f>
        <v>--</v>
      </c>
      <c r="Z9" s="181"/>
      <c r="AA9" s="166" t="str">
        <f t="shared" si="12"/>
        <v>--</v>
      </c>
      <c r="AB9" s="168" t="str">
        <f t="shared" si="13"/>
        <v>--</v>
      </c>
      <c r="AC9" s="168" t="str">
        <f t="shared" si="14"/>
        <v>--</v>
      </c>
      <c r="AD9" s="181" t="s">
        <v>235</v>
      </c>
      <c r="AE9" s="181" t="s">
        <v>236</v>
      </c>
      <c r="AF9" s="168" t="s">
        <v>237</v>
      </c>
      <c r="AG9" s="181" t="s">
        <v>238</v>
      </c>
      <c r="AH9" s="181" t="str">
        <f t="shared" si="15"/>
        <v>DCS</v>
      </c>
      <c r="AI9" s="168" t="s">
        <v>256</v>
      </c>
      <c r="AJ9" s="189" t="s">
        <v>240</v>
      </c>
      <c r="AK9" s="329" t="s">
        <v>241</v>
      </c>
      <c r="AL9" s="329" t="s">
        <v>242</v>
      </c>
      <c r="AM9" s="329" t="s">
        <v>243</v>
      </c>
      <c r="AN9" s="190" t="s">
        <v>244</v>
      </c>
      <c r="AO9" s="190"/>
      <c r="AP9" s="168"/>
      <c r="AQ9" s="190" t="s">
        <v>31</v>
      </c>
      <c r="AR9" s="170"/>
      <c r="AS9" s="166"/>
      <c r="AT9" s="166"/>
      <c r="AU9" s="328" t="s">
        <v>245</v>
      </c>
      <c r="AV9" s="200"/>
      <c r="AW9" s="200"/>
      <c r="AX9" s="200"/>
      <c r="AY9" s="200"/>
      <c r="AZ9" s="200"/>
      <c r="BA9" s="200"/>
      <c r="BB9" s="200"/>
      <c r="BC9" s="200"/>
      <c r="BD9" s="200"/>
      <c r="BE9" s="200"/>
      <c r="BF9" s="200"/>
      <c r="BG9" s="200"/>
      <c r="BH9" s="200"/>
      <c r="BI9" s="200"/>
      <c r="BJ9" s="200"/>
      <c r="BK9" s="200"/>
      <c r="BL9" s="200"/>
      <c r="BM9" s="200"/>
      <c r="BN9" s="200"/>
      <c r="BO9" s="200"/>
      <c r="BP9" s="200"/>
      <c r="BQ9" s="200"/>
      <c r="BR9" s="200"/>
      <c r="BS9" s="200"/>
      <c r="BT9" s="200"/>
      <c r="BU9" s="200"/>
      <c r="BV9" s="200"/>
      <c r="BW9" s="200"/>
      <c r="BX9" s="200"/>
      <c r="BY9" s="200"/>
      <c r="BZ9" s="200"/>
      <c r="CA9" s="200"/>
      <c r="CB9" s="200"/>
      <c r="CC9" s="200"/>
      <c r="CD9" s="181">
        <f t="shared" si="16"/>
        <v>1</v>
      </c>
    </row>
    <row r="10" s="123" customFormat="1" ht="21" customHeight="1" spans="1:82">
      <c r="A10" s="93">
        <v>8</v>
      </c>
      <c r="B10" s="93" t="str">
        <f t="shared" si="17"/>
        <v>3AEKC003AR104AICH02</v>
      </c>
      <c r="C10" s="96"/>
      <c r="D10" s="100" t="str">
        <f t="shared" si="18"/>
        <v>R3AEKC003AR104AICH02</v>
      </c>
      <c r="E10" s="169" t="s">
        <v>233</v>
      </c>
      <c r="F10" s="100" t="s">
        <v>234</v>
      </c>
      <c r="G10" s="102"/>
      <c r="H10" s="330" t="s">
        <v>124</v>
      </c>
      <c r="I10" s="98" t="str">
        <f t="shared" si="3"/>
        <v>AI212</v>
      </c>
      <c r="J10" s="98" t="str">
        <f t="shared" si="4"/>
        <v>104AI</v>
      </c>
      <c r="K10" s="100" t="str">
        <f t="shared" si="5"/>
        <v>3AEKC003AR104AI</v>
      </c>
      <c r="L10" s="102">
        <v>1</v>
      </c>
      <c r="M10" s="102">
        <v>4</v>
      </c>
      <c r="N10" s="102">
        <v>2</v>
      </c>
      <c r="O10" s="183"/>
      <c r="P10" s="102"/>
      <c r="Q10" s="98"/>
      <c r="R10" s="98"/>
      <c r="S10" s="98">
        <f t="shared" si="6"/>
        <v>4</v>
      </c>
      <c r="T10" s="98" t="str">
        <f t="shared" si="7"/>
        <v>TB241</v>
      </c>
      <c r="U10" s="98" t="str">
        <f t="shared" si="8"/>
        <v>104BN</v>
      </c>
      <c r="V10" s="98" t="str">
        <f t="shared" si="9"/>
        <v>2A</v>
      </c>
      <c r="W10" s="98" t="str">
        <f t="shared" si="10"/>
        <v>2C</v>
      </c>
      <c r="X10" s="98" t="str">
        <f t="shared" si="11"/>
        <v>--</v>
      </c>
      <c r="Y10" s="98" t="str">
        <f t="shared" si="19"/>
        <v>--</v>
      </c>
      <c r="Z10" s="98"/>
      <c r="AA10" s="100" t="str">
        <f t="shared" si="12"/>
        <v>--</v>
      </c>
      <c r="AB10" s="102" t="str">
        <f t="shared" si="13"/>
        <v>--</v>
      </c>
      <c r="AC10" s="102" t="str">
        <f t="shared" si="14"/>
        <v>--</v>
      </c>
      <c r="AD10" s="98" t="s">
        <v>235</v>
      </c>
      <c r="AE10" s="98" t="s">
        <v>236</v>
      </c>
      <c r="AF10" s="102" t="s">
        <v>237</v>
      </c>
      <c r="AG10" s="98" t="s">
        <v>238</v>
      </c>
      <c r="AH10" s="98" t="str">
        <f t="shared" si="15"/>
        <v>DCS(提供24VDC)</v>
      </c>
      <c r="AI10" s="102" t="s">
        <v>257</v>
      </c>
      <c r="AJ10" s="191" t="s">
        <v>247</v>
      </c>
      <c r="AK10" s="331" t="s">
        <v>241</v>
      </c>
      <c r="AL10" s="331" t="s">
        <v>242</v>
      </c>
      <c r="AM10" s="331" t="s">
        <v>243</v>
      </c>
      <c r="AN10" s="76" t="s">
        <v>244</v>
      </c>
      <c r="AO10" s="76"/>
      <c r="AP10" s="102"/>
      <c r="AQ10" s="76" t="s">
        <v>31</v>
      </c>
      <c r="AR10" s="169"/>
      <c r="AS10" s="100"/>
      <c r="AT10" s="100"/>
      <c r="AU10" s="330" t="s">
        <v>245</v>
      </c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  <c r="BY10" s="201"/>
      <c r="BZ10" s="201"/>
      <c r="CA10" s="201"/>
      <c r="CB10" s="201"/>
      <c r="CC10" s="201"/>
      <c r="CD10" s="98">
        <f t="shared" si="16"/>
        <v>1</v>
      </c>
    </row>
    <row r="11" s="123" customFormat="1" ht="21" customHeight="1" spans="1:82">
      <c r="A11" s="93">
        <v>9</v>
      </c>
      <c r="B11" s="93" t="str">
        <f t="shared" si="17"/>
        <v>3AEKC003AR104AICH03</v>
      </c>
      <c r="C11" s="96"/>
      <c r="D11" s="100" t="str">
        <f t="shared" si="18"/>
        <v>R3AEKC003AR104AICH03</v>
      </c>
      <c r="E11" s="169" t="s">
        <v>233</v>
      </c>
      <c r="F11" s="100" t="s">
        <v>234</v>
      </c>
      <c r="G11" s="102"/>
      <c r="H11" s="330" t="s">
        <v>124</v>
      </c>
      <c r="I11" s="98" t="str">
        <f t="shared" si="3"/>
        <v>AI212</v>
      </c>
      <c r="J11" s="98" t="str">
        <f t="shared" si="4"/>
        <v>104AI</v>
      </c>
      <c r="K11" s="100" t="str">
        <f t="shared" si="5"/>
        <v>3AEKC003AR104AI</v>
      </c>
      <c r="L11" s="102">
        <v>1</v>
      </c>
      <c r="M11" s="102">
        <v>4</v>
      </c>
      <c r="N11" s="102">
        <v>3</v>
      </c>
      <c r="O11" s="183"/>
      <c r="P11" s="102"/>
      <c r="Q11" s="98"/>
      <c r="R11" s="98"/>
      <c r="S11" s="98">
        <f t="shared" si="6"/>
        <v>4</v>
      </c>
      <c r="T11" s="98" t="str">
        <f t="shared" si="7"/>
        <v>TB241</v>
      </c>
      <c r="U11" s="98" t="str">
        <f t="shared" si="8"/>
        <v>104BN</v>
      </c>
      <c r="V11" s="98" t="str">
        <f t="shared" si="9"/>
        <v>3A</v>
      </c>
      <c r="W11" s="98" t="str">
        <f t="shared" si="10"/>
        <v>3C</v>
      </c>
      <c r="X11" s="98" t="str">
        <f t="shared" si="11"/>
        <v>--</v>
      </c>
      <c r="Y11" s="98" t="str">
        <f t="shared" si="19"/>
        <v>--</v>
      </c>
      <c r="Z11" s="98"/>
      <c r="AA11" s="100" t="str">
        <f t="shared" si="12"/>
        <v>--</v>
      </c>
      <c r="AB11" s="102" t="str">
        <f t="shared" si="13"/>
        <v>--</v>
      </c>
      <c r="AC11" s="102" t="str">
        <f t="shared" si="14"/>
        <v>--</v>
      </c>
      <c r="AD11" s="98" t="s">
        <v>235</v>
      </c>
      <c r="AE11" s="98" t="s">
        <v>236</v>
      </c>
      <c r="AF11" s="102" t="s">
        <v>237</v>
      </c>
      <c r="AG11" s="98" t="s">
        <v>238</v>
      </c>
      <c r="AH11" s="98" t="str">
        <f t="shared" si="15"/>
        <v>DCS(提供220VAC)</v>
      </c>
      <c r="AI11" s="102" t="s">
        <v>258</v>
      </c>
      <c r="AJ11" s="191" t="s">
        <v>249</v>
      </c>
      <c r="AK11" s="331" t="s">
        <v>241</v>
      </c>
      <c r="AL11" s="331" t="s">
        <v>242</v>
      </c>
      <c r="AM11" s="331" t="s">
        <v>250</v>
      </c>
      <c r="AN11" s="76" t="s">
        <v>244</v>
      </c>
      <c r="AO11" s="76"/>
      <c r="AP11" s="102"/>
      <c r="AQ11" s="76" t="s">
        <v>31</v>
      </c>
      <c r="AR11" s="169"/>
      <c r="AS11" s="100"/>
      <c r="AT11" s="100"/>
      <c r="AU11" s="330" t="s">
        <v>245</v>
      </c>
      <c r="AV11" s="201"/>
      <c r="AW11" s="201"/>
      <c r="AX11" s="201"/>
      <c r="AY11" s="201"/>
      <c r="AZ11" s="201"/>
      <c r="BA11" s="201"/>
      <c r="BB11" s="201"/>
      <c r="BC11" s="201"/>
      <c r="BD11" s="201"/>
      <c r="BE11" s="201"/>
      <c r="BF11" s="201"/>
      <c r="BG11" s="201"/>
      <c r="BH11" s="201"/>
      <c r="BI11" s="201"/>
      <c r="BJ11" s="201"/>
      <c r="BK11" s="201"/>
      <c r="BL11" s="201"/>
      <c r="BM11" s="201"/>
      <c r="BN11" s="201"/>
      <c r="BO11" s="201"/>
      <c r="BP11" s="201"/>
      <c r="BQ11" s="201"/>
      <c r="BR11" s="201"/>
      <c r="BS11" s="201"/>
      <c r="BT11" s="201"/>
      <c r="BU11" s="201"/>
      <c r="BV11" s="201"/>
      <c r="BW11" s="201"/>
      <c r="BX11" s="201"/>
      <c r="BY11" s="201"/>
      <c r="BZ11" s="201"/>
      <c r="CA11" s="201"/>
      <c r="CB11" s="201"/>
      <c r="CC11" s="201"/>
      <c r="CD11" s="98">
        <f t="shared" si="16"/>
        <v>2</v>
      </c>
    </row>
    <row r="12" s="123" customFormat="1" ht="21" customHeight="1" spans="1:82">
      <c r="A12" s="93">
        <v>10</v>
      </c>
      <c r="B12" s="93" t="str">
        <f t="shared" si="17"/>
        <v>3AEKC003AR104AICH04</v>
      </c>
      <c r="C12" s="96"/>
      <c r="D12" s="100" t="str">
        <f t="shared" si="18"/>
        <v>R3AEKC003AR104AICH04</v>
      </c>
      <c r="E12" s="169" t="s">
        <v>233</v>
      </c>
      <c r="F12" s="100" t="s">
        <v>234</v>
      </c>
      <c r="G12" s="102"/>
      <c r="H12" s="330" t="s">
        <v>124</v>
      </c>
      <c r="I12" s="98" t="str">
        <f t="shared" si="3"/>
        <v>AI212</v>
      </c>
      <c r="J12" s="98" t="str">
        <f t="shared" si="4"/>
        <v>104AI</v>
      </c>
      <c r="K12" s="100" t="str">
        <f t="shared" si="5"/>
        <v>3AEKC003AR104AI</v>
      </c>
      <c r="L12" s="102">
        <v>1</v>
      </c>
      <c r="M12" s="102">
        <v>4</v>
      </c>
      <c r="N12" s="102">
        <v>4</v>
      </c>
      <c r="O12" s="183"/>
      <c r="P12" s="102"/>
      <c r="Q12" s="98"/>
      <c r="R12" s="98"/>
      <c r="S12" s="98">
        <f t="shared" si="6"/>
        <v>4</v>
      </c>
      <c r="T12" s="98" t="str">
        <f t="shared" si="7"/>
        <v>TB241</v>
      </c>
      <c r="U12" s="98" t="str">
        <f t="shared" si="8"/>
        <v>104BN</v>
      </c>
      <c r="V12" s="98" t="str">
        <f t="shared" si="9"/>
        <v>4A</v>
      </c>
      <c r="W12" s="98" t="str">
        <f t="shared" si="10"/>
        <v>4C</v>
      </c>
      <c r="X12" s="98" t="str">
        <f t="shared" si="11"/>
        <v>--</v>
      </c>
      <c r="Y12" s="98" t="str">
        <f t="shared" si="19"/>
        <v>--</v>
      </c>
      <c r="Z12" s="98"/>
      <c r="AA12" s="100" t="str">
        <f t="shared" si="12"/>
        <v>--</v>
      </c>
      <c r="AB12" s="102" t="str">
        <f t="shared" si="13"/>
        <v>--</v>
      </c>
      <c r="AC12" s="102" t="str">
        <f t="shared" si="14"/>
        <v>--</v>
      </c>
      <c r="AD12" s="98" t="s">
        <v>235</v>
      </c>
      <c r="AE12" s="98" t="s">
        <v>236</v>
      </c>
      <c r="AF12" s="102" t="s">
        <v>237</v>
      </c>
      <c r="AG12" s="98" t="s">
        <v>238</v>
      </c>
      <c r="AH12" s="98" t="str">
        <f t="shared" si="15"/>
        <v>USER</v>
      </c>
      <c r="AI12" s="102" t="s">
        <v>259</v>
      </c>
      <c r="AJ12" s="191" t="s">
        <v>247</v>
      </c>
      <c r="AK12" s="331" t="s">
        <v>241</v>
      </c>
      <c r="AL12" s="331" t="s">
        <v>242</v>
      </c>
      <c r="AM12" s="331" t="s">
        <v>252</v>
      </c>
      <c r="AN12" s="76" t="s">
        <v>244</v>
      </c>
      <c r="AO12" s="76"/>
      <c r="AP12" s="102"/>
      <c r="AQ12" s="76" t="s">
        <v>31</v>
      </c>
      <c r="AR12" s="169"/>
      <c r="AS12" s="100"/>
      <c r="AT12" s="100"/>
      <c r="AU12" s="330" t="s">
        <v>245</v>
      </c>
      <c r="AV12" s="201"/>
      <c r="AW12" s="201"/>
      <c r="AX12" s="201"/>
      <c r="AY12" s="201"/>
      <c r="AZ12" s="201"/>
      <c r="BA12" s="201"/>
      <c r="BB12" s="201"/>
      <c r="BC12" s="201"/>
      <c r="BD12" s="201"/>
      <c r="BE12" s="201"/>
      <c r="BF12" s="201"/>
      <c r="BG12" s="201"/>
      <c r="BH12" s="201"/>
      <c r="BI12" s="201"/>
      <c r="BJ12" s="201"/>
      <c r="BK12" s="201"/>
      <c r="BL12" s="201"/>
      <c r="BM12" s="201"/>
      <c r="BN12" s="201"/>
      <c r="BO12" s="201"/>
      <c r="BP12" s="201"/>
      <c r="BQ12" s="201"/>
      <c r="BR12" s="201"/>
      <c r="BS12" s="201"/>
      <c r="BT12" s="201"/>
      <c r="BU12" s="201"/>
      <c r="BV12" s="201"/>
      <c r="BW12" s="201"/>
      <c r="BX12" s="201"/>
      <c r="BY12" s="201"/>
      <c r="BZ12" s="201"/>
      <c r="CA12" s="201"/>
      <c r="CB12" s="201"/>
      <c r="CC12" s="201"/>
      <c r="CD12" s="98">
        <f t="shared" si="16"/>
        <v>2</v>
      </c>
    </row>
    <row r="13" s="123" customFormat="1" ht="21" customHeight="1" spans="1:82">
      <c r="A13" s="93">
        <v>11</v>
      </c>
      <c r="B13" s="93" t="str">
        <f t="shared" si="17"/>
        <v>3AEKC003AR104AICH05</v>
      </c>
      <c r="C13" s="96"/>
      <c r="D13" s="100" t="str">
        <f t="shared" si="18"/>
        <v>R3AEKC003AR104AICH05</v>
      </c>
      <c r="E13" s="169" t="s">
        <v>233</v>
      </c>
      <c r="F13" s="100" t="s">
        <v>234</v>
      </c>
      <c r="G13" s="102"/>
      <c r="H13" s="330" t="s">
        <v>124</v>
      </c>
      <c r="I13" s="98" t="str">
        <f t="shared" si="3"/>
        <v>AI212</v>
      </c>
      <c r="J13" s="98" t="str">
        <f t="shared" si="4"/>
        <v>104AI</v>
      </c>
      <c r="K13" s="100" t="str">
        <f t="shared" si="5"/>
        <v>3AEKC003AR104AI</v>
      </c>
      <c r="L13" s="102">
        <v>1</v>
      </c>
      <c r="M13" s="102">
        <v>4</v>
      </c>
      <c r="N13" s="102">
        <v>5</v>
      </c>
      <c r="O13" s="183"/>
      <c r="P13" s="102"/>
      <c r="Q13" s="98"/>
      <c r="R13" s="98"/>
      <c r="S13" s="98">
        <f t="shared" si="6"/>
        <v>4</v>
      </c>
      <c r="T13" s="98" t="str">
        <f t="shared" si="7"/>
        <v>TB241</v>
      </c>
      <c r="U13" s="98" t="str">
        <f t="shared" si="8"/>
        <v>104BN</v>
      </c>
      <c r="V13" s="98" t="str">
        <f t="shared" si="9"/>
        <v>5A</v>
      </c>
      <c r="W13" s="98" t="str">
        <f t="shared" si="10"/>
        <v>5C</v>
      </c>
      <c r="X13" s="98" t="str">
        <f t="shared" si="11"/>
        <v>--</v>
      </c>
      <c r="Y13" s="98" t="str">
        <f t="shared" si="19"/>
        <v>--</v>
      </c>
      <c r="Z13" s="98"/>
      <c r="AA13" s="100" t="str">
        <f t="shared" si="12"/>
        <v>--</v>
      </c>
      <c r="AB13" s="102" t="str">
        <f t="shared" si="13"/>
        <v>--</v>
      </c>
      <c r="AC13" s="102" t="str">
        <f t="shared" si="14"/>
        <v>--</v>
      </c>
      <c r="AD13" s="98" t="s">
        <v>235</v>
      </c>
      <c r="AE13" s="98" t="s">
        <v>236</v>
      </c>
      <c r="AF13" s="102" t="s">
        <v>237</v>
      </c>
      <c r="AG13" s="98" t="s">
        <v>238</v>
      </c>
      <c r="AH13" s="98" t="str">
        <f t="shared" si="15"/>
        <v>USER</v>
      </c>
      <c r="AI13" s="102" t="s">
        <v>260</v>
      </c>
      <c r="AJ13" s="191" t="s">
        <v>249</v>
      </c>
      <c r="AK13" s="331" t="s">
        <v>241</v>
      </c>
      <c r="AL13" s="331" t="s">
        <v>242</v>
      </c>
      <c r="AM13" s="331" t="s">
        <v>243</v>
      </c>
      <c r="AN13" s="76" t="s">
        <v>244</v>
      </c>
      <c r="AO13" s="76"/>
      <c r="AP13" s="102"/>
      <c r="AQ13" s="76" t="s">
        <v>31</v>
      </c>
      <c r="AR13" s="169"/>
      <c r="AS13" s="100"/>
      <c r="AT13" s="100"/>
      <c r="AU13" s="330" t="s">
        <v>245</v>
      </c>
      <c r="AV13" s="201"/>
      <c r="AW13" s="201"/>
      <c r="AX13" s="201"/>
      <c r="AY13" s="201"/>
      <c r="AZ13" s="201"/>
      <c r="BA13" s="201"/>
      <c r="BB13" s="201"/>
      <c r="BC13" s="201"/>
      <c r="BD13" s="201"/>
      <c r="BE13" s="201"/>
      <c r="BF13" s="201"/>
      <c r="BG13" s="201"/>
      <c r="BH13" s="201"/>
      <c r="BI13" s="201"/>
      <c r="BJ13" s="201"/>
      <c r="BK13" s="201"/>
      <c r="BL13" s="201"/>
      <c r="BM13" s="201"/>
      <c r="BN13" s="201"/>
      <c r="BO13" s="201"/>
      <c r="BP13" s="201"/>
      <c r="BQ13" s="201"/>
      <c r="BR13" s="201"/>
      <c r="BS13" s="201"/>
      <c r="BT13" s="201"/>
      <c r="BU13" s="201"/>
      <c r="BV13" s="201"/>
      <c r="BW13" s="201"/>
      <c r="BX13" s="201"/>
      <c r="BY13" s="201"/>
      <c r="BZ13" s="201"/>
      <c r="CA13" s="201"/>
      <c r="CB13" s="201"/>
      <c r="CC13" s="201"/>
      <c r="CD13" s="98">
        <f t="shared" si="16"/>
        <v>1</v>
      </c>
    </row>
    <row r="14" s="123" customFormat="1" ht="21" customHeight="1" spans="1:82">
      <c r="A14" s="93">
        <v>12</v>
      </c>
      <c r="B14" s="93" t="str">
        <f t="shared" si="17"/>
        <v>3AEKC003AR104AICH06</v>
      </c>
      <c r="C14" s="96"/>
      <c r="D14" s="100" t="str">
        <f t="shared" si="18"/>
        <v>R3AEKC003AR104AICH06</v>
      </c>
      <c r="E14" s="169" t="s">
        <v>233</v>
      </c>
      <c r="F14" s="100" t="s">
        <v>234</v>
      </c>
      <c r="G14" s="102"/>
      <c r="H14" s="330" t="s">
        <v>124</v>
      </c>
      <c r="I14" s="98" t="str">
        <f t="shared" si="3"/>
        <v>AI212</v>
      </c>
      <c r="J14" s="98" t="str">
        <f t="shared" si="4"/>
        <v>104AI</v>
      </c>
      <c r="K14" s="100" t="str">
        <f t="shared" si="5"/>
        <v>3AEKC003AR104AI</v>
      </c>
      <c r="L14" s="102">
        <v>1</v>
      </c>
      <c r="M14" s="102">
        <v>4</v>
      </c>
      <c r="N14" s="102">
        <v>6</v>
      </c>
      <c r="O14" s="183"/>
      <c r="P14" s="102"/>
      <c r="Q14" s="98"/>
      <c r="R14" s="98"/>
      <c r="S14" s="98">
        <f t="shared" si="6"/>
        <v>4</v>
      </c>
      <c r="T14" s="98" t="str">
        <f t="shared" si="7"/>
        <v>TB241</v>
      </c>
      <c r="U14" s="98" t="str">
        <f t="shared" si="8"/>
        <v>104BN</v>
      </c>
      <c r="V14" s="98" t="str">
        <f t="shared" si="9"/>
        <v>6B</v>
      </c>
      <c r="W14" s="98" t="str">
        <f t="shared" si="10"/>
        <v>6A</v>
      </c>
      <c r="X14" s="98" t="str">
        <f t="shared" si="11"/>
        <v>--</v>
      </c>
      <c r="Y14" s="98" t="str">
        <f t="shared" si="19"/>
        <v>--</v>
      </c>
      <c r="Z14" s="98"/>
      <c r="AA14" s="100" t="str">
        <f t="shared" si="12"/>
        <v>--</v>
      </c>
      <c r="AB14" s="102" t="str">
        <f t="shared" si="13"/>
        <v>--</v>
      </c>
      <c r="AC14" s="102" t="str">
        <f t="shared" si="14"/>
        <v>--</v>
      </c>
      <c r="AD14" s="98" t="s">
        <v>235</v>
      </c>
      <c r="AE14" s="98" t="s">
        <v>236</v>
      </c>
      <c r="AF14" s="102" t="s">
        <v>237</v>
      </c>
      <c r="AG14" s="98" t="s">
        <v>238</v>
      </c>
      <c r="AH14" s="98" t="str">
        <f t="shared" si="15"/>
        <v>DCS(提供220VAC)</v>
      </c>
      <c r="AI14" s="102" t="s">
        <v>261</v>
      </c>
      <c r="AJ14" s="192" t="s">
        <v>255</v>
      </c>
      <c r="AK14" s="331" t="s">
        <v>241</v>
      </c>
      <c r="AL14" s="331" t="s">
        <v>242</v>
      </c>
      <c r="AM14" s="331" t="s">
        <v>243</v>
      </c>
      <c r="AN14" s="76" t="s">
        <v>244</v>
      </c>
      <c r="AO14" s="76"/>
      <c r="AP14" s="102"/>
      <c r="AQ14" s="76" t="s">
        <v>31</v>
      </c>
      <c r="AR14" s="169"/>
      <c r="AS14" s="100"/>
      <c r="AT14" s="100"/>
      <c r="AU14" s="330" t="s">
        <v>245</v>
      </c>
      <c r="AV14" s="201"/>
      <c r="AW14" s="201"/>
      <c r="AX14" s="201"/>
      <c r="AY14" s="201"/>
      <c r="AZ14" s="201"/>
      <c r="BA14" s="201"/>
      <c r="BB14" s="201"/>
      <c r="BC14" s="201"/>
      <c r="BD14" s="201"/>
      <c r="BE14" s="201"/>
      <c r="BF14" s="201"/>
      <c r="BG14" s="201"/>
      <c r="BH14" s="201"/>
      <c r="BI14" s="201"/>
      <c r="BJ14" s="201"/>
      <c r="BK14" s="201"/>
      <c r="BL14" s="201"/>
      <c r="BM14" s="201"/>
      <c r="BN14" s="201"/>
      <c r="BO14" s="201"/>
      <c r="BP14" s="201"/>
      <c r="BQ14" s="201"/>
      <c r="BR14" s="201"/>
      <c r="BS14" s="201"/>
      <c r="BT14" s="201"/>
      <c r="BU14" s="201"/>
      <c r="BV14" s="201"/>
      <c r="BW14" s="201"/>
      <c r="BX14" s="201"/>
      <c r="BY14" s="201"/>
      <c r="BZ14" s="201"/>
      <c r="CA14" s="201"/>
      <c r="CB14" s="201"/>
      <c r="CC14" s="201"/>
      <c r="CD14" s="98">
        <f t="shared" si="16"/>
        <v>1</v>
      </c>
    </row>
    <row r="15" s="123" customFormat="1" ht="21" customHeight="1" spans="1:82">
      <c r="A15" s="164">
        <v>13</v>
      </c>
      <c r="B15" s="164" t="str">
        <f t="shared" si="17"/>
        <v>3AEKC003AR105RTDCH01</v>
      </c>
      <c r="C15" s="165"/>
      <c r="D15" s="166" t="str">
        <f t="shared" si="18"/>
        <v>R3AEKC003AR105RTDCH01</v>
      </c>
      <c r="E15" s="170" t="s">
        <v>233</v>
      </c>
      <c r="F15" s="166" t="s">
        <v>234</v>
      </c>
      <c r="G15" s="168"/>
      <c r="H15" s="328" t="s">
        <v>124</v>
      </c>
      <c r="I15" s="181" t="str">
        <f t="shared" si="3"/>
        <v>AI232</v>
      </c>
      <c r="J15" s="181" t="str">
        <f t="shared" si="4"/>
        <v>105RTD</v>
      </c>
      <c r="K15" s="166" t="str">
        <f t="shared" si="5"/>
        <v>3AEKC003AR105RTD</v>
      </c>
      <c r="L15" s="168">
        <v>1</v>
      </c>
      <c r="M15" s="168">
        <v>5</v>
      </c>
      <c r="N15" s="168">
        <v>1</v>
      </c>
      <c r="O15" s="182"/>
      <c r="P15" s="168"/>
      <c r="Q15" s="181"/>
      <c r="R15" s="181"/>
      <c r="S15" s="181">
        <f t="shared" si="6"/>
        <v>5</v>
      </c>
      <c r="T15" s="181" t="str">
        <f t="shared" si="7"/>
        <v>TB246</v>
      </c>
      <c r="U15" s="181" t="str">
        <f t="shared" si="8"/>
        <v>105BN</v>
      </c>
      <c r="V15" s="181" t="str">
        <f t="shared" si="9"/>
        <v>1A</v>
      </c>
      <c r="W15" s="181" t="str">
        <f t="shared" si="10"/>
        <v>1B</v>
      </c>
      <c r="X15" s="181" t="str">
        <f t="shared" si="11"/>
        <v>1C</v>
      </c>
      <c r="Y15" s="181" t="str">
        <f t="shared" si="19"/>
        <v>--</v>
      </c>
      <c r="Z15" s="181"/>
      <c r="AA15" s="166" t="str">
        <f t="shared" si="12"/>
        <v>--</v>
      </c>
      <c r="AB15" s="168" t="str">
        <f t="shared" si="13"/>
        <v>--</v>
      </c>
      <c r="AC15" s="168" t="str">
        <f t="shared" si="14"/>
        <v>--</v>
      </c>
      <c r="AD15" s="181" t="s">
        <v>235</v>
      </c>
      <c r="AE15" s="181" t="s">
        <v>236</v>
      </c>
      <c r="AF15" s="168" t="s">
        <v>237</v>
      </c>
      <c r="AG15" s="181" t="s">
        <v>262</v>
      </c>
      <c r="AH15" s="181" t="str">
        <f t="shared" si="15"/>
        <v>DCS</v>
      </c>
      <c r="AI15" s="168" t="s">
        <v>263</v>
      </c>
      <c r="AJ15" s="189" t="s">
        <v>264</v>
      </c>
      <c r="AK15" s="329" t="s">
        <v>265</v>
      </c>
      <c r="AL15" s="329" t="s">
        <v>242</v>
      </c>
      <c r="AM15" s="329" t="s">
        <v>266</v>
      </c>
      <c r="AN15" s="190" t="s">
        <v>244</v>
      </c>
      <c r="AO15" s="190"/>
      <c r="AP15" s="168"/>
      <c r="AQ15" s="190" t="s">
        <v>31</v>
      </c>
      <c r="AR15" s="170"/>
      <c r="AS15" s="166"/>
      <c r="AT15" s="166"/>
      <c r="AU15" s="328" t="s">
        <v>245</v>
      </c>
      <c r="AV15" s="200"/>
      <c r="AW15" s="200"/>
      <c r="AX15" s="200"/>
      <c r="AY15" s="200"/>
      <c r="AZ15" s="200"/>
      <c r="BA15" s="200"/>
      <c r="BB15" s="200"/>
      <c r="BC15" s="200"/>
      <c r="BD15" s="200"/>
      <c r="BE15" s="200"/>
      <c r="BF15" s="200"/>
      <c r="BG15" s="200"/>
      <c r="BH15" s="200"/>
      <c r="BI15" s="200"/>
      <c r="BJ15" s="200"/>
      <c r="BK15" s="200"/>
      <c r="BL15" s="200"/>
      <c r="BM15" s="200"/>
      <c r="BN15" s="200"/>
      <c r="BO15" s="200"/>
      <c r="BP15" s="200"/>
      <c r="BQ15" s="200"/>
      <c r="BR15" s="200"/>
      <c r="BS15" s="200"/>
      <c r="BT15" s="200"/>
      <c r="BU15" s="200"/>
      <c r="BV15" s="200"/>
      <c r="BW15" s="200"/>
      <c r="BX15" s="200"/>
      <c r="BY15" s="200"/>
      <c r="BZ15" s="200"/>
      <c r="CA15" s="200"/>
      <c r="CB15" s="200"/>
      <c r="CC15" s="200"/>
      <c r="CD15" s="181">
        <f t="shared" si="16"/>
        <v>1</v>
      </c>
    </row>
    <row r="16" s="123" customFormat="1" ht="21" customHeight="1" spans="1:82">
      <c r="A16" s="93">
        <v>14</v>
      </c>
      <c r="B16" s="93" t="str">
        <f t="shared" si="17"/>
        <v>3AEKC003AR105RTDCH02</v>
      </c>
      <c r="C16" s="96"/>
      <c r="D16" s="100" t="str">
        <f t="shared" si="18"/>
        <v>R3AEKC003AR105RTDCH02</v>
      </c>
      <c r="E16" s="169" t="s">
        <v>233</v>
      </c>
      <c r="F16" s="100" t="s">
        <v>234</v>
      </c>
      <c r="G16" s="102"/>
      <c r="H16" s="330" t="s">
        <v>124</v>
      </c>
      <c r="I16" s="98" t="str">
        <f t="shared" si="3"/>
        <v>AI232</v>
      </c>
      <c r="J16" s="98" t="str">
        <f t="shared" si="4"/>
        <v>105RTD</v>
      </c>
      <c r="K16" s="100" t="str">
        <f t="shared" si="5"/>
        <v>3AEKC003AR105RTD</v>
      </c>
      <c r="L16" s="102">
        <v>1</v>
      </c>
      <c r="M16" s="102">
        <v>5</v>
      </c>
      <c r="N16" s="102">
        <v>2</v>
      </c>
      <c r="O16" s="183"/>
      <c r="P16" s="102"/>
      <c r="Q16" s="98"/>
      <c r="R16" s="98"/>
      <c r="S16" s="98">
        <f t="shared" si="6"/>
        <v>5</v>
      </c>
      <c r="T16" s="98" t="str">
        <f t="shared" si="7"/>
        <v>TB246</v>
      </c>
      <c r="U16" s="98" t="str">
        <f t="shared" si="8"/>
        <v>105BN</v>
      </c>
      <c r="V16" s="98" t="str">
        <f t="shared" si="9"/>
        <v>2A</v>
      </c>
      <c r="W16" s="98" t="str">
        <f t="shared" si="10"/>
        <v>2B</v>
      </c>
      <c r="X16" s="98" t="str">
        <f t="shared" si="11"/>
        <v>2C</v>
      </c>
      <c r="Y16" s="98" t="str">
        <f t="shared" si="19"/>
        <v>--</v>
      </c>
      <c r="Z16" s="98"/>
      <c r="AA16" s="100" t="str">
        <f t="shared" si="12"/>
        <v>--</v>
      </c>
      <c r="AB16" s="102" t="str">
        <f t="shared" si="13"/>
        <v>--</v>
      </c>
      <c r="AC16" s="102" t="str">
        <f t="shared" si="14"/>
        <v>--</v>
      </c>
      <c r="AD16" s="98" t="s">
        <v>235</v>
      </c>
      <c r="AE16" s="98" t="s">
        <v>236</v>
      </c>
      <c r="AF16" s="102" t="s">
        <v>237</v>
      </c>
      <c r="AG16" s="98" t="s">
        <v>262</v>
      </c>
      <c r="AH16" s="98" t="str">
        <f t="shared" si="15"/>
        <v>DCS</v>
      </c>
      <c r="AI16" s="102" t="s">
        <v>267</v>
      </c>
      <c r="AJ16" s="191" t="s">
        <v>268</v>
      </c>
      <c r="AK16" s="331" t="s">
        <v>265</v>
      </c>
      <c r="AL16" s="331" t="s">
        <v>242</v>
      </c>
      <c r="AM16" s="331" t="s">
        <v>266</v>
      </c>
      <c r="AN16" s="76" t="s">
        <v>244</v>
      </c>
      <c r="AO16" s="76"/>
      <c r="AP16" s="102"/>
      <c r="AQ16" s="76" t="s">
        <v>31</v>
      </c>
      <c r="AR16" s="169"/>
      <c r="AS16" s="100"/>
      <c r="AT16" s="100"/>
      <c r="AU16" s="330" t="s">
        <v>245</v>
      </c>
      <c r="AV16" s="201"/>
      <c r="AW16" s="201"/>
      <c r="AX16" s="201"/>
      <c r="AY16" s="201"/>
      <c r="AZ16" s="201"/>
      <c r="BA16" s="201"/>
      <c r="BB16" s="201"/>
      <c r="BC16" s="201"/>
      <c r="BD16" s="201"/>
      <c r="BE16" s="201"/>
      <c r="BF16" s="201"/>
      <c r="BG16" s="201"/>
      <c r="BH16" s="201"/>
      <c r="BI16" s="201"/>
      <c r="BJ16" s="201"/>
      <c r="BK16" s="201"/>
      <c r="BL16" s="201"/>
      <c r="BM16" s="201"/>
      <c r="BN16" s="201"/>
      <c r="BO16" s="201"/>
      <c r="BP16" s="201"/>
      <c r="BQ16" s="201"/>
      <c r="BR16" s="201"/>
      <c r="BS16" s="201"/>
      <c r="BT16" s="201"/>
      <c r="BU16" s="201"/>
      <c r="BV16" s="201"/>
      <c r="BW16" s="201"/>
      <c r="BX16" s="201"/>
      <c r="BY16" s="201"/>
      <c r="BZ16" s="201"/>
      <c r="CA16" s="201"/>
      <c r="CB16" s="201"/>
      <c r="CC16" s="201"/>
      <c r="CD16" s="98">
        <f t="shared" si="16"/>
        <v>1</v>
      </c>
    </row>
    <row r="17" s="123" customFormat="1" ht="21" customHeight="1" spans="1:82">
      <c r="A17" s="93">
        <v>15</v>
      </c>
      <c r="B17" s="93" t="str">
        <f t="shared" si="17"/>
        <v>3AEKC003AR105RTDCH03</v>
      </c>
      <c r="C17" s="96"/>
      <c r="D17" s="100" t="str">
        <f t="shared" si="18"/>
        <v>R3AEKC003AR105RTDCH03</v>
      </c>
      <c r="E17" s="169" t="s">
        <v>233</v>
      </c>
      <c r="F17" s="100" t="s">
        <v>234</v>
      </c>
      <c r="G17" s="102"/>
      <c r="H17" s="330" t="s">
        <v>124</v>
      </c>
      <c r="I17" s="98" t="str">
        <f t="shared" si="3"/>
        <v>AI232</v>
      </c>
      <c r="J17" s="98" t="str">
        <f t="shared" si="4"/>
        <v>105RTD</v>
      </c>
      <c r="K17" s="100" t="str">
        <f t="shared" si="5"/>
        <v>3AEKC003AR105RTD</v>
      </c>
      <c r="L17" s="102">
        <v>1</v>
      </c>
      <c r="M17" s="102">
        <v>5</v>
      </c>
      <c r="N17" s="102">
        <v>3</v>
      </c>
      <c r="O17" s="183"/>
      <c r="P17" s="102"/>
      <c r="Q17" s="98"/>
      <c r="R17" s="98"/>
      <c r="S17" s="98">
        <f t="shared" si="6"/>
        <v>5</v>
      </c>
      <c r="T17" s="98" t="str">
        <f t="shared" si="7"/>
        <v>TB246</v>
      </c>
      <c r="U17" s="98" t="str">
        <f t="shared" si="8"/>
        <v>105BN</v>
      </c>
      <c r="V17" s="98" t="str">
        <f t="shared" si="9"/>
        <v>3A</v>
      </c>
      <c r="W17" s="98" t="str">
        <f t="shared" si="10"/>
        <v>3B</v>
      </c>
      <c r="X17" s="98" t="str">
        <f t="shared" si="11"/>
        <v>3C</v>
      </c>
      <c r="Y17" s="98" t="str">
        <f t="shared" si="19"/>
        <v>3D</v>
      </c>
      <c r="Z17" s="98"/>
      <c r="AA17" s="100" t="str">
        <f t="shared" si="12"/>
        <v>--</v>
      </c>
      <c r="AB17" s="102" t="str">
        <f t="shared" si="13"/>
        <v>--</v>
      </c>
      <c r="AC17" s="102" t="str">
        <f t="shared" si="14"/>
        <v>--</v>
      </c>
      <c r="AD17" s="98" t="s">
        <v>235</v>
      </c>
      <c r="AE17" s="98" t="s">
        <v>236</v>
      </c>
      <c r="AF17" s="102" t="s">
        <v>237</v>
      </c>
      <c r="AG17" s="98" t="s">
        <v>262</v>
      </c>
      <c r="AH17" s="98" t="str">
        <f t="shared" si="15"/>
        <v>DCS</v>
      </c>
      <c r="AI17" s="102" t="s">
        <v>269</v>
      </c>
      <c r="AJ17" s="191" t="s">
        <v>270</v>
      </c>
      <c r="AK17" s="331" t="s">
        <v>265</v>
      </c>
      <c r="AL17" s="331" t="s">
        <v>242</v>
      </c>
      <c r="AM17" s="331" t="s">
        <v>266</v>
      </c>
      <c r="AN17" s="76" t="s">
        <v>244</v>
      </c>
      <c r="AO17" s="76"/>
      <c r="AP17" s="102"/>
      <c r="AQ17" s="76" t="s">
        <v>31</v>
      </c>
      <c r="AR17" s="169"/>
      <c r="AS17" s="100"/>
      <c r="AT17" s="100"/>
      <c r="AU17" s="330" t="s">
        <v>245</v>
      </c>
      <c r="AV17" s="201"/>
      <c r="AW17" s="201"/>
      <c r="AX17" s="201"/>
      <c r="AY17" s="201"/>
      <c r="AZ17" s="201"/>
      <c r="BA17" s="201"/>
      <c r="BB17" s="201"/>
      <c r="BC17" s="201"/>
      <c r="BD17" s="201"/>
      <c r="BE17" s="201"/>
      <c r="BF17" s="201"/>
      <c r="BG17" s="201"/>
      <c r="BH17" s="201"/>
      <c r="BI17" s="201"/>
      <c r="BJ17" s="201"/>
      <c r="BK17" s="201"/>
      <c r="BL17" s="201"/>
      <c r="BM17" s="201"/>
      <c r="BN17" s="201"/>
      <c r="BO17" s="201"/>
      <c r="BP17" s="201"/>
      <c r="BQ17" s="201"/>
      <c r="BR17" s="201"/>
      <c r="BS17" s="201"/>
      <c r="BT17" s="201"/>
      <c r="BU17" s="201"/>
      <c r="BV17" s="201"/>
      <c r="BW17" s="201"/>
      <c r="BX17" s="201"/>
      <c r="BY17" s="201"/>
      <c r="BZ17" s="201"/>
      <c r="CA17" s="201"/>
      <c r="CB17" s="201"/>
      <c r="CC17" s="201"/>
      <c r="CD17" s="98">
        <f t="shared" si="16"/>
        <v>1</v>
      </c>
    </row>
    <row r="18" s="123" customFormat="1" ht="21" customHeight="1" spans="1:82">
      <c r="A18" s="164">
        <v>16</v>
      </c>
      <c r="B18" s="164" t="str">
        <f t="shared" si="17"/>
        <v>3AEKC003AR106TCCH01</v>
      </c>
      <c r="C18" s="165"/>
      <c r="D18" s="166" t="str">
        <f t="shared" si="18"/>
        <v>R3AEKC003AR106TCCH01</v>
      </c>
      <c r="E18" s="170" t="s">
        <v>233</v>
      </c>
      <c r="F18" s="166" t="s">
        <v>234</v>
      </c>
      <c r="G18" s="168"/>
      <c r="H18" s="328" t="s">
        <v>124</v>
      </c>
      <c r="I18" s="181" t="str">
        <f t="shared" si="3"/>
        <v>AI221</v>
      </c>
      <c r="J18" s="181" t="str">
        <f t="shared" si="4"/>
        <v>106TC</v>
      </c>
      <c r="K18" s="166" t="str">
        <f t="shared" si="5"/>
        <v>3AEKC003AR106TC</v>
      </c>
      <c r="L18" s="168">
        <v>1</v>
      </c>
      <c r="M18" s="168">
        <v>6</v>
      </c>
      <c r="N18" s="168">
        <v>1</v>
      </c>
      <c r="O18" s="182"/>
      <c r="P18" s="168"/>
      <c r="Q18" s="181"/>
      <c r="R18" s="181"/>
      <c r="S18" s="181">
        <f t="shared" si="6"/>
        <v>6</v>
      </c>
      <c r="T18" s="181" t="str">
        <f t="shared" si="7"/>
        <v>TB242</v>
      </c>
      <c r="U18" s="181" t="str">
        <f t="shared" si="8"/>
        <v>106BN</v>
      </c>
      <c r="V18" s="181" t="str">
        <f t="shared" si="9"/>
        <v>1A</v>
      </c>
      <c r="W18" s="181" t="str">
        <f t="shared" si="10"/>
        <v>1B</v>
      </c>
      <c r="X18" s="181" t="str">
        <f t="shared" si="11"/>
        <v>--</v>
      </c>
      <c r="Y18" s="181" t="str">
        <f t="shared" si="19"/>
        <v>--</v>
      </c>
      <c r="Z18" s="181"/>
      <c r="AA18" s="166" t="str">
        <f t="shared" si="12"/>
        <v>--</v>
      </c>
      <c r="AB18" s="168" t="str">
        <f t="shared" si="13"/>
        <v>--</v>
      </c>
      <c r="AC18" s="168" t="str">
        <f t="shared" si="14"/>
        <v>--</v>
      </c>
      <c r="AD18" s="181" t="s">
        <v>235</v>
      </c>
      <c r="AE18" s="181" t="s">
        <v>236</v>
      </c>
      <c r="AF18" s="168" t="s">
        <v>237</v>
      </c>
      <c r="AG18" s="181" t="s">
        <v>271</v>
      </c>
      <c r="AH18" s="181" t="str">
        <f t="shared" si="15"/>
        <v>DCS</v>
      </c>
      <c r="AI18" s="168" t="s">
        <v>272</v>
      </c>
      <c r="AJ18" s="189" t="s">
        <v>273</v>
      </c>
      <c r="AK18" s="329" t="s">
        <v>265</v>
      </c>
      <c r="AL18" s="329" t="s">
        <v>242</v>
      </c>
      <c r="AM18" s="329" t="s">
        <v>266</v>
      </c>
      <c r="AN18" s="190" t="s">
        <v>244</v>
      </c>
      <c r="AO18" s="190"/>
      <c r="AP18" s="168"/>
      <c r="AQ18" s="190" t="s">
        <v>31</v>
      </c>
      <c r="AR18" s="170"/>
      <c r="AS18" s="166"/>
      <c r="AT18" s="166"/>
      <c r="AU18" s="328" t="s">
        <v>245</v>
      </c>
      <c r="AV18" s="200"/>
      <c r="AW18" s="200"/>
      <c r="AX18" s="200"/>
      <c r="AY18" s="200"/>
      <c r="AZ18" s="200"/>
      <c r="BA18" s="200"/>
      <c r="BB18" s="200"/>
      <c r="BC18" s="200"/>
      <c r="BD18" s="200"/>
      <c r="BE18" s="200"/>
      <c r="BF18" s="200"/>
      <c r="BG18" s="200"/>
      <c r="BH18" s="200"/>
      <c r="BI18" s="200"/>
      <c r="BJ18" s="200"/>
      <c r="BK18" s="200"/>
      <c r="BL18" s="200"/>
      <c r="BM18" s="200"/>
      <c r="BN18" s="200"/>
      <c r="BO18" s="200"/>
      <c r="BP18" s="200"/>
      <c r="BQ18" s="200"/>
      <c r="BR18" s="200"/>
      <c r="BS18" s="200"/>
      <c r="BT18" s="200"/>
      <c r="BU18" s="200"/>
      <c r="BV18" s="200"/>
      <c r="BW18" s="200"/>
      <c r="BX18" s="200"/>
      <c r="BY18" s="200"/>
      <c r="BZ18" s="200"/>
      <c r="CA18" s="200"/>
      <c r="CB18" s="200"/>
      <c r="CC18" s="200"/>
      <c r="CD18" s="181">
        <f t="shared" si="16"/>
        <v>1</v>
      </c>
    </row>
    <row r="19" s="123" customFormat="1" ht="21" customHeight="1" spans="1:82">
      <c r="A19" s="93">
        <v>17</v>
      </c>
      <c r="B19" s="93" t="str">
        <f t="shared" si="17"/>
        <v>3AEKC003AR106TCCH02</v>
      </c>
      <c r="C19" s="96"/>
      <c r="D19" s="100" t="str">
        <f t="shared" si="18"/>
        <v>R3AEKC003AR106TCCH02</v>
      </c>
      <c r="E19" s="169" t="s">
        <v>233</v>
      </c>
      <c r="F19" s="100" t="s">
        <v>234</v>
      </c>
      <c r="G19" s="102"/>
      <c r="H19" s="330" t="s">
        <v>124</v>
      </c>
      <c r="I19" s="98" t="str">
        <f t="shared" si="3"/>
        <v>AI221</v>
      </c>
      <c r="J19" s="98" t="str">
        <f t="shared" si="4"/>
        <v>106TC</v>
      </c>
      <c r="K19" s="100" t="str">
        <f t="shared" si="5"/>
        <v>3AEKC003AR106TC</v>
      </c>
      <c r="L19" s="102">
        <v>1</v>
      </c>
      <c r="M19" s="102">
        <v>6</v>
      </c>
      <c r="N19" s="102">
        <v>2</v>
      </c>
      <c r="O19" s="183"/>
      <c r="P19" s="102"/>
      <c r="Q19" s="98"/>
      <c r="R19" s="98"/>
      <c r="S19" s="98">
        <f t="shared" si="6"/>
        <v>6</v>
      </c>
      <c r="T19" s="98" t="str">
        <f t="shared" si="7"/>
        <v>TB242</v>
      </c>
      <c r="U19" s="98" t="str">
        <f t="shared" si="8"/>
        <v>106BN</v>
      </c>
      <c r="V19" s="98" t="str">
        <f t="shared" si="9"/>
        <v>2A</v>
      </c>
      <c r="W19" s="98" t="str">
        <f t="shared" si="10"/>
        <v>2B</v>
      </c>
      <c r="X19" s="98" t="str">
        <f t="shared" si="11"/>
        <v>--</v>
      </c>
      <c r="Y19" s="98" t="str">
        <f t="shared" si="19"/>
        <v>--</v>
      </c>
      <c r="Z19" s="98"/>
      <c r="AA19" s="100" t="str">
        <f t="shared" si="12"/>
        <v>--</v>
      </c>
      <c r="AB19" s="102" t="str">
        <f t="shared" si="13"/>
        <v>--</v>
      </c>
      <c r="AC19" s="102" t="str">
        <f t="shared" si="14"/>
        <v>--</v>
      </c>
      <c r="AD19" s="98" t="s">
        <v>235</v>
      </c>
      <c r="AE19" s="98" t="s">
        <v>236</v>
      </c>
      <c r="AF19" s="102" t="s">
        <v>237</v>
      </c>
      <c r="AG19" s="98" t="s">
        <v>271</v>
      </c>
      <c r="AH19" s="98" t="str">
        <f t="shared" si="15"/>
        <v>DCS</v>
      </c>
      <c r="AI19" s="102" t="s">
        <v>272</v>
      </c>
      <c r="AJ19" s="191" t="s">
        <v>273</v>
      </c>
      <c r="AK19" s="331" t="s">
        <v>265</v>
      </c>
      <c r="AL19" s="331" t="s">
        <v>242</v>
      </c>
      <c r="AM19" s="331" t="s">
        <v>266</v>
      </c>
      <c r="AN19" s="76" t="s">
        <v>244</v>
      </c>
      <c r="AO19" s="76"/>
      <c r="AP19" s="102"/>
      <c r="AQ19" s="76" t="s">
        <v>31</v>
      </c>
      <c r="AR19" s="169"/>
      <c r="AS19" s="100"/>
      <c r="AT19" s="100"/>
      <c r="AU19" s="330" t="s">
        <v>245</v>
      </c>
      <c r="AV19" s="201"/>
      <c r="AW19" s="201"/>
      <c r="AX19" s="201"/>
      <c r="AY19" s="201"/>
      <c r="AZ19" s="201"/>
      <c r="BA19" s="201"/>
      <c r="BB19" s="201"/>
      <c r="BC19" s="201"/>
      <c r="BD19" s="201"/>
      <c r="BE19" s="201"/>
      <c r="BF19" s="201"/>
      <c r="BG19" s="201"/>
      <c r="BH19" s="201"/>
      <c r="BI19" s="201"/>
      <c r="BJ19" s="201"/>
      <c r="BK19" s="201"/>
      <c r="BL19" s="201"/>
      <c r="BM19" s="201"/>
      <c r="BN19" s="201"/>
      <c r="BO19" s="201"/>
      <c r="BP19" s="201"/>
      <c r="BQ19" s="201"/>
      <c r="BR19" s="201"/>
      <c r="BS19" s="201"/>
      <c r="BT19" s="201"/>
      <c r="BU19" s="201"/>
      <c r="BV19" s="201"/>
      <c r="BW19" s="201"/>
      <c r="BX19" s="201"/>
      <c r="BY19" s="201"/>
      <c r="BZ19" s="201"/>
      <c r="CA19" s="201"/>
      <c r="CB19" s="201"/>
      <c r="CC19" s="201"/>
      <c r="CD19" s="98">
        <f t="shared" si="16"/>
        <v>1</v>
      </c>
    </row>
    <row r="20" s="123" customFormat="1" ht="21" customHeight="1" spans="1:82">
      <c r="A20" s="164">
        <v>18</v>
      </c>
      <c r="B20" s="164" t="str">
        <f t="shared" si="17"/>
        <v>3AEKC003AR107AOCH01</v>
      </c>
      <c r="C20" s="165"/>
      <c r="D20" s="166" t="str">
        <f t="shared" si="18"/>
        <v>R3AEKC003AR107AOCH01</v>
      </c>
      <c r="E20" s="170" t="s">
        <v>233</v>
      </c>
      <c r="F20" s="166" t="s">
        <v>234</v>
      </c>
      <c r="G20" s="168"/>
      <c r="H20" s="328" t="s">
        <v>124</v>
      </c>
      <c r="I20" s="181" t="str">
        <f t="shared" si="3"/>
        <v>AO211</v>
      </c>
      <c r="J20" s="181" t="str">
        <f t="shared" si="4"/>
        <v>107AO</v>
      </c>
      <c r="K20" s="166" t="str">
        <f t="shared" si="5"/>
        <v>3AEKC003AR107AO</v>
      </c>
      <c r="L20" s="168">
        <v>1</v>
      </c>
      <c r="M20" s="168">
        <v>7</v>
      </c>
      <c r="N20" s="168">
        <v>1</v>
      </c>
      <c r="O20" s="182"/>
      <c r="P20" s="168"/>
      <c r="Q20" s="181"/>
      <c r="R20" s="181"/>
      <c r="S20" s="181">
        <f t="shared" si="6"/>
        <v>7</v>
      </c>
      <c r="T20" s="181" t="str">
        <f t="shared" si="7"/>
        <v>TB251</v>
      </c>
      <c r="U20" s="181" t="str">
        <f t="shared" si="8"/>
        <v>107BN</v>
      </c>
      <c r="V20" s="181" t="str">
        <f t="shared" si="9"/>
        <v>1B</v>
      </c>
      <c r="W20" s="181" t="str">
        <f t="shared" si="10"/>
        <v>1C</v>
      </c>
      <c r="X20" s="181" t="str">
        <f t="shared" si="11"/>
        <v>--</v>
      </c>
      <c r="Y20" s="181" t="str">
        <f t="shared" si="19"/>
        <v>--</v>
      </c>
      <c r="Z20" s="181"/>
      <c r="AA20" s="166" t="str">
        <f t="shared" si="12"/>
        <v>--</v>
      </c>
      <c r="AB20" s="168" t="str">
        <f t="shared" si="13"/>
        <v>--</v>
      </c>
      <c r="AC20" s="168" t="str">
        <f t="shared" si="14"/>
        <v>--</v>
      </c>
      <c r="AD20" s="181" t="s">
        <v>235</v>
      </c>
      <c r="AE20" s="181" t="s">
        <v>236</v>
      </c>
      <c r="AF20" s="168" t="s">
        <v>274</v>
      </c>
      <c r="AG20" s="181" t="s">
        <v>238</v>
      </c>
      <c r="AH20" s="181" t="str">
        <f t="shared" si="15"/>
        <v>DCS</v>
      </c>
      <c r="AI20" s="168" t="s">
        <v>275</v>
      </c>
      <c r="AJ20" s="189"/>
      <c r="AK20" s="168" t="s">
        <v>276</v>
      </c>
      <c r="AL20" s="329" t="s">
        <v>242</v>
      </c>
      <c r="AM20" s="329" t="s">
        <v>277</v>
      </c>
      <c r="AN20" s="190" t="s">
        <v>244</v>
      </c>
      <c r="AO20" s="190"/>
      <c r="AP20" s="168"/>
      <c r="AQ20" s="190" t="s">
        <v>31</v>
      </c>
      <c r="AR20" s="170"/>
      <c r="AS20" s="166"/>
      <c r="AT20" s="166"/>
      <c r="AU20" s="328" t="s">
        <v>245</v>
      </c>
      <c r="AV20" s="200"/>
      <c r="AW20" s="200"/>
      <c r="AX20" s="200"/>
      <c r="AY20" s="200"/>
      <c r="AZ20" s="200"/>
      <c r="BA20" s="200"/>
      <c r="BB20" s="200"/>
      <c r="BC20" s="200"/>
      <c r="BD20" s="200"/>
      <c r="BE20" s="200"/>
      <c r="BF20" s="200"/>
      <c r="BG20" s="200"/>
      <c r="BH20" s="200"/>
      <c r="BI20" s="200"/>
      <c r="BJ20" s="200"/>
      <c r="BK20" s="200"/>
      <c r="BL20" s="200"/>
      <c r="BM20" s="200"/>
      <c r="BN20" s="200"/>
      <c r="BO20" s="200"/>
      <c r="BP20" s="200"/>
      <c r="BQ20" s="200"/>
      <c r="BR20" s="200"/>
      <c r="BS20" s="200"/>
      <c r="BT20" s="200"/>
      <c r="BU20" s="200"/>
      <c r="BV20" s="200"/>
      <c r="BW20" s="200"/>
      <c r="BX20" s="200"/>
      <c r="BY20" s="200"/>
      <c r="BZ20" s="200"/>
      <c r="CA20" s="200"/>
      <c r="CB20" s="200"/>
      <c r="CC20" s="200"/>
      <c r="CD20" s="181">
        <f t="shared" si="16"/>
        <v>2</v>
      </c>
    </row>
    <row r="21" s="123" customFormat="1" ht="21" customHeight="1" spans="1:82">
      <c r="A21" s="93">
        <v>19</v>
      </c>
      <c r="B21" s="93" t="str">
        <f t="shared" si="17"/>
        <v>3AEKC003AR107AOCH02</v>
      </c>
      <c r="C21" s="96"/>
      <c r="D21" s="100" t="str">
        <f t="shared" si="18"/>
        <v>R3AEKC003AR107AOCH02</v>
      </c>
      <c r="E21" s="169" t="s">
        <v>233</v>
      </c>
      <c r="F21" s="100" t="s">
        <v>234</v>
      </c>
      <c r="G21" s="102"/>
      <c r="H21" s="330" t="s">
        <v>124</v>
      </c>
      <c r="I21" s="98" t="str">
        <f t="shared" si="3"/>
        <v>AO211</v>
      </c>
      <c r="J21" s="98" t="str">
        <f t="shared" si="4"/>
        <v>107AO</v>
      </c>
      <c r="K21" s="100" t="str">
        <f t="shared" si="5"/>
        <v>3AEKC003AR107AO</v>
      </c>
      <c r="L21" s="102">
        <v>1</v>
      </c>
      <c r="M21" s="102">
        <v>7</v>
      </c>
      <c r="N21" s="102">
        <v>2</v>
      </c>
      <c r="O21" s="183"/>
      <c r="P21" s="102"/>
      <c r="Q21" s="98"/>
      <c r="R21" s="98"/>
      <c r="S21" s="98">
        <f t="shared" si="6"/>
        <v>7</v>
      </c>
      <c r="T21" s="98" t="str">
        <f t="shared" si="7"/>
        <v>TB251</v>
      </c>
      <c r="U21" s="98" t="str">
        <f t="shared" si="8"/>
        <v>107BN</v>
      </c>
      <c r="V21" s="98" t="str">
        <f t="shared" si="9"/>
        <v>2B</v>
      </c>
      <c r="W21" s="98" t="str">
        <f t="shared" si="10"/>
        <v>2C</v>
      </c>
      <c r="X21" s="98" t="str">
        <f t="shared" si="11"/>
        <v>--</v>
      </c>
      <c r="Y21" s="98" t="str">
        <f t="shared" si="19"/>
        <v>--</v>
      </c>
      <c r="Z21" s="98"/>
      <c r="AA21" s="100" t="str">
        <f t="shared" si="12"/>
        <v>--</v>
      </c>
      <c r="AB21" s="102" t="str">
        <f t="shared" si="13"/>
        <v>--</v>
      </c>
      <c r="AC21" s="102" t="str">
        <f t="shared" si="14"/>
        <v>--</v>
      </c>
      <c r="AD21" s="98" t="s">
        <v>235</v>
      </c>
      <c r="AE21" s="98" t="s">
        <v>236</v>
      </c>
      <c r="AF21" s="102" t="s">
        <v>274</v>
      </c>
      <c r="AG21" s="98" t="s">
        <v>238</v>
      </c>
      <c r="AH21" s="98" t="str">
        <f t="shared" si="15"/>
        <v>DCS</v>
      </c>
      <c r="AI21" s="102" t="s">
        <v>278</v>
      </c>
      <c r="AJ21" s="191"/>
      <c r="AK21" s="102" t="s">
        <v>276</v>
      </c>
      <c r="AL21" s="331" t="s">
        <v>242</v>
      </c>
      <c r="AM21" s="331" t="s">
        <v>277</v>
      </c>
      <c r="AN21" s="76" t="s">
        <v>244</v>
      </c>
      <c r="AO21" s="76"/>
      <c r="AP21" s="102"/>
      <c r="AQ21" s="76" t="s">
        <v>31</v>
      </c>
      <c r="AR21" s="169"/>
      <c r="AS21" s="100"/>
      <c r="AT21" s="100"/>
      <c r="AU21" s="330" t="s">
        <v>245</v>
      </c>
      <c r="AV21" s="201"/>
      <c r="AW21" s="201"/>
      <c r="AX21" s="201"/>
      <c r="AY21" s="201"/>
      <c r="AZ21" s="201"/>
      <c r="BA21" s="201"/>
      <c r="BB21" s="201"/>
      <c r="BC21" s="201"/>
      <c r="BD21" s="201"/>
      <c r="BE21" s="201"/>
      <c r="BF21" s="201"/>
      <c r="BG21" s="201"/>
      <c r="BH21" s="201"/>
      <c r="BI21" s="201"/>
      <c r="BJ21" s="201"/>
      <c r="BK21" s="201"/>
      <c r="BL21" s="201"/>
      <c r="BM21" s="201"/>
      <c r="BN21" s="201"/>
      <c r="BO21" s="201"/>
      <c r="BP21" s="201"/>
      <c r="BQ21" s="201"/>
      <c r="BR21" s="201"/>
      <c r="BS21" s="201"/>
      <c r="BT21" s="201"/>
      <c r="BU21" s="201"/>
      <c r="BV21" s="201"/>
      <c r="BW21" s="201"/>
      <c r="BX21" s="201"/>
      <c r="BY21" s="201"/>
      <c r="BZ21" s="201"/>
      <c r="CA21" s="201"/>
      <c r="CB21" s="201"/>
      <c r="CC21" s="201"/>
      <c r="CD21" s="98">
        <f t="shared" si="16"/>
        <v>2</v>
      </c>
    </row>
    <row r="22" s="123" customFormat="1" ht="21" customHeight="1" spans="1:82">
      <c r="A22" s="164">
        <v>20</v>
      </c>
      <c r="B22" s="164" t="str">
        <f t="shared" si="17"/>
        <v>3AEKC003AR108AOCH01</v>
      </c>
      <c r="C22" s="165"/>
      <c r="D22" s="166" t="str">
        <f t="shared" si="18"/>
        <v>R3AEKC003AR108AOCH01</v>
      </c>
      <c r="E22" s="170" t="s">
        <v>233</v>
      </c>
      <c r="F22" s="166" t="s">
        <v>234</v>
      </c>
      <c r="G22" s="168"/>
      <c r="H22" s="328" t="s">
        <v>124</v>
      </c>
      <c r="I22" s="181" t="str">
        <f t="shared" si="3"/>
        <v>AO215</v>
      </c>
      <c r="J22" s="181" t="str">
        <f t="shared" si="4"/>
        <v>108AO</v>
      </c>
      <c r="K22" s="166" t="str">
        <f t="shared" si="5"/>
        <v>3AEKC003AR108AO</v>
      </c>
      <c r="L22" s="168">
        <v>1</v>
      </c>
      <c r="M22" s="168">
        <v>8</v>
      </c>
      <c r="N22" s="168">
        <v>1</v>
      </c>
      <c r="O22" s="182"/>
      <c r="P22" s="168"/>
      <c r="Q22" s="181"/>
      <c r="R22" s="181"/>
      <c r="S22" s="181">
        <f t="shared" si="6"/>
        <v>8</v>
      </c>
      <c r="T22" s="181" t="str">
        <f t="shared" si="7"/>
        <v>TB244</v>
      </c>
      <c r="U22" s="181" t="str">
        <f t="shared" si="8"/>
        <v>108BN</v>
      </c>
      <c r="V22" s="181">
        <f t="shared" si="9"/>
        <v>24</v>
      </c>
      <c r="W22" s="181">
        <f t="shared" si="10"/>
        <v>21</v>
      </c>
      <c r="X22" s="181" t="str">
        <f t="shared" si="11"/>
        <v>--</v>
      </c>
      <c r="Y22" s="181" t="str">
        <f t="shared" si="19"/>
        <v>--</v>
      </c>
      <c r="Z22" s="181"/>
      <c r="AA22" s="166" t="str">
        <f t="shared" si="12"/>
        <v>--</v>
      </c>
      <c r="AB22" s="168" t="str">
        <f t="shared" si="13"/>
        <v>--</v>
      </c>
      <c r="AC22" s="168" t="str">
        <f t="shared" si="14"/>
        <v>--</v>
      </c>
      <c r="AD22" s="181" t="s">
        <v>235</v>
      </c>
      <c r="AE22" s="181" t="s">
        <v>236</v>
      </c>
      <c r="AF22" s="168" t="s">
        <v>274</v>
      </c>
      <c r="AG22" s="181" t="s">
        <v>238</v>
      </c>
      <c r="AH22" s="181" t="str">
        <f t="shared" si="15"/>
        <v>DCS</v>
      </c>
      <c r="AI22" s="193" t="s">
        <v>279</v>
      </c>
      <c r="AJ22" s="189"/>
      <c r="AK22" s="168" t="s">
        <v>276</v>
      </c>
      <c r="AL22" s="329" t="s">
        <v>242</v>
      </c>
      <c r="AM22" s="329" t="s">
        <v>277</v>
      </c>
      <c r="AN22" s="190" t="s">
        <v>244</v>
      </c>
      <c r="AO22" s="190"/>
      <c r="AP22" s="168"/>
      <c r="AQ22" s="190" t="s">
        <v>31</v>
      </c>
      <c r="AR22" s="170"/>
      <c r="AS22" s="166"/>
      <c r="AT22" s="166"/>
      <c r="AU22" s="328" t="s">
        <v>245</v>
      </c>
      <c r="AV22" s="200"/>
      <c r="AW22" s="200"/>
      <c r="AX22" s="200"/>
      <c r="AY22" s="200"/>
      <c r="AZ22" s="200"/>
      <c r="BA22" s="200"/>
      <c r="BB22" s="200"/>
      <c r="BC22" s="200"/>
      <c r="BD22" s="200"/>
      <c r="BE22" s="200"/>
      <c r="BF22" s="200"/>
      <c r="BG22" s="200"/>
      <c r="BH22" s="200"/>
      <c r="BI22" s="200"/>
      <c r="BJ22" s="200"/>
      <c r="BK22" s="200"/>
      <c r="BL22" s="200"/>
      <c r="BM22" s="200"/>
      <c r="BN22" s="200"/>
      <c r="BO22" s="200"/>
      <c r="BP22" s="200"/>
      <c r="BQ22" s="200"/>
      <c r="BR22" s="200"/>
      <c r="BS22" s="200"/>
      <c r="BT22" s="200"/>
      <c r="BU22" s="200"/>
      <c r="BV22" s="200"/>
      <c r="BW22" s="200"/>
      <c r="BX22" s="200"/>
      <c r="BY22" s="200"/>
      <c r="BZ22" s="200"/>
      <c r="CA22" s="200"/>
      <c r="CB22" s="200"/>
      <c r="CC22" s="200"/>
      <c r="CD22" s="181">
        <f t="shared" si="16"/>
        <v>2</v>
      </c>
    </row>
    <row r="23" s="123" customFormat="1" ht="21" customHeight="1" spans="1:82">
      <c r="A23" s="164">
        <v>21</v>
      </c>
      <c r="B23" s="164" t="str">
        <f t="shared" si="17"/>
        <v>3AEKC003AR109PICH01</v>
      </c>
      <c r="C23" s="165"/>
      <c r="D23" s="166" t="str">
        <f t="shared" ref="D23:D37" si="20">IF(CLEAN(B23)="","","R")&amp;SUBSTITUTE(TRIM(B23),"-","")&amp;IF(CLEAN(C23)="","","_"&amp;C23)</f>
        <v>R3AEKC003AR109PICH01</v>
      </c>
      <c r="E23" s="170" t="s">
        <v>233</v>
      </c>
      <c r="F23" s="166" t="s">
        <v>234</v>
      </c>
      <c r="G23" s="168"/>
      <c r="H23" s="328" t="s">
        <v>124</v>
      </c>
      <c r="I23" s="181" t="str">
        <f t="shared" si="3"/>
        <v>PI211</v>
      </c>
      <c r="J23" s="181" t="str">
        <f t="shared" si="4"/>
        <v>109PI</v>
      </c>
      <c r="K23" s="166" t="str">
        <f t="shared" si="5"/>
        <v>3AEKC003AR109PI</v>
      </c>
      <c r="L23" s="168">
        <v>1</v>
      </c>
      <c r="M23" s="168">
        <v>9</v>
      </c>
      <c r="N23" s="168">
        <v>1</v>
      </c>
      <c r="O23" s="182"/>
      <c r="P23" s="168"/>
      <c r="Q23" s="181"/>
      <c r="R23" s="181"/>
      <c r="S23" s="181">
        <f t="shared" si="6"/>
        <v>9</v>
      </c>
      <c r="T23" s="181" t="str">
        <f t="shared" si="7"/>
        <v>TB244</v>
      </c>
      <c r="U23" s="181" t="str">
        <f t="shared" si="8"/>
        <v>109BN</v>
      </c>
      <c r="V23" s="181">
        <f t="shared" si="9"/>
        <v>2</v>
      </c>
      <c r="W23" s="181">
        <f t="shared" si="10"/>
        <v>4</v>
      </c>
      <c r="X23" s="181" t="str">
        <f t="shared" si="11"/>
        <v>--</v>
      </c>
      <c r="Y23" s="181" t="str">
        <f t="shared" si="19"/>
        <v>--</v>
      </c>
      <c r="Z23" s="181"/>
      <c r="AA23" s="166" t="str">
        <f t="shared" si="12"/>
        <v>--</v>
      </c>
      <c r="AB23" s="168" t="str">
        <f t="shared" si="13"/>
        <v>--</v>
      </c>
      <c r="AC23" s="168" t="str">
        <f t="shared" si="14"/>
        <v>--</v>
      </c>
      <c r="AD23" s="181" t="s">
        <v>235</v>
      </c>
      <c r="AE23" s="181" t="s">
        <v>236</v>
      </c>
      <c r="AF23" s="168" t="s">
        <v>280</v>
      </c>
      <c r="AG23" s="181" t="s">
        <v>281</v>
      </c>
      <c r="AH23" s="181" t="str">
        <f t="shared" si="15"/>
        <v>DCS(提供24VDC)</v>
      </c>
      <c r="AI23" s="168" t="s">
        <v>282</v>
      </c>
      <c r="AJ23" s="189" t="s">
        <v>247</v>
      </c>
      <c r="AK23" s="168"/>
      <c r="AL23" s="168"/>
      <c r="AM23" s="168"/>
      <c r="AN23" s="190" t="s">
        <v>244</v>
      </c>
      <c r="AO23" s="190"/>
      <c r="AP23" s="168"/>
      <c r="AQ23" s="190" t="s">
        <v>31</v>
      </c>
      <c r="AR23" s="170"/>
      <c r="AS23" s="166"/>
      <c r="AT23" s="166"/>
      <c r="AU23" s="328" t="s">
        <v>245</v>
      </c>
      <c r="AV23" s="200"/>
      <c r="AW23" s="200"/>
      <c r="AX23" s="200"/>
      <c r="AY23" s="200"/>
      <c r="AZ23" s="200"/>
      <c r="BA23" s="200"/>
      <c r="BB23" s="200"/>
      <c r="BC23" s="200"/>
      <c r="BD23" s="200"/>
      <c r="BE23" s="200"/>
      <c r="BF23" s="200"/>
      <c r="BG23" s="200"/>
      <c r="BH23" s="200"/>
      <c r="BI23" s="200"/>
      <c r="BJ23" s="200"/>
      <c r="BK23" s="200"/>
      <c r="BL23" s="200"/>
      <c r="BM23" s="200"/>
      <c r="BN23" s="200"/>
      <c r="BO23" s="200"/>
      <c r="BP23" s="200"/>
      <c r="BQ23" s="200"/>
      <c r="BR23" s="200"/>
      <c r="BS23" s="200"/>
      <c r="BT23" s="200"/>
      <c r="BU23" s="200"/>
      <c r="BV23" s="200"/>
      <c r="BW23" s="200"/>
      <c r="BX23" s="200"/>
      <c r="BY23" s="200"/>
      <c r="BZ23" s="200"/>
      <c r="CA23" s="200"/>
      <c r="CB23" s="200"/>
      <c r="CC23" s="200"/>
      <c r="CD23" s="181" t="str">
        <f t="shared" si="16"/>
        <v/>
      </c>
    </row>
    <row r="24" s="123" customFormat="1" ht="21" customHeight="1" spans="1:82">
      <c r="A24" s="93">
        <v>22</v>
      </c>
      <c r="B24" s="93" t="str">
        <f t="shared" si="17"/>
        <v>3AEKC003AR109PICH02</v>
      </c>
      <c r="C24" s="96"/>
      <c r="D24" s="100" t="str">
        <f t="shared" si="20"/>
        <v>R3AEKC003AR109PICH02</v>
      </c>
      <c r="E24" s="169" t="s">
        <v>233</v>
      </c>
      <c r="F24" s="100" t="s">
        <v>234</v>
      </c>
      <c r="G24" s="102"/>
      <c r="H24" s="330" t="s">
        <v>124</v>
      </c>
      <c r="I24" s="98" t="str">
        <f t="shared" si="3"/>
        <v>PI211</v>
      </c>
      <c r="J24" s="98" t="str">
        <f t="shared" si="4"/>
        <v>109PI</v>
      </c>
      <c r="K24" s="100" t="str">
        <f t="shared" si="5"/>
        <v>3AEKC003AR109PI</v>
      </c>
      <c r="L24" s="102">
        <v>1</v>
      </c>
      <c r="M24" s="102">
        <v>9</v>
      </c>
      <c r="N24" s="102">
        <v>2</v>
      </c>
      <c r="O24" s="183"/>
      <c r="P24" s="102"/>
      <c r="Q24" s="98"/>
      <c r="R24" s="98"/>
      <c r="S24" s="98">
        <f t="shared" si="6"/>
        <v>9</v>
      </c>
      <c r="T24" s="98" t="str">
        <f t="shared" ref="T24:T32" si="21">IF(I24="DO211",CHOOSE(MID(AI24,3,LEN(AI24)-1),"TB233","TB233","TB231","TB231","TB231"),IF(AND(I24="DI211",AI24="DI4",IFERROR(SEARCH("继电器",AJ24),-1)&gt;0),"TB222",IF(I24="DI211",CHOOSE(MID(AI24,3,LEN(AI24)-1),"TB222","TB222","TB222","TB221","TB222","TB222"),IF(OR(I24="AI212",I24="AI216"),"TB241",IF(I24="AI221","TB242",IF(I24="AI232","TB246",IF(I24="AO211","TB251",IF(OR(I24="PI211",I24="AO215",I24="MD211"),"TB244",IF(I24="MD216","--",IF(I24="FF211","TB271",IF(I24="DP211","TB272",IF(I24="--","--","ERR"))))))))))))</f>
        <v>TB244</v>
      </c>
      <c r="U24" s="98" t="str">
        <f t="shared" si="8"/>
        <v>109BN</v>
      </c>
      <c r="V24" s="98">
        <f t="shared" si="9"/>
        <v>6</v>
      </c>
      <c r="W24" s="98">
        <f t="shared" si="10"/>
        <v>8</v>
      </c>
      <c r="X24" s="98" t="str">
        <f t="shared" si="11"/>
        <v>--</v>
      </c>
      <c r="Y24" s="98" t="str">
        <f t="shared" si="19"/>
        <v>--</v>
      </c>
      <c r="Z24" s="98"/>
      <c r="AA24" s="100" t="str">
        <f t="shared" si="12"/>
        <v>--</v>
      </c>
      <c r="AB24" s="102" t="str">
        <f t="shared" si="13"/>
        <v>--</v>
      </c>
      <c r="AC24" s="102" t="str">
        <f t="shared" si="14"/>
        <v>--</v>
      </c>
      <c r="AD24" s="98" t="s">
        <v>235</v>
      </c>
      <c r="AE24" s="98" t="s">
        <v>236</v>
      </c>
      <c r="AF24" s="102" t="s">
        <v>280</v>
      </c>
      <c r="AG24" s="98" t="s">
        <v>281</v>
      </c>
      <c r="AH24" s="98" t="str">
        <f t="shared" si="15"/>
        <v>DCS(提供220VAC)</v>
      </c>
      <c r="AI24" s="102" t="s">
        <v>283</v>
      </c>
      <c r="AJ24" s="191" t="s">
        <v>249</v>
      </c>
      <c r="AK24" s="102"/>
      <c r="AL24" s="102"/>
      <c r="AM24" s="102"/>
      <c r="AN24" s="76" t="s">
        <v>244</v>
      </c>
      <c r="AO24" s="76"/>
      <c r="AP24" s="102"/>
      <c r="AQ24" s="76" t="s">
        <v>31</v>
      </c>
      <c r="AR24" s="169"/>
      <c r="AS24" s="100"/>
      <c r="AT24" s="100"/>
      <c r="AU24" s="330" t="s">
        <v>245</v>
      </c>
      <c r="AV24" s="201"/>
      <c r="AW24" s="201"/>
      <c r="AX24" s="201"/>
      <c r="AY24" s="201"/>
      <c r="AZ24" s="201"/>
      <c r="BA24" s="201"/>
      <c r="BB24" s="201"/>
      <c r="BC24" s="201"/>
      <c r="BD24" s="201"/>
      <c r="BE24" s="201"/>
      <c r="BF24" s="201"/>
      <c r="BG24" s="201"/>
      <c r="BH24" s="201"/>
      <c r="BI24" s="201"/>
      <c r="BJ24" s="201"/>
      <c r="BK24" s="201"/>
      <c r="BL24" s="201"/>
      <c r="BM24" s="201"/>
      <c r="BN24" s="201"/>
      <c r="BO24" s="201"/>
      <c r="BP24" s="201"/>
      <c r="BQ24" s="201"/>
      <c r="BR24" s="201"/>
      <c r="BS24" s="201"/>
      <c r="BT24" s="201"/>
      <c r="BU24" s="201"/>
      <c r="BV24" s="201"/>
      <c r="BW24" s="201"/>
      <c r="BX24" s="201"/>
      <c r="BY24" s="201"/>
      <c r="BZ24" s="201"/>
      <c r="CA24" s="201"/>
      <c r="CB24" s="201"/>
      <c r="CC24" s="201"/>
      <c r="CD24" s="98" t="str">
        <f t="shared" si="16"/>
        <v/>
      </c>
    </row>
    <row r="25" s="123" customFormat="1" ht="21" customHeight="1" spans="1:82">
      <c r="A25" s="93">
        <v>23</v>
      </c>
      <c r="B25" s="93" t="str">
        <f t="shared" si="17"/>
        <v>3AEKC003AR109PICH03</v>
      </c>
      <c r="C25" s="96"/>
      <c r="D25" s="100" t="str">
        <f t="shared" si="20"/>
        <v>R3AEKC003AR109PICH03</v>
      </c>
      <c r="E25" s="169" t="s">
        <v>233</v>
      </c>
      <c r="F25" s="100" t="s">
        <v>234</v>
      </c>
      <c r="G25" s="102"/>
      <c r="H25" s="330" t="s">
        <v>124</v>
      </c>
      <c r="I25" s="98" t="str">
        <f t="shared" si="3"/>
        <v>PI211</v>
      </c>
      <c r="J25" s="98" t="str">
        <f t="shared" si="4"/>
        <v>109PI</v>
      </c>
      <c r="K25" s="100" t="str">
        <f t="shared" si="5"/>
        <v>3AEKC003AR109PI</v>
      </c>
      <c r="L25" s="102">
        <v>1</v>
      </c>
      <c r="M25" s="102">
        <v>9</v>
      </c>
      <c r="N25" s="102">
        <v>3</v>
      </c>
      <c r="O25" s="183"/>
      <c r="P25" s="102"/>
      <c r="Q25" s="98"/>
      <c r="R25" s="98"/>
      <c r="S25" s="98">
        <f t="shared" si="6"/>
        <v>9</v>
      </c>
      <c r="T25" s="98" t="str">
        <f t="shared" si="21"/>
        <v>TB244</v>
      </c>
      <c r="U25" s="98" t="str">
        <f t="shared" si="8"/>
        <v>109BN</v>
      </c>
      <c r="V25" s="98">
        <f t="shared" si="9"/>
        <v>10</v>
      </c>
      <c r="W25" s="98">
        <f t="shared" si="10"/>
        <v>12</v>
      </c>
      <c r="X25" s="98" t="str">
        <f t="shared" si="11"/>
        <v>--</v>
      </c>
      <c r="Y25" s="98" t="str">
        <f t="shared" si="19"/>
        <v>--</v>
      </c>
      <c r="Z25" s="98"/>
      <c r="AA25" s="100" t="str">
        <f t="shared" si="12"/>
        <v>--</v>
      </c>
      <c r="AB25" s="102" t="str">
        <f t="shared" si="13"/>
        <v>--</v>
      </c>
      <c r="AC25" s="102" t="str">
        <f t="shared" si="14"/>
        <v>--</v>
      </c>
      <c r="AD25" s="98" t="s">
        <v>235</v>
      </c>
      <c r="AE25" s="98" t="s">
        <v>236</v>
      </c>
      <c r="AF25" s="102" t="s">
        <v>280</v>
      </c>
      <c r="AG25" s="98" t="s">
        <v>281</v>
      </c>
      <c r="AH25" s="98" t="str">
        <f t="shared" si="15"/>
        <v>USER</v>
      </c>
      <c r="AI25" s="102" t="s">
        <v>284</v>
      </c>
      <c r="AJ25" s="191" t="s">
        <v>285</v>
      </c>
      <c r="AK25" s="102"/>
      <c r="AL25" s="102"/>
      <c r="AM25" s="102"/>
      <c r="AN25" s="76" t="s">
        <v>244</v>
      </c>
      <c r="AO25" s="76"/>
      <c r="AP25" s="102"/>
      <c r="AQ25" s="76" t="s">
        <v>31</v>
      </c>
      <c r="AR25" s="169"/>
      <c r="AS25" s="100"/>
      <c r="AT25" s="100"/>
      <c r="AU25" s="330" t="s">
        <v>245</v>
      </c>
      <c r="AV25" s="201"/>
      <c r="AW25" s="201"/>
      <c r="AX25" s="201"/>
      <c r="AY25" s="201"/>
      <c r="AZ25" s="201"/>
      <c r="BA25" s="201"/>
      <c r="BB25" s="201"/>
      <c r="BC25" s="201"/>
      <c r="BD25" s="201"/>
      <c r="BE25" s="201"/>
      <c r="BF25" s="201"/>
      <c r="BG25" s="201"/>
      <c r="BH25" s="201"/>
      <c r="BI25" s="201"/>
      <c r="BJ25" s="201"/>
      <c r="BK25" s="201"/>
      <c r="BL25" s="201"/>
      <c r="BM25" s="201"/>
      <c r="BN25" s="201"/>
      <c r="BO25" s="201"/>
      <c r="BP25" s="201"/>
      <c r="BQ25" s="201"/>
      <c r="BR25" s="201"/>
      <c r="BS25" s="201"/>
      <c r="BT25" s="201"/>
      <c r="BU25" s="201"/>
      <c r="BV25" s="201"/>
      <c r="BW25" s="201"/>
      <c r="BX25" s="201"/>
      <c r="BY25" s="201"/>
      <c r="BZ25" s="201"/>
      <c r="CA25" s="201"/>
      <c r="CB25" s="201"/>
      <c r="CC25" s="201"/>
      <c r="CD25" s="98" t="str">
        <f t="shared" si="16"/>
        <v/>
      </c>
    </row>
    <row r="26" s="123" customFormat="1" ht="21" customHeight="1" spans="1:82">
      <c r="A26" s="164">
        <v>24</v>
      </c>
      <c r="B26" s="164" t="str">
        <f t="shared" si="17"/>
        <v>3AEKC003AR201DICH01</v>
      </c>
      <c r="C26" s="165"/>
      <c r="D26" s="166" t="str">
        <f t="shared" si="20"/>
        <v>R3AEKC003AR201DICH01</v>
      </c>
      <c r="E26" s="170" t="s">
        <v>233</v>
      </c>
      <c r="F26" s="166" t="s">
        <v>234</v>
      </c>
      <c r="G26" s="168"/>
      <c r="H26" s="328" t="s">
        <v>124</v>
      </c>
      <c r="I26" s="181" t="str">
        <f t="shared" si="3"/>
        <v>DI211</v>
      </c>
      <c r="J26" s="181" t="str">
        <f t="shared" si="4"/>
        <v>201DI</v>
      </c>
      <c r="K26" s="166" t="str">
        <f t="shared" si="5"/>
        <v>3AEKC003AR201DI</v>
      </c>
      <c r="L26" s="168">
        <v>2</v>
      </c>
      <c r="M26" s="168">
        <v>1</v>
      </c>
      <c r="N26" s="168">
        <v>1</v>
      </c>
      <c r="O26" s="182"/>
      <c r="P26" s="168"/>
      <c r="Q26" s="181"/>
      <c r="R26" s="181"/>
      <c r="S26" s="181">
        <f t="shared" si="6"/>
        <v>11</v>
      </c>
      <c r="T26" s="181" t="str">
        <f t="shared" si="21"/>
        <v>TB222</v>
      </c>
      <c r="U26" s="181" t="str">
        <f t="shared" si="8"/>
        <v>201BN</v>
      </c>
      <c r="V26" s="181" t="str">
        <f t="shared" si="9"/>
        <v>1A</v>
      </c>
      <c r="W26" s="181" t="str">
        <f t="shared" si="10"/>
        <v>1B</v>
      </c>
      <c r="X26" s="181" t="str">
        <f t="shared" si="11"/>
        <v>--</v>
      </c>
      <c r="Y26" s="181" t="str">
        <f t="shared" si="19"/>
        <v>--</v>
      </c>
      <c r="Z26" s="181"/>
      <c r="AA26" s="166" t="str">
        <f t="shared" si="12"/>
        <v>--</v>
      </c>
      <c r="AB26" s="168" t="str">
        <f t="shared" si="13"/>
        <v>--</v>
      </c>
      <c r="AC26" s="168" t="str">
        <f t="shared" si="14"/>
        <v>--</v>
      </c>
      <c r="AD26" s="181" t="s">
        <v>235</v>
      </c>
      <c r="AE26" s="181" t="s">
        <v>236</v>
      </c>
      <c r="AF26" s="168" t="s">
        <v>286</v>
      </c>
      <c r="AG26" s="181" t="s">
        <v>287</v>
      </c>
      <c r="AH26" s="181" t="str">
        <f t="shared" si="15"/>
        <v>DCS</v>
      </c>
      <c r="AI26" s="168" t="s">
        <v>288</v>
      </c>
      <c r="AJ26" s="189" t="s">
        <v>289</v>
      </c>
      <c r="AK26" s="168"/>
      <c r="AL26" s="168"/>
      <c r="AM26" s="168"/>
      <c r="AN26" s="190" t="s">
        <v>244</v>
      </c>
      <c r="AO26" s="190"/>
      <c r="AP26" s="168"/>
      <c r="AQ26" s="190" t="s">
        <v>31</v>
      </c>
      <c r="AR26" s="170"/>
      <c r="AS26" s="166"/>
      <c r="AT26" s="166"/>
      <c r="AU26" s="328" t="s">
        <v>245</v>
      </c>
      <c r="AV26" s="200"/>
      <c r="AW26" s="200"/>
      <c r="AX26" s="200"/>
      <c r="AY26" s="200"/>
      <c r="AZ26" s="200"/>
      <c r="BA26" s="200"/>
      <c r="BB26" s="200"/>
      <c r="BC26" s="200"/>
      <c r="BD26" s="200"/>
      <c r="BE26" s="200"/>
      <c r="BF26" s="200"/>
      <c r="BG26" s="200"/>
      <c r="BH26" s="200"/>
      <c r="BI26" s="200"/>
      <c r="BJ26" s="200"/>
      <c r="BK26" s="200"/>
      <c r="BL26" s="200"/>
      <c r="BM26" s="200"/>
      <c r="BN26" s="200"/>
      <c r="BO26" s="200"/>
      <c r="BP26" s="200"/>
      <c r="BQ26" s="200"/>
      <c r="BR26" s="200"/>
      <c r="BS26" s="200"/>
      <c r="BT26" s="200"/>
      <c r="BU26" s="200"/>
      <c r="BV26" s="200"/>
      <c r="BW26" s="200"/>
      <c r="BX26" s="200"/>
      <c r="BY26" s="200"/>
      <c r="BZ26" s="200"/>
      <c r="CA26" s="200"/>
      <c r="CB26" s="200"/>
      <c r="CC26" s="200"/>
      <c r="CD26" s="181" t="str">
        <f t="shared" si="16"/>
        <v/>
      </c>
    </row>
    <row r="27" s="123" customFormat="1" ht="21" customHeight="1" spans="1:82">
      <c r="A27" s="93">
        <v>25</v>
      </c>
      <c r="B27" s="93" t="str">
        <f t="shared" si="17"/>
        <v>3AEKC003AR201DICH02</v>
      </c>
      <c r="C27" s="96"/>
      <c r="D27" s="100" t="str">
        <f t="shared" si="20"/>
        <v>R3AEKC003AR201DICH02</v>
      </c>
      <c r="E27" s="169" t="s">
        <v>233</v>
      </c>
      <c r="F27" s="100" t="s">
        <v>234</v>
      </c>
      <c r="G27" s="102"/>
      <c r="H27" s="330" t="s">
        <v>124</v>
      </c>
      <c r="I27" s="98" t="str">
        <f t="shared" si="3"/>
        <v>DI211</v>
      </c>
      <c r="J27" s="98" t="str">
        <f t="shared" si="4"/>
        <v>201DI</v>
      </c>
      <c r="K27" s="100" t="str">
        <f t="shared" si="5"/>
        <v>3AEKC003AR201DI</v>
      </c>
      <c r="L27" s="102">
        <v>2</v>
      </c>
      <c r="M27" s="102">
        <v>1</v>
      </c>
      <c r="N27" s="102">
        <v>2</v>
      </c>
      <c r="O27" s="183"/>
      <c r="P27" s="102"/>
      <c r="Q27" s="98"/>
      <c r="R27" s="98"/>
      <c r="S27" s="98">
        <f t="shared" si="6"/>
        <v>11</v>
      </c>
      <c r="T27" s="98" t="str">
        <f t="shared" si="21"/>
        <v>TB222</v>
      </c>
      <c r="U27" s="98" t="str">
        <f t="shared" si="8"/>
        <v>201BN</v>
      </c>
      <c r="V27" s="98" t="str">
        <f t="shared" si="9"/>
        <v>2A</v>
      </c>
      <c r="W27" s="98" t="str">
        <f t="shared" si="10"/>
        <v>2B</v>
      </c>
      <c r="X27" s="98" t="str">
        <f t="shared" si="11"/>
        <v>--</v>
      </c>
      <c r="Y27" s="98" t="str">
        <f t="shared" si="19"/>
        <v>--</v>
      </c>
      <c r="Z27" s="98"/>
      <c r="AA27" s="100" t="str">
        <f t="shared" si="12"/>
        <v>--</v>
      </c>
      <c r="AB27" s="102" t="str">
        <f t="shared" si="13"/>
        <v>--</v>
      </c>
      <c r="AC27" s="102" t="str">
        <f t="shared" si="14"/>
        <v>--</v>
      </c>
      <c r="AD27" s="98" t="s">
        <v>235</v>
      </c>
      <c r="AE27" s="98" t="s">
        <v>236</v>
      </c>
      <c r="AF27" s="102" t="s">
        <v>286</v>
      </c>
      <c r="AG27" s="98" t="s">
        <v>287</v>
      </c>
      <c r="AH27" s="98" t="str">
        <f t="shared" si="15"/>
        <v>DCS(提供24VDC)</v>
      </c>
      <c r="AI27" s="102" t="s">
        <v>290</v>
      </c>
      <c r="AJ27" s="191" t="s">
        <v>291</v>
      </c>
      <c r="AK27" s="102"/>
      <c r="AL27" s="102"/>
      <c r="AM27" s="102"/>
      <c r="AN27" s="76" t="s">
        <v>244</v>
      </c>
      <c r="AO27" s="76"/>
      <c r="AP27" s="102"/>
      <c r="AQ27" s="76" t="s">
        <v>31</v>
      </c>
      <c r="AR27" s="169"/>
      <c r="AS27" s="100"/>
      <c r="AT27" s="100"/>
      <c r="AU27" s="330" t="s">
        <v>245</v>
      </c>
      <c r="AV27" s="201"/>
      <c r="AW27" s="201"/>
      <c r="AX27" s="201"/>
      <c r="AY27" s="201"/>
      <c r="AZ27" s="201"/>
      <c r="BA27" s="201"/>
      <c r="BB27" s="201"/>
      <c r="BC27" s="201"/>
      <c r="BD27" s="201"/>
      <c r="BE27" s="201"/>
      <c r="BF27" s="201"/>
      <c r="BG27" s="201"/>
      <c r="BH27" s="201"/>
      <c r="BI27" s="201"/>
      <c r="BJ27" s="201"/>
      <c r="BK27" s="201"/>
      <c r="BL27" s="201"/>
      <c r="BM27" s="201"/>
      <c r="BN27" s="201"/>
      <c r="BO27" s="201"/>
      <c r="BP27" s="201"/>
      <c r="BQ27" s="201"/>
      <c r="BR27" s="201"/>
      <c r="BS27" s="201"/>
      <c r="BT27" s="201"/>
      <c r="BU27" s="201"/>
      <c r="BV27" s="201"/>
      <c r="BW27" s="201"/>
      <c r="BX27" s="201"/>
      <c r="BY27" s="201"/>
      <c r="BZ27" s="201"/>
      <c r="CA27" s="201"/>
      <c r="CB27" s="201"/>
      <c r="CC27" s="201"/>
      <c r="CD27" s="98" t="str">
        <f t="shared" si="16"/>
        <v/>
      </c>
    </row>
    <row r="28" s="123" customFormat="1" ht="21" customHeight="1" spans="1:82">
      <c r="A28" s="93">
        <v>26</v>
      </c>
      <c r="B28" s="93" t="str">
        <f t="shared" si="17"/>
        <v>3AEKC003AR201DICH03</v>
      </c>
      <c r="C28" s="96"/>
      <c r="D28" s="100" t="str">
        <f t="shared" si="20"/>
        <v>R3AEKC003AR201DICH03</v>
      </c>
      <c r="E28" s="169" t="s">
        <v>233</v>
      </c>
      <c r="F28" s="100" t="s">
        <v>234</v>
      </c>
      <c r="G28" s="102"/>
      <c r="H28" s="330" t="s">
        <v>124</v>
      </c>
      <c r="I28" s="98" t="str">
        <f t="shared" si="3"/>
        <v>DI211</v>
      </c>
      <c r="J28" s="98" t="str">
        <f t="shared" si="4"/>
        <v>201DI</v>
      </c>
      <c r="K28" s="100" t="str">
        <f t="shared" si="5"/>
        <v>3AEKC003AR201DI</v>
      </c>
      <c r="L28" s="102">
        <v>2</v>
      </c>
      <c r="M28" s="102">
        <v>1</v>
      </c>
      <c r="N28" s="102">
        <v>3</v>
      </c>
      <c r="O28" s="183"/>
      <c r="P28" s="102"/>
      <c r="Q28" s="98"/>
      <c r="R28" s="98"/>
      <c r="S28" s="98">
        <f t="shared" si="6"/>
        <v>11</v>
      </c>
      <c r="T28" s="98" t="str">
        <f t="shared" si="21"/>
        <v>TB222</v>
      </c>
      <c r="U28" s="98" t="str">
        <f t="shared" si="8"/>
        <v>201BN</v>
      </c>
      <c r="V28" s="98" t="str">
        <f t="shared" si="9"/>
        <v>3A</v>
      </c>
      <c r="W28" s="98" t="str">
        <f t="shared" si="10"/>
        <v>3B</v>
      </c>
      <c r="X28" s="98" t="str">
        <f t="shared" si="11"/>
        <v>--</v>
      </c>
      <c r="Y28" s="98" t="str">
        <f t="shared" si="19"/>
        <v>--</v>
      </c>
      <c r="Z28" s="98"/>
      <c r="AA28" s="100" t="str">
        <f t="shared" si="12"/>
        <v>--</v>
      </c>
      <c r="AB28" s="102" t="str">
        <f t="shared" si="13"/>
        <v>--</v>
      </c>
      <c r="AC28" s="102" t="str">
        <f t="shared" si="14"/>
        <v>--</v>
      </c>
      <c r="AD28" s="98" t="s">
        <v>235</v>
      </c>
      <c r="AE28" s="98" t="s">
        <v>236</v>
      </c>
      <c r="AF28" s="102" t="s">
        <v>286</v>
      </c>
      <c r="AG28" s="98" t="s">
        <v>287</v>
      </c>
      <c r="AH28" s="98" t="str">
        <f t="shared" si="15"/>
        <v>DCS(提供220VAC)</v>
      </c>
      <c r="AI28" s="102" t="s">
        <v>292</v>
      </c>
      <c r="AJ28" s="191" t="s">
        <v>293</v>
      </c>
      <c r="AK28" s="102"/>
      <c r="AL28" s="102"/>
      <c r="AM28" s="102"/>
      <c r="AN28" s="76" t="s">
        <v>244</v>
      </c>
      <c r="AO28" s="76"/>
      <c r="AP28" s="102"/>
      <c r="AQ28" s="76" t="s">
        <v>31</v>
      </c>
      <c r="AR28" s="169"/>
      <c r="AS28" s="100"/>
      <c r="AT28" s="100"/>
      <c r="AU28" s="330" t="s">
        <v>245</v>
      </c>
      <c r="AV28" s="201"/>
      <c r="AW28" s="201"/>
      <c r="AX28" s="201"/>
      <c r="AY28" s="201"/>
      <c r="AZ28" s="201"/>
      <c r="BA28" s="201"/>
      <c r="BB28" s="201"/>
      <c r="BC28" s="201"/>
      <c r="BD28" s="201"/>
      <c r="BE28" s="201"/>
      <c r="BF28" s="201"/>
      <c r="BG28" s="201"/>
      <c r="BH28" s="201"/>
      <c r="BI28" s="201"/>
      <c r="BJ28" s="201"/>
      <c r="BK28" s="201"/>
      <c r="BL28" s="201"/>
      <c r="BM28" s="201"/>
      <c r="BN28" s="201"/>
      <c r="BO28" s="201"/>
      <c r="BP28" s="201"/>
      <c r="BQ28" s="201"/>
      <c r="BR28" s="201"/>
      <c r="BS28" s="201"/>
      <c r="BT28" s="201"/>
      <c r="BU28" s="201"/>
      <c r="BV28" s="201"/>
      <c r="BW28" s="201"/>
      <c r="BX28" s="201"/>
      <c r="BY28" s="201"/>
      <c r="BZ28" s="201"/>
      <c r="CA28" s="201"/>
      <c r="CB28" s="201"/>
      <c r="CC28" s="201"/>
      <c r="CD28" s="98" t="str">
        <f t="shared" si="16"/>
        <v/>
      </c>
    </row>
    <row r="29" s="123" customFormat="1" ht="21" customHeight="1" spans="1:82">
      <c r="A29" s="93">
        <v>27</v>
      </c>
      <c r="B29" s="93" t="str">
        <f t="shared" si="17"/>
        <v>3AEKC003AR201DICH04</v>
      </c>
      <c r="C29" s="96"/>
      <c r="D29" s="100" t="str">
        <f t="shared" si="20"/>
        <v>R3AEKC003AR201DICH04</v>
      </c>
      <c r="E29" s="169" t="s">
        <v>233</v>
      </c>
      <c r="F29" s="100" t="s">
        <v>234</v>
      </c>
      <c r="G29" s="102"/>
      <c r="H29" s="330" t="s">
        <v>124</v>
      </c>
      <c r="I29" s="98" t="str">
        <f t="shared" si="3"/>
        <v>DI211</v>
      </c>
      <c r="J29" s="98" t="str">
        <f t="shared" si="4"/>
        <v>201DI</v>
      </c>
      <c r="K29" s="100" t="str">
        <f t="shared" si="5"/>
        <v>3AEKC003AR201DI</v>
      </c>
      <c r="L29" s="102">
        <v>2</v>
      </c>
      <c r="M29" s="102">
        <v>1</v>
      </c>
      <c r="N29" s="102">
        <v>4</v>
      </c>
      <c r="O29" s="183"/>
      <c r="P29" s="102"/>
      <c r="Q29" s="98"/>
      <c r="R29" s="98"/>
      <c r="S29" s="98">
        <f t="shared" si="6"/>
        <v>11</v>
      </c>
      <c r="T29" s="98" t="str">
        <f t="shared" si="21"/>
        <v>TB222</v>
      </c>
      <c r="U29" s="98" t="str">
        <f t="shared" si="8"/>
        <v>201BN</v>
      </c>
      <c r="V29" s="98" t="str">
        <f t="shared" si="9"/>
        <v>4A</v>
      </c>
      <c r="W29" s="98" t="str">
        <f t="shared" si="10"/>
        <v>4B</v>
      </c>
      <c r="X29" s="98" t="str">
        <f t="shared" si="11"/>
        <v>--</v>
      </c>
      <c r="Y29" s="98" t="str">
        <f t="shared" si="19"/>
        <v>--</v>
      </c>
      <c r="Z29" s="98"/>
      <c r="AA29" s="100" t="str">
        <f t="shared" si="12"/>
        <v>--</v>
      </c>
      <c r="AB29" s="102" t="str">
        <f t="shared" si="13"/>
        <v>--</v>
      </c>
      <c r="AC29" s="102" t="str">
        <f t="shared" si="14"/>
        <v>--</v>
      </c>
      <c r="AD29" s="98" t="s">
        <v>235</v>
      </c>
      <c r="AE29" s="98" t="s">
        <v>236</v>
      </c>
      <c r="AF29" s="102" t="s">
        <v>286</v>
      </c>
      <c r="AG29" s="194" t="s">
        <v>294</v>
      </c>
      <c r="AH29" s="98" t="str">
        <f t="shared" si="15"/>
        <v>USER</v>
      </c>
      <c r="AI29" s="102" t="s">
        <v>295</v>
      </c>
      <c r="AJ29" s="191" t="s">
        <v>296</v>
      </c>
      <c r="AK29" s="102"/>
      <c r="AL29" s="102"/>
      <c r="AM29" s="102"/>
      <c r="AN29" s="76" t="s">
        <v>244</v>
      </c>
      <c r="AO29" s="76"/>
      <c r="AP29" s="102"/>
      <c r="AQ29" s="76" t="s">
        <v>31</v>
      </c>
      <c r="AR29" s="169"/>
      <c r="AS29" s="100"/>
      <c r="AT29" s="100"/>
      <c r="AU29" s="330" t="s">
        <v>245</v>
      </c>
      <c r="AV29" s="201"/>
      <c r="AW29" s="201"/>
      <c r="AX29" s="201"/>
      <c r="AY29" s="201"/>
      <c r="AZ29" s="201"/>
      <c r="BA29" s="201"/>
      <c r="BB29" s="201"/>
      <c r="BC29" s="201"/>
      <c r="BD29" s="201"/>
      <c r="BE29" s="201"/>
      <c r="BF29" s="201"/>
      <c r="BG29" s="201"/>
      <c r="BH29" s="201"/>
      <c r="BI29" s="201"/>
      <c r="BJ29" s="201"/>
      <c r="BK29" s="201"/>
      <c r="BL29" s="201"/>
      <c r="BM29" s="201"/>
      <c r="BN29" s="201"/>
      <c r="BO29" s="201"/>
      <c r="BP29" s="201"/>
      <c r="BQ29" s="201"/>
      <c r="BR29" s="201"/>
      <c r="BS29" s="201"/>
      <c r="BT29" s="201"/>
      <c r="BU29" s="201"/>
      <c r="BV29" s="201"/>
      <c r="BW29" s="201"/>
      <c r="BX29" s="201"/>
      <c r="BY29" s="201"/>
      <c r="BZ29" s="201"/>
      <c r="CA29" s="201"/>
      <c r="CB29" s="201"/>
      <c r="CC29" s="201"/>
      <c r="CD29" s="98" t="str">
        <f t="shared" si="16"/>
        <v/>
      </c>
    </row>
    <row r="30" s="123" customFormat="1" ht="21" customHeight="1" spans="1:82">
      <c r="A30" s="93">
        <v>28</v>
      </c>
      <c r="B30" s="93" t="str">
        <f t="shared" si="17"/>
        <v>3AEKC003AR201DICH05</v>
      </c>
      <c r="C30" s="96"/>
      <c r="D30" s="100" t="str">
        <f t="shared" si="20"/>
        <v>R3AEKC003AR201DICH05</v>
      </c>
      <c r="E30" s="169" t="s">
        <v>233</v>
      </c>
      <c r="F30" s="100" t="s">
        <v>234</v>
      </c>
      <c r="G30" s="102"/>
      <c r="H30" s="330" t="s">
        <v>124</v>
      </c>
      <c r="I30" s="98" t="str">
        <f t="shared" si="3"/>
        <v>DI211</v>
      </c>
      <c r="J30" s="98" t="str">
        <f t="shared" si="4"/>
        <v>201DI</v>
      </c>
      <c r="K30" s="100" t="str">
        <f t="shared" si="5"/>
        <v>3AEKC003AR201DI</v>
      </c>
      <c r="L30" s="102">
        <v>2</v>
      </c>
      <c r="M30" s="102">
        <v>1</v>
      </c>
      <c r="N30" s="102">
        <v>5</v>
      </c>
      <c r="O30" s="183"/>
      <c r="P30" s="102"/>
      <c r="Q30" s="98"/>
      <c r="R30" s="98"/>
      <c r="S30" s="98">
        <f t="shared" si="6"/>
        <v>11</v>
      </c>
      <c r="T30" s="98" t="str">
        <f t="shared" si="21"/>
        <v>TB222</v>
      </c>
      <c r="U30" s="98" t="str">
        <f t="shared" si="8"/>
        <v>201BN</v>
      </c>
      <c r="V30" s="98" t="str">
        <f t="shared" si="9"/>
        <v>5A</v>
      </c>
      <c r="W30" s="98" t="str">
        <f t="shared" si="10"/>
        <v>5B</v>
      </c>
      <c r="X30" s="98" t="str">
        <f t="shared" si="11"/>
        <v>--</v>
      </c>
      <c r="Y30" s="98" t="str">
        <f t="shared" si="19"/>
        <v>--</v>
      </c>
      <c r="Z30" s="98"/>
      <c r="AA30" s="100" t="str">
        <f t="shared" si="12"/>
        <v>--</v>
      </c>
      <c r="AB30" s="102" t="str">
        <f t="shared" si="13"/>
        <v>--</v>
      </c>
      <c r="AC30" s="102" t="str">
        <f t="shared" si="14"/>
        <v>--</v>
      </c>
      <c r="AD30" s="98" t="s">
        <v>235</v>
      </c>
      <c r="AE30" s="98" t="s">
        <v>236</v>
      </c>
      <c r="AF30" s="102" t="s">
        <v>286</v>
      </c>
      <c r="AG30" s="194" t="s">
        <v>294</v>
      </c>
      <c r="AH30" s="98" t="str">
        <f t="shared" si="15"/>
        <v>USER</v>
      </c>
      <c r="AI30" s="102" t="s">
        <v>297</v>
      </c>
      <c r="AJ30" s="191" t="s">
        <v>298</v>
      </c>
      <c r="AK30" s="102"/>
      <c r="AL30" s="102"/>
      <c r="AM30" s="102"/>
      <c r="AN30" s="76" t="s">
        <v>244</v>
      </c>
      <c r="AO30" s="76"/>
      <c r="AP30" s="102"/>
      <c r="AQ30" s="76" t="s">
        <v>31</v>
      </c>
      <c r="AR30" s="169"/>
      <c r="AS30" s="100"/>
      <c r="AT30" s="100"/>
      <c r="AU30" s="330" t="s">
        <v>245</v>
      </c>
      <c r="AV30" s="201"/>
      <c r="AW30" s="201"/>
      <c r="AX30" s="201"/>
      <c r="AY30" s="201"/>
      <c r="AZ30" s="201"/>
      <c r="BA30" s="201"/>
      <c r="BB30" s="201"/>
      <c r="BC30" s="201"/>
      <c r="BD30" s="201"/>
      <c r="BE30" s="201"/>
      <c r="BF30" s="201"/>
      <c r="BG30" s="201"/>
      <c r="BH30" s="201"/>
      <c r="BI30" s="201"/>
      <c r="BJ30" s="201"/>
      <c r="BK30" s="201"/>
      <c r="BL30" s="201"/>
      <c r="BM30" s="201"/>
      <c r="BN30" s="201"/>
      <c r="BO30" s="201"/>
      <c r="BP30" s="201"/>
      <c r="BQ30" s="201"/>
      <c r="BR30" s="201"/>
      <c r="BS30" s="201"/>
      <c r="BT30" s="201"/>
      <c r="BU30" s="201"/>
      <c r="BV30" s="201"/>
      <c r="BW30" s="201"/>
      <c r="BX30" s="201"/>
      <c r="BY30" s="201"/>
      <c r="BZ30" s="201"/>
      <c r="CA30" s="201"/>
      <c r="CB30" s="201"/>
      <c r="CC30" s="201"/>
      <c r="CD30" s="98" t="str">
        <f t="shared" si="16"/>
        <v/>
      </c>
    </row>
    <row r="31" s="123" customFormat="1" ht="21" customHeight="1" spans="1:82">
      <c r="A31" s="93">
        <v>29</v>
      </c>
      <c r="B31" s="93" t="str">
        <f t="shared" si="17"/>
        <v>3AEKC003AR201DICH06</v>
      </c>
      <c r="C31" s="96"/>
      <c r="D31" s="100" t="str">
        <f t="shared" si="20"/>
        <v>R3AEKC003AR201DICH06</v>
      </c>
      <c r="E31" s="169" t="s">
        <v>233</v>
      </c>
      <c r="F31" s="100" t="s">
        <v>234</v>
      </c>
      <c r="G31" s="102"/>
      <c r="H31" s="330" t="s">
        <v>124</v>
      </c>
      <c r="I31" s="98" t="str">
        <f t="shared" si="3"/>
        <v>DI211</v>
      </c>
      <c r="J31" s="98" t="str">
        <f t="shared" si="4"/>
        <v>201DI</v>
      </c>
      <c r="K31" s="100" t="str">
        <f t="shared" si="5"/>
        <v>3AEKC003AR201DI</v>
      </c>
      <c r="L31" s="102">
        <v>2</v>
      </c>
      <c r="M31" s="102">
        <v>1</v>
      </c>
      <c r="N31" s="102">
        <v>6</v>
      </c>
      <c r="O31" s="183"/>
      <c r="P31" s="102"/>
      <c r="Q31" s="98"/>
      <c r="R31" s="98"/>
      <c r="S31" s="98">
        <f t="shared" si="6"/>
        <v>11</v>
      </c>
      <c r="T31" s="98" t="str">
        <f t="shared" si="21"/>
        <v>TB222</v>
      </c>
      <c r="U31" s="98" t="str">
        <f t="shared" si="8"/>
        <v>201BN</v>
      </c>
      <c r="V31" s="98" t="str">
        <f t="shared" si="9"/>
        <v>6A</v>
      </c>
      <c r="W31" s="98" t="str">
        <f t="shared" si="10"/>
        <v>6B</v>
      </c>
      <c r="X31" s="98" t="str">
        <f t="shared" si="11"/>
        <v>--</v>
      </c>
      <c r="Y31" s="98" t="str">
        <f t="shared" si="19"/>
        <v>--</v>
      </c>
      <c r="Z31" s="98"/>
      <c r="AA31" s="100" t="str">
        <f t="shared" si="12"/>
        <v>--</v>
      </c>
      <c r="AB31" s="102" t="str">
        <f t="shared" si="13"/>
        <v>--</v>
      </c>
      <c r="AC31" s="102" t="str">
        <f t="shared" si="14"/>
        <v>--</v>
      </c>
      <c r="AD31" s="98" t="s">
        <v>235</v>
      </c>
      <c r="AE31" s="98" t="s">
        <v>236</v>
      </c>
      <c r="AF31" s="102" t="s">
        <v>286</v>
      </c>
      <c r="AG31" s="98" t="s">
        <v>287</v>
      </c>
      <c r="AH31" s="98" t="str">
        <f t="shared" si="15"/>
        <v>DCS(提供24VDC)</v>
      </c>
      <c r="AI31" s="102" t="s">
        <v>299</v>
      </c>
      <c r="AJ31" s="191" t="s">
        <v>300</v>
      </c>
      <c r="AK31" s="102"/>
      <c r="AL31" s="102"/>
      <c r="AM31" s="102"/>
      <c r="AN31" s="76" t="s">
        <v>244</v>
      </c>
      <c r="AO31" s="76"/>
      <c r="AP31" s="102"/>
      <c r="AQ31" s="76" t="s">
        <v>31</v>
      </c>
      <c r="AR31" s="169"/>
      <c r="AS31" s="100"/>
      <c r="AT31" s="100"/>
      <c r="AU31" s="330" t="s">
        <v>245</v>
      </c>
      <c r="AV31" s="201"/>
      <c r="AW31" s="201"/>
      <c r="AX31" s="201"/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201"/>
      <c r="BY31" s="201"/>
      <c r="BZ31" s="201"/>
      <c r="CA31" s="201"/>
      <c r="CB31" s="201"/>
      <c r="CC31" s="201"/>
      <c r="CD31" s="98" t="str">
        <f t="shared" si="16"/>
        <v/>
      </c>
    </row>
    <row r="32" s="123" customFormat="1" ht="21" customHeight="1" spans="1:82">
      <c r="A32" s="164">
        <v>30</v>
      </c>
      <c r="B32" s="164" t="str">
        <f t="shared" si="17"/>
        <v>3AEKC003AR202DICH01</v>
      </c>
      <c r="C32" s="165"/>
      <c r="D32" s="166" t="str">
        <f t="shared" si="20"/>
        <v>R3AEKC003AR202DICH01</v>
      </c>
      <c r="E32" s="170" t="s">
        <v>233</v>
      </c>
      <c r="F32" s="166" t="s">
        <v>234</v>
      </c>
      <c r="G32" s="168"/>
      <c r="H32" s="328" t="s">
        <v>124</v>
      </c>
      <c r="I32" s="181" t="str">
        <f t="shared" si="3"/>
        <v>DI211</v>
      </c>
      <c r="J32" s="181" t="str">
        <f t="shared" si="4"/>
        <v>202DI</v>
      </c>
      <c r="K32" s="166" t="str">
        <f t="shared" si="5"/>
        <v>3AEKC003AR202DI</v>
      </c>
      <c r="L32" s="168">
        <v>2</v>
      </c>
      <c r="M32" s="168">
        <v>2</v>
      </c>
      <c r="N32" s="168">
        <v>1</v>
      </c>
      <c r="O32" s="182"/>
      <c r="P32" s="168"/>
      <c r="Q32" s="181"/>
      <c r="R32" s="181"/>
      <c r="S32" s="181">
        <f t="shared" si="6"/>
        <v>12</v>
      </c>
      <c r="T32" s="181" t="str">
        <f t="shared" si="21"/>
        <v>TB221</v>
      </c>
      <c r="U32" s="181" t="str">
        <f t="shared" si="8"/>
        <v>202BN</v>
      </c>
      <c r="V32" s="181" t="str">
        <f t="shared" si="9"/>
        <v>1A</v>
      </c>
      <c r="W32" s="181" t="str">
        <f t="shared" si="10"/>
        <v>1B</v>
      </c>
      <c r="X32" s="181" t="str">
        <f t="shared" si="11"/>
        <v>--</v>
      </c>
      <c r="Y32" s="181" t="str">
        <f t="shared" si="19"/>
        <v>--</v>
      </c>
      <c r="Z32" s="181"/>
      <c r="AA32" s="166" t="str">
        <f t="shared" si="12"/>
        <v>--</v>
      </c>
      <c r="AB32" s="168" t="str">
        <f t="shared" si="13"/>
        <v>--</v>
      </c>
      <c r="AC32" s="168" t="str">
        <f t="shared" si="14"/>
        <v>--</v>
      </c>
      <c r="AD32" s="181" t="s">
        <v>235</v>
      </c>
      <c r="AE32" s="181" t="s">
        <v>236</v>
      </c>
      <c r="AF32" s="168" t="s">
        <v>286</v>
      </c>
      <c r="AG32" s="195" t="s">
        <v>294</v>
      </c>
      <c r="AH32" s="181" t="str">
        <f t="shared" si="15"/>
        <v>USER</v>
      </c>
      <c r="AI32" s="168" t="s">
        <v>295</v>
      </c>
      <c r="AJ32" s="189" t="s">
        <v>301</v>
      </c>
      <c r="AK32" s="168"/>
      <c r="AL32" s="168"/>
      <c r="AM32" s="168"/>
      <c r="AN32" s="190" t="s">
        <v>244</v>
      </c>
      <c r="AO32" s="190"/>
      <c r="AP32" s="168"/>
      <c r="AQ32" s="190" t="s">
        <v>31</v>
      </c>
      <c r="AR32" s="170"/>
      <c r="AS32" s="166"/>
      <c r="AT32" s="166"/>
      <c r="AU32" s="328" t="s">
        <v>245</v>
      </c>
      <c r="AV32" s="200"/>
      <c r="AW32" s="200"/>
      <c r="AX32" s="200"/>
      <c r="AY32" s="200"/>
      <c r="AZ32" s="200"/>
      <c r="BA32" s="200"/>
      <c r="BB32" s="200"/>
      <c r="BC32" s="200"/>
      <c r="BD32" s="200"/>
      <c r="BE32" s="200"/>
      <c r="BF32" s="200"/>
      <c r="BG32" s="200"/>
      <c r="BH32" s="200"/>
      <c r="BI32" s="200"/>
      <c r="BJ32" s="200"/>
      <c r="BK32" s="200"/>
      <c r="BL32" s="200"/>
      <c r="BM32" s="200"/>
      <c r="BN32" s="200"/>
      <c r="BO32" s="200"/>
      <c r="BP32" s="200"/>
      <c r="BQ32" s="200"/>
      <c r="BR32" s="200"/>
      <c r="BS32" s="200"/>
      <c r="BT32" s="200"/>
      <c r="BU32" s="200"/>
      <c r="BV32" s="200"/>
      <c r="BW32" s="200"/>
      <c r="BX32" s="200"/>
      <c r="BY32" s="200"/>
      <c r="BZ32" s="200"/>
      <c r="CA32" s="200"/>
      <c r="CB32" s="200"/>
      <c r="CC32" s="200"/>
      <c r="CD32" s="181" t="str">
        <f t="shared" si="16"/>
        <v/>
      </c>
    </row>
    <row r="33" s="123" customFormat="1" ht="21" customHeight="1" spans="1:82">
      <c r="A33" s="164">
        <v>31</v>
      </c>
      <c r="B33" s="164" t="str">
        <f t="shared" ref="B33:B42" si="22">K33&amp;"CH"&amp;IF(N33&lt;10,"0"&amp;N33,N33)</f>
        <v>3AEKC003AR203DOCH01</v>
      </c>
      <c r="C33" s="165"/>
      <c r="D33" s="166" t="str">
        <f t="shared" si="20"/>
        <v>R3AEKC003AR203DOCH01</v>
      </c>
      <c r="E33" s="170" t="s">
        <v>233</v>
      </c>
      <c r="F33" s="166" t="s">
        <v>234</v>
      </c>
      <c r="G33" s="168"/>
      <c r="H33" s="328" t="s">
        <v>124</v>
      </c>
      <c r="I33" s="181" t="str">
        <f t="shared" si="3"/>
        <v>DO211</v>
      </c>
      <c r="J33" s="181" t="str">
        <f t="shared" si="4"/>
        <v>203DO</v>
      </c>
      <c r="K33" s="166" t="str">
        <f t="shared" si="5"/>
        <v>3AEKC003AR203DO</v>
      </c>
      <c r="L33" s="168">
        <v>2</v>
      </c>
      <c r="M33" s="168">
        <v>3</v>
      </c>
      <c r="N33" s="168">
        <v>1</v>
      </c>
      <c r="O33" s="182"/>
      <c r="P33" s="168"/>
      <c r="Q33" s="181"/>
      <c r="R33" s="181"/>
      <c r="S33" s="181">
        <f t="shared" si="6"/>
        <v>13</v>
      </c>
      <c r="T33" s="181" t="str">
        <f t="shared" ref="T33:T42" si="23">IF(I33="DO211",CHOOSE(MID(AI33,3,LEN(AI33)-1),"TB233","TB233","TB231","TB231","TB231"),IF(AND(I33="DI211",AI33="DI4",IFERROR(SEARCH("继电器",AJ33),-1)&gt;0),"TB222",IF(I33="DI211",CHOOSE(MID(AI33,3,LEN(AI33)-1),"TB222","TB222","TB222","TB221","TB222","TB222"),IF(OR(I33="AI212",I33="AI216"),"TB241",IF(I33="AI221","TB242",IF(I33="AI232","TB246",IF(I33="AO211","TB251",IF(OR(I33="PI211",I33="AO215",I33="MD211"),"TB244",IF(I33="MD216","--",IF(I33="FF211","TB271",IF(I33="DP211","TB272",IF(I33="--","--","ERR"))))))))))))</f>
        <v>TB233</v>
      </c>
      <c r="U33" s="181" t="str">
        <f t="shared" si="8"/>
        <v>203BN</v>
      </c>
      <c r="V33" s="181" t="str">
        <f t="shared" si="9"/>
        <v>1B</v>
      </c>
      <c r="W33" s="181" t="str">
        <f t="shared" si="10"/>
        <v>1C</v>
      </c>
      <c r="X33" s="181" t="str">
        <f t="shared" si="11"/>
        <v>--</v>
      </c>
      <c r="Y33" s="181" t="str">
        <f t="shared" ref="Y33:Y72" si="24">IF(AI33="AI9",N33&amp;"D","--")</f>
        <v>--</v>
      </c>
      <c r="Z33" s="181"/>
      <c r="AA33" s="166" t="str">
        <f t="shared" si="12"/>
        <v>--</v>
      </c>
      <c r="AB33" s="168" t="str">
        <f t="shared" si="13"/>
        <v>--</v>
      </c>
      <c r="AC33" s="168" t="str">
        <f t="shared" si="14"/>
        <v>--</v>
      </c>
      <c r="AD33" s="181" t="s">
        <v>235</v>
      </c>
      <c r="AE33" s="181" t="s">
        <v>236</v>
      </c>
      <c r="AF33" s="168" t="s">
        <v>302</v>
      </c>
      <c r="AG33" s="196" t="s">
        <v>303</v>
      </c>
      <c r="AH33" s="181" t="str">
        <f t="shared" si="15"/>
        <v>DCS</v>
      </c>
      <c r="AI33" s="168" t="s">
        <v>304</v>
      </c>
      <c r="AJ33" s="189"/>
      <c r="AK33" s="168"/>
      <c r="AL33" s="168"/>
      <c r="AM33" s="168"/>
      <c r="AN33" s="190" t="s">
        <v>305</v>
      </c>
      <c r="AO33" s="190"/>
      <c r="AP33" s="168"/>
      <c r="AQ33" s="190" t="s">
        <v>31</v>
      </c>
      <c r="AR33" s="170"/>
      <c r="AS33" s="166"/>
      <c r="AT33" s="166"/>
      <c r="AU33" s="328" t="s">
        <v>245</v>
      </c>
      <c r="AV33" s="200"/>
      <c r="AW33" s="200"/>
      <c r="AX33" s="200"/>
      <c r="AY33" s="200"/>
      <c r="AZ33" s="200"/>
      <c r="BA33" s="200"/>
      <c r="BB33" s="200"/>
      <c r="BC33" s="200"/>
      <c r="BD33" s="200"/>
      <c r="BE33" s="200"/>
      <c r="BF33" s="200"/>
      <c r="BG33" s="200"/>
      <c r="BH33" s="200"/>
      <c r="BI33" s="200"/>
      <c r="BJ33" s="200"/>
      <c r="BK33" s="200"/>
      <c r="BL33" s="200"/>
      <c r="BM33" s="200"/>
      <c r="BN33" s="200"/>
      <c r="BO33" s="200"/>
      <c r="BP33" s="200"/>
      <c r="BQ33" s="200"/>
      <c r="BR33" s="200"/>
      <c r="BS33" s="200"/>
      <c r="BT33" s="200"/>
      <c r="BU33" s="200"/>
      <c r="BV33" s="200"/>
      <c r="BW33" s="200"/>
      <c r="BX33" s="200"/>
      <c r="BY33" s="200"/>
      <c r="BZ33" s="200"/>
      <c r="CA33" s="200"/>
      <c r="CB33" s="200"/>
      <c r="CC33" s="200"/>
      <c r="CD33" s="181" t="str">
        <f t="shared" si="16"/>
        <v/>
      </c>
    </row>
    <row r="34" s="123" customFormat="1" ht="21" customHeight="1" spans="1:82">
      <c r="A34" s="93">
        <v>32</v>
      </c>
      <c r="B34" s="93" t="str">
        <f t="shared" si="22"/>
        <v>3AEKC003AR203DOCH02</v>
      </c>
      <c r="C34" s="96"/>
      <c r="D34" s="100" t="str">
        <f t="shared" si="20"/>
        <v>R3AEKC003AR203DOCH02</v>
      </c>
      <c r="E34" s="169" t="s">
        <v>233</v>
      </c>
      <c r="F34" s="100" t="s">
        <v>234</v>
      </c>
      <c r="G34" s="102"/>
      <c r="H34" s="330" t="s">
        <v>124</v>
      </c>
      <c r="I34" s="98" t="str">
        <f t="shared" si="3"/>
        <v>DO211</v>
      </c>
      <c r="J34" s="98" t="str">
        <f t="shared" si="4"/>
        <v>203DO</v>
      </c>
      <c r="K34" s="100" t="str">
        <f t="shared" si="5"/>
        <v>3AEKC003AR203DO</v>
      </c>
      <c r="L34" s="102">
        <v>2</v>
      </c>
      <c r="M34" s="102">
        <v>3</v>
      </c>
      <c r="N34" s="102">
        <v>2</v>
      </c>
      <c r="O34" s="183"/>
      <c r="P34" s="102"/>
      <c r="Q34" s="98"/>
      <c r="R34" s="98"/>
      <c r="S34" s="98">
        <f t="shared" si="6"/>
        <v>13</v>
      </c>
      <c r="T34" s="98" t="str">
        <f t="shared" si="23"/>
        <v>TB233</v>
      </c>
      <c r="U34" s="98" t="str">
        <f t="shared" si="8"/>
        <v>203BN</v>
      </c>
      <c r="V34" s="98" t="str">
        <f t="shared" si="9"/>
        <v>2A</v>
      </c>
      <c r="W34" s="98" t="str">
        <f t="shared" si="10"/>
        <v>2C</v>
      </c>
      <c r="X34" s="98" t="str">
        <f t="shared" si="11"/>
        <v>--</v>
      </c>
      <c r="Y34" s="98" t="str">
        <f t="shared" si="24"/>
        <v>--</v>
      </c>
      <c r="Z34" s="98"/>
      <c r="AA34" s="100" t="str">
        <f t="shared" si="12"/>
        <v>--</v>
      </c>
      <c r="AB34" s="102" t="str">
        <f t="shared" si="13"/>
        <v>--</v>
      </c>
      <c r="AC34" s="102" t="str">
        <f t="shared" si="14"/>
        <v>--</v>
      </c>
      <c r="AD34" s="98" t="s">
        <v>235</v>
      </c>
      <c r="AE34" s="98" t="s">
        <v>236</v>
      </c>
      <c r="AF34" s="102" t="s">
        <v>302</v>
      </c>
      <c r="AG34" s="194" t="s">
        <v>306</v>
      </c>
      <c r="AH34" s="98" t="str">
        <f t="shared" si="15"/>
        <v>DCS</v>
      </c>
      <c r="AI34" s="102" t="s">
        <v>304</v>
      </c>
      <c r="AJ34" s="191"/>
      <c r="AK34" s="102"/>
      <c r="AL34" s="102"/>
      <c r="AM34" s="102"/>
      <c r="AN34" s="76" t="s">
        <v>307</v>
      </c>
      <c r="AO34" s="76"/>
      <c r="AP34" s="102"/>
      <c r="AQ34" s="76" t="s">
        <v>31</v>
      </c>
      <c r="AR34" s="169"/>
      <c r="AS34" s="100"/>
      <c r="AT34" s="100"/>
      <c r="AU34" s="330" t="s">
        <v>245</v>
      </c>
      <c r="AV34" s="201"/>
      <c r="AW34" s="201"/>
      <c r="AX34" s="201"/>
      <c r="AY34" s="201"/>
      <c r="AZ34" s="201"/>
      <c r="BA34" s="201"/>
      <c r="BB34" s="201"/>
      <c r="BC34" s="201"/>
      <c r="BD34" s="201"/>
      <c r="BE34" s="201"/>
      <c r="BF34" s="201"/>
      <c r="BG34" s="201"/>
      <c r="BH34" s="201"/>
      <c r="BI34" s="201"/>
      <c r="BJ34" s="201"/>
      <c r="BK34" s="201"/>
      <c r="BL34" s="201"/>
      <c r="BM34" s="201"/>
      <c r="BN34" s="201"/>
      <c r="BO34" s="201"/>
      <c r="BP34" s="201"/>
      <c r="BQ34" s="201"/>
      <c r="BR34" s="201"/>
      <c r="BS34" s="201"/>
      <c r="BT34" s="201"/>
      <c r="BU34" s="201"/>
      <c r="BV34" s="201"/>
      <c r="BW34" s="201"/>
      <c r="BX34" s="201"/>
      <c r="BY34" s="201"/>
      <c r="BZ34" s="201"/>
      <c r="CA34" s="201"/>
      <c r="CB34" s="201"/>
      <c r="CC34" s="201"/>
      <c r="CD34" s="98" t="str">
        <f t="shared" si="16"/>
        <v/>
      </c>
    </row>
    <row r="35" s="123" customFormat="1" ht="21" customHeight="1" spans="1:82">
      <c r="A35" s="93">
        <v>33</v>
      </c>
      <c r="B35" s="93" t="str">
        <f t="shared" si="22"/>
        <v>3AEKC003AR203DOCH03</v>
      </c>
      <c r="C35" s="96"/>
      <c r="D35" s="100" t="str">
        <f t="shared" si="20"/>
        <v>R3AEKC003AR203DOCH03</v>
      </c>
      <c r="E35" s="169" t="s">
        <v>233</v>
      </c>
      <c r="F35" s="100" t="s">
        <v>234</v>
      </c>
      <c r="G35" s="102"/>
      <c r="H35" s="330" t="s">
        <v>124</v>
      </c>
      <c r="I35" s="98" t="str">
        <f t="shared" si="3"/>
        <v>DO211</v>
      </c>
      <c r="J35" s="98" t="str">
        <f t="shared" si="4"/>
        <v>203DO</v>
      </c>
      <c r="K35" s="100" t="str">
        <f t="shared" si="5"/>
        <v>3AEKC003AR203DO</v>
      </c>
      <c r="L35" s="102">
        <v>2</v>
      </c>
      <c r="M35" s="102">
        <v>3</v>
      </c>
      <c r="N35" s="102">
        <v>3</v>
      </c>
      <c r="O35" s="183"/>
      <c r="P35" s="102"/>
      <c r="Q35" s="98"/>
      <c r="R35" s="98"/>
      <c r="S35" s="98">
        <f t="shared" si="6"/>
        <v>13</v>
      </c>
      <c r="T35" s="98" t="str">
        <f t="shared" si="23"/>
        <v>TB233</v>
      </c>
      <c r="U35" s="98" t="str">
        <f t="shared" si="8"/>
        <v>203BN</v>
      </c>
      <c r="V35" s="98" t="str">
        <f t="shared" si="9"/>
        <v>3B</v>
      </c>
      <c r="W35" s="98" t="str">
        <f t="shared" si="10"/>
        <v>3C</v>
      </c>
      <c r="X35" s="98" t="str">
        <f t="shared" si="11"/>
        <v>--</v>
      </c>
      <c r="Y35" s="98" t="str">
        <f t="shared" si="24"/>
        <v>--</v>
      </c>
      <c r="Z35" s="98"/>
      <c r="AA35" s="100" t="str">
        <f t="shared" si="12"/>
        <v>--</v>
      </c>
      <c r="AB35" s="102" t="str">
        <f t="shared" si="13"/>
        <v>--</v>
      </c>
      <c r="AC35" s="102" t="str">
        <f t="shared" si="14"/>
        <v>--</v>
      </c>
      <c r="AD35" s="98" t="s">
        <v>235</v>
      </c>
      <c r="AE35" s="98" t="s">
        <v>236</v>
      </c>
      <c r="AF35" s="102" t="s">
        <v>302</v>
      </c>
      <c r="AG35" s="109" t="s">
        <v>303</v>
      </c>
      <c r="AH35" s="98" t="str">
        <f t="shared" si="15"/>
        <v>DCS(提供24VDC)</v>
      </c>
      <c r="AI35" s="102" t="s">
        <v>308</v>
      </c>
      <c r="AJ35" s="191" t="s">
        <v>309</v>
      </c>
      <c r="AK35" s="102"/>
      <c r="AL35" s="102"/>
      <c r="AM35" s="102"/>
      <c r="AN35" s="76" t="s">
        <v>305</v>
      </c>
      <c r="AO35" s="76"/>
      <c r="AP35" s="102"/>
      <c r="AQ35" s="76" t="s">
        <v>31</v>
      </c>
      <c r="AR35" s="169" t="s">
        <v>310</v>
      </c>
      <c r="AS35" s="100"/>
      <c r="AT35" s="100"/>
      <c r="AU35" s="330" t="s">
        <v>245</v>
      </c>
      <c r="AV35" s="201"/>
      <c r="AW35" s="201"/>
      <c r="AX35" s="201"/>
      <c r="AY35" s="201"/>
      <c r="AZ35" s="201"/>
      <c r="BA35" s="201"/>
      <c r="BB35" s="201"/>
      <c r="BC35" s="201"/>
      <c r="BD35" s="201"/>
      <c r="BE35" s="201"/>
      <c r="BF35" s="201"/>
      <c r="BG35" s="201"/>
      <c r="BH35" s="201"/>
      <c r="BI35" s="201"/>
      <c r="BJ35" s="201"/>
      <c r="BK35" s="201"/>
      <c r="BL35" s="201"/>
      <c r="BM35" s="201"/>
      <c r="BN35" s="201"/>
      <c r="BO35" s="201"/>
      <c r="BP35" s="201"/>
      <c r="BQ35" s="201"/>
      <c r="BR35" s="201"/>
      <c r="BS35" s="201"/>
      <c r="BT35" s="201"/>
      <c r="BU35" s="201"/>
      <c r="BV35" s="201"/>
      <c r="BW35" s="201"/>
      <c r="BX35" s="201"/>
      <c r="BY35" s="201"/>
      <c r="BZ35" s="201"/>
      <c r="CA35" s="201"/>
      <c r="CB35" s="201"/>
      <c r="CC35" s="201"/>
      <c r="CD35" s="98" t="str">
        <f t="shared" si="16"/>
        <v/>
      </c>
    </row>
    <row r="36" s="123" customFormat="1" ht="21" customHeight="1" spans="1:82">
      <c r="A36" s="93">
        <v>34</v>
      </c>
      <c r="B36" s="93" t="str">
        <f t="shared" si="22"/>
        <v>3AEKC003AR203DOCH04</v>
      </c>
      <c r="C36" s="96"/>
      <c r="D36" s="100" t="str">
        <f t="shared" si="20"/>
        <v>R3AEKC003AR203DOCH04</v>
      </c>
      <c r="E36" s="169" t="s">
        <v>233</v>
      </c>
      <c r="F36" s="100" t="s">
        <v>234</v>
      </c>
      <c r="G36" s="102"/>
      <c r="H36" s="330" t="s">
        <v>124</v>
      </c>
      <c r="I36" s="98" t="str">
        <f t="shared" si="3"/>
        <v>DO211</v>
      </c>
      <c r="J36" s="98" t="str">
        <f t="shared" si="4"/>
        <v>203DO</v>
      </c>
      <c r="K36" s="100" t="str">
        <f t="shared" si="5"/>
        <v>3AEKC003AR203DO</v>
      </c>
      <c r="L36" s="102">
        <v>2</v>
      </c>
      <c r="M36" s="102">
        <v>3</v>
      </c>
      <c r="N36" s="102">
        <v>4</v>
      </c>
      <c r="O36" s="183"/>
      <c r="P36" s="102"/>
      <c r="Q36" s="98"/>
      <c r="R36" s="98"/>
      <c r="S36" s="98">
        <f t="shared" si="6"/>
        <v>13</v>
      </c>
      <c r="T36" s="98" t="str">
        <f t="shared" si="23"/>
        <v>TB233</v>
      </c>
      <c r="U36" s="98" t="str">
        <f t="shared" si="8"/>
        <v>203BN</v>
      </c>
      <c r="V36" s="98" t="str">
        <f t="shared" ref="V36:V67" si="25">IF(OR(T36="TB221",T36="TB222",T36="TB242",T36="TB243",T36="TB246"),N36&amp;"A",IF(AND(OR(T36="TB231",T36="TB232",T36="TB233"),OR(AN36="",AN36="NO")),N36&amp;"B",IF(AND(OR(T36="TB231",T36="TB232",T36="TB233"),AN36="NC"),N36&amp;"A",IF(AND(T36="TB241",OR(I36="AI212",I36="AI216")),N36&amp;CHOOSE(MID(AI36,3,1),"B","A","A","A","A","B"),IF(AND(T36="TB244",I36="AO215"),N36*2+22,IF(AND(T36="TB244",I36="PI211"),(N36-1)*4+2,IF(AND(T36="TB244",I36="MD211"),CHOOSE(N36,"8","28"),IF(T36="TB271","a",IF(OR(T36="TB272",T36="TB271"),"--",IF(T36="TB251",N36&amp;"B",IF(T36="--","--","Err")))))))))))</f>
        <v>4A</v>
      </c>
      <c r="W36" s="98" t="str">
        <f t="shared" ref="W36:W67" si="26">IF(OR(T36="TB221",T36="TB222",T36="TB242",T36="TB246"),N36&amp;"B",IF(OR(T36="TB231",T36="TB233",T36="TB251"),N36&amp;"C",IF(AND(T36="TB241",OR(I36="AI212",I36="AI216")),N36&amp;CHOOSE(MID(AI36,3,1),"A","C","C","C","C","A"),IF(AND(T36="TB244",I36="AO215"),N36*2+19,IF(AND(T36="TB244",I36="PI211"),N36*4,IF(AND(T36="TB244",I36="MD211"),CHOOSE(N36,"12","32"),IF(T36="TB271","b",IF(OR(T36="TB272",T36="TB271"),"--",IF(T36="--","--","Err")))))))))</f>
        <v>4C</v>
      </c>
      <c r="X36" s="98" t="str">
        <f t="shared" ref="X36:X67" si="27">IF(T36="TB271","IE-BUS",IF(OR(AI36="AI7",AI36="AI8",AI36="AI9"),N36&amp;"C",IF(AND(T36="TB244",I36="MD211"),"GND:"&amp;CHOOSE(N36,"10","30"),"--")))</f>
        <v>--</v>
      </c>
      <c r="Y36" s="98" t="str">
        <f t="shared" si="24"/>
        <v>--</v>
      </c>
      <c r="Z36" s="98"/>
      <c r="AA36" s="100" t="str">
        <f t="shared" si="12"/>
        <v>--</v>
      </c>
      <c r="AB36" s="102" t="str">
        <f t="shared" ref="AB36:AB67" si="28">IF(IFERROR(SEARCH("FS",Z36),-1)&gt;0,IF(AND(IFERROR(SEARCH("A",AF36),-1)&gt;0,IFERROR(SEARCH("四",AJ36),-1)&gt;0),P36&amp;"A",IF(IFERROR(SEARCH("AI",AF36),-1)&gt;0,P36&amp;"B",IF(IFERROR(SEARCH("AO",AF36),-1)&gt;0,P36&amp;"C",IF(IFERROR(SEARCH("DI",AF36),-1)&gt;0,P36&amp;"A",IF(AND(IFERROR(SEARCH("DO",AF36),-1)&gt;0,IFERROR(SEARCH("NC",AN36),-1)&gt;0),P36&amp;"A",IF(IFERROR(SEARCH("DO",AF36),-1)&gt;0,P36&amp;"B","--")))))),"--")</f>
        <v>--</v>
      </c>
      <c r="AC36" s="102" t="str">
        <f t="shared" ref="AC36:AC67" si="29">IF(IFERROR(SEARCH("FS",Z36),-1)&gt;0,IF(AND(IFERROR(SEARCH("A",AF36),-1)&gt;0,IFERROR(SEARCH("四",AJ36),-1)&gt;0),P36&amp;"C",IF(IFERROR(SEARCH("AI",AF36),-1)&gt;0,P36&amp;"A",IF(IFERROR(SEARCH("AO",AF36),-1)&gt;0,P36&amp;"B",IF(IFERROR(SEARCH("DI",AF36),-1)&gt;0,P36&amp;"B",IF(AND(IFERROR(SEARCH("DO",AF36),-1)&gt;0,IFERROR(SEARCH("无源",AJ36),-1)&gt;0),P36&amp;"C",IF(IFERROR(SEARCH("DO",AF36),-1)&gt;0,P36&amp;"D","--")))))),"--")</f>
        <v>--</v>
      </c>
      <c r="AD36" s="98" t="s">
        <v>235</v>
      </c>
      <c r="AE36" s="98" t="s">
        <v>236</v>
      </c>
      <c r="AF36" s="102" t="s">
        <v>302</v>
      </c>
      <c r="AG36" s="194" t="s">
        <v>306</v>
      </c>
      <c r="AH36" s="98" t="str">
        <f t="shared" si="15"/>
        <v>DCS(提供24VDC)</v>
      </c>
      <c r="AI36" s="102" t="s">
        <v>308</v>
      </c>
      <c r="AJ36" s="191" t="s">
        <v>309</v>
      </c>
      <c r="AK36" s="102"/>
      <c r="AL36" s="102"/>
      <c r="AM36" s="102"/>
      <c r="AN36" s="76" t="s">
        <v>307</v>
      </c>
      <c r="AO36" s="76"/>
      <c r="AP36" s="102"/>
      <c r="AQ36" s="76" t="s">
        <v>31</v>
      </c>
      <c r="AR36" s="169" t="s">
        <v>310</v>
      </c>
      <c r="AS36" s="100"/>
      <c r="AT36" s="100"/>
      <c r="AU36" s="330" t="s">
        <v>245</v>
      </c>
      <c r="AV36" s="201"/>
      <c r="AW36" s="201"/>
      <c r="AX36" s="201"/>
      <c r="AY36" s="201"/>
      <c r="AZ36" s="201"/>
      <c r="BA36" s="201"/>
      <c r="BB36" s="201"/>
      <c r="BC36" s="201"/>
      <c r="BD36" s="201"/>
      <c r="BE36" s="201"/>
      <c r="BF36" s="201"/>
      <c r="BG36" s="201"/>
      <c r="BH36" s="201"/>
      <c r="BI36" s="201"/>
      <c r="BJ36" s="201"/>
      <c r="BK36" s="201"/>
      <c r="BL36" s="201"/>
      <c r="BM36" s="201"/>
      <c r="BN36" s="201"/>
      <c r="BO36" s="201"/>
      <c r="BP36" s="201"/>
      <c r="BQ36" s="201"/>
      <c r="BR36" s="201"/>
      <c r="BS36" s="201"/>
      <c r="BT36" s="201"/>
      <c r="BU36" s="201"/>
      <c r="BV36" s="201"/>
      <c r="BW36" s="201"/>
      <c r="BX36" s="201"/>
      <c r="BY36" s="201"/>
      <c r="BZ36" s="201"/>
      <c r="CA36" s="201"/>
      <c r="CB36" s="201"/>
      <c r="CC36" s="201"/>
      <c r="CD36" s="98" t="str">
        <f t="shared" si="16"/>
        <v/>
      </c>
    </row>
    <row r="37" s="123" customFormat="1" ht="21" customHeight="1" spans="1:82">
      <c r="A37" s="164">
        <v>35</v>
      </c>
      <c r="B37" s="164" t="str">
        <f t="shared" si="22"/>
        <v>3AEKC003AR204DOCH01</v>
      </c>
      <c r="C37" s="165"/>
      <c r="D37" s="166" t="str">
        <f t="shared" si="20"/>
        <v>R3AEKC003AR204DOCH01</v>
      </c>
      <c r="E37" s="170" t="s">
        <v>233</v>
      </c>
      <c r="F37" s="166" t="s">
        <v>234</v>
      </c>
      <c r="G37" s="168"/>
      <c r="H37" s="328" t="s">
        <v>124</v>
      </c>
      <c r="I37" s="181" t="str">
        <f t="shared" ref="I37:I68" si="30">IF(IFERROR(SEARCH("TCP",AG37),-1)&gt;0,"MD216",IF(IFERROR(SEARCH("RTU",AG37),-1)&gt;0,"MD211",IF(OR(IFERROR(SEARCH("DP",AG37),-1)&gt;0,IFERROR(SEARCH("PROFIBUS",AG37),-1)&gt;0),"DP211",IF(IFERROR(SEARCH("FF",AG37),-1)&gt;0,"FF211",IF(AND(AF37="AI",IFERROR(SEARCH("NH",AI37),-1)&gt;0),"AI212",IF(AND(AF37="AI",IFERROR(SEARCH("4*20mA",AG37),-1)&gt;0),"AI216",IF(AND(AF37="AI",IFERROR(SEARCH("TC",AG37),-1)&gt;0),"AI221",IF(AND(AF37="AI",IFERROR(SEARCH("PT",AG37),-1)&gt;0),"AI232",IF(AND(AF37="AO",OR(AI37="AO1",AI37="AO2")),"AO211",IF(AND(AF37="AO",AI37="AOH"),"AO215",IF(OR(AF37="PI",AE37="P"),"PI211",IF(AF37="DI","DI211",IF(AF37="DO","DO211",IF(IFERROR(SEARCH("OPC",AG37),-1)&gt;0,"--","未知板卡"))))))))))))))</f>
        <v>DO211</v>
      </c>
      <c r="J37" s="181" t="str">
        <f t="shared" ref="J37:J68" si="31">IF(I37="--","--",L37&amp;TEXT(M37,"00")&amp;IF(I37="AI232","RTD",IF(I37="AI221","TC",LEFT(I37,2))))</f>
        <v>204DO</v>
      </c>
      <c r="K37" s="166" t="str">
        <f t="shared" ref="K37:K68" si="32">IF(I37="--","--",H37&amp;J37)</f>
        <v>3AEKC003AR204DO</v>
      </c>
      <c r="L37" s="168">
        <v>2</v>
      </c>
      <c r="M37" s="168">
        <v>4</v>
      </c>
      <c r="N37" s="168">
        <v>1</v>
      </c>
      <c r="O37" s="182"/>
      <c r="P37" s="168"/>
      <c r="Q37" s="181"/>
      <c r="R37" s="181"/>
      <c r="S37" s="181">
        <f t="shared" ref="S37:S68" si="33">IF(I37="--","--",(L37-1)*10+M37)</f>
        <v>14</v>
      </c>
      <c r="T37" s="181" t="str">
        <f t="shared" si="23"/>
        <v>TB231</v>
      </c>
      <c r="U37" s="181" t="str">
        <f t="shared" ref="U37:U68" si="34">IF(I37="FF211",L37&amp;TEXT(M37,"00")&amp;"_"&amp;N37&amp;"FI",IF(OR(I37="MD216",I37="--"),"--",L37&amp;TEXT(M37,"00")&amp;"BN"))</f>
        <v>204BN</v>
      </c>
      <c r="V37" s="181" t="str">
        <f t="shared" si="25"/>
        <v>1B</v>
      </c>
      <c r="W37" s="181" t="str">
        <f t="shared" si="26"/>
        <v>1C</v>
      </c>
      <c r="X37" s="181" t="str">
        <f t="shared" si="27"/>
        <v>--</v>
      </c>
      <c r="Y37" s="181" t="str">
        <f t="shared" si="24"/>
        <v>--</v>
      </c>
      <c r="Z37" s="181"/>
      <c r="AA37" s="166" t="str">
        <f t="shared" ref="AA37:AA61" si="35">IF(IFERROR(SEARCH("FS",Z37),-1)&gt;0,G37&amp;"_"&amp;O37&amp;"_"&amp;Z37,"--")</f>
        <v>--</v>
      </c>
      <c r="AB37" s="168" t="str">
        <f t="shared" si="28"/>
        <v>--</v>
      </c>
      <c r="AC37" s="168" t="str">
        <f t="shared" si="29"/>
        <v>--</v>
      </c>
      <c r="AD37" s="181" t="s">
        <v>235</v>
      </c>
      <c r="AE37" s="181" t="s">
        <v>236</v>
      </c>
      <c r="AF37" s="168" t="s">
        <v>302</v>
      </c>
      <c r="AG37" s="196" t="s">
        <v>303</v>
      </c>
      <c r="AH37" s="181" t="str">
        <f t="shared" ref="AH37:AH68" si="36">IF(OR(IFERROR(SEARCH("TCP",AG37),-1)&gt;0,IFERROR(SEARCH("RTU",AG37),-1)&gt;0),"--",IF(LEFT(AI37,2)="AI",CHOOSE(MID(AI37,3,IF(IFERROR(SEARCH("NH",AI37),-1)&gt;0,"1",LEN(AI37)-1)),"DCS","DCS(提供24VDC)","DCS(提供220VAC)","USER","USER","DCS(提供220VAC)","DCS","DCS","DCS","DCS"),IF(LEFT(AI37,2)="AO","DCS",IF(LEFT(AI37,1)="P",CHOOSE(MID(AI37,2,LEN(AI37)-1),"DCS(提供24VDC)","DCS(提供220VAC)","USER"),IF(LEFT(AI37,2)="DI",CHOOSE(MID(AI37,3,LEN(AI37)-1),"DCS","DCS(提供24VDC)","DCS(提供220VAC)","USER","USER","DCS(提供24VDC)"),IF(LEFT(AI37,2)="DO",CHOOSE(MID(AI37,3,LEN(AI37)-1),"DCS","DCS(提供24VDC)","DCS(提供220VAC)","USER","USER"),IF(LEFT(AI37,2)="FF",CHOOSE(MID(AI37,3,LEN(AI37)-1),"DCS","DCS(提供24VDC)","DCS(提供220VAC)","USER","USER","DCS","DCS","DCS"),IF(LEFT(AI37,2)="DP","DCS(提供220VAC)",IF(IFERROR(SEARCH("DP",AG37),-1)&gt;0,"--",IF(IFERROR(SEARCH("OPC",AG37),-1)&gt;0,"--","Err"))))))))))</f>
        <v>DCS(提供220VAC)</v>
      </c>
      <c r="AI37" s="168" t="s">
        <v>311</v>
      </c>
      <c r="AJ37" s="189" t="s">
        <v>312</v>
      </c>
      <c r="AK37" s="168"/>
      <c r="AL37" s="168"/>
      <c r="AM37" s="168"/>
      <c r="AN37" s="190" t="s">
        <v>305</v>
      </c>
      <c r="AO37" s="190"/>
      <c r="AP37" s="168"/>
      <c r="AQ37" s="190" t="s">
        <v>31</v>
      </c>
      <c r="AR37" s="170" t="s">
        <v>313</v>
      </c>
      <c r="AS37" s="166"/>
      <c r="AT37" s="166"/>
      <c r="AU37" s="328" t="s">
        <v>245</v>
      </c>
      <c r="AV37" s="200"/>
      <c r="AW37" s="200"/>
      <c r="AX37" s="200"/>
      <c r="AY37" s="200"/>
      <c r="AZ37" s="200"/>
      <c r="BA37" s="200"/>
      <c r="BB37" s="200"/>
      <c r="BC37" s="200"/>
      <c r="BD37" s="200"/>
      <c r="BE37" s="200"/>
      <c r="BF37" s="200"/>
      <c r="BG37" s="200"/>
      <c r="BH37" s="200"/>
      <c r="BI37" s="200"/>
      <c r="BJ37" s="200"/>
      <c r="BK37" s="200"/>
      <c r="BL37" s="200"/>
      <c r="BM37" s="200"/>
      <c r="BN37" s="200"/>
      <c r="BO37" s="200"/>
      <c r="BP37" s="200"/>
      <c r="BQ37" s="200"/>
      <c r="BR37" s="200"/>
      <c r="BS37" s="200"/>
      <c r="BT37" s="200"/>
      <c r="BU37" s="200"/>
      <c r="BV37" s="200"/>
      <c r="BW37" s="200"/>
      <c r="BX37" s="200"/>
      <c r="BY37" s="200"/>
      <c r="BZ37" s="200"/>
      <c r="CA37" s="200"/>
      <c r="CB37" s="200"/>
      <c r="CC37" s="200"/>
      <c r="CD37" s="181" t="str">
        <f t="shared" ref="CD37:CD68" si="37">IF(AM37="","",IF(AK37="r/min",0,IF(ABS(AM37-AL37)&lt;=10,3,IF(AND((10&lt;ABS(AM37-AL37)),(ABS(AM37-AL37)&lt;=100)),2,IF(100&lt;ABS(AM37-AL37),1,"")))))</f>
        <v/>
      </c>
    </row>
    <row r="38" s="123" customFormat="1" ht="21" customHeight="1" spans="1:82">
      <c r="A38" s="93">
        <v>36</v>
      </c>
      <c r="B38" s="93" t="str">
        <f t="shared" si="22"/>
        <v>3AEKC003AR204DOCH02</v>
      </c>
      <c r="C38" s="96"/>
      <c r="D38" s="100" t="str">
        <f t="shared" ref="D38:D69" si="38">IF(CLEAN(B38)="","","R")&amp;SUBSTITUTE(TRIM(B38),"-","")&amp;IF(CLEAN(C38)="","","_"&amp;C38)</f>
        <v>R3AEKC003AR204DOCH02</v>
      </c>
      <c r="E38" s="169" t="s">
        <v>233</v>
      </c>
      <c r="F38" s="100" t="s">
        <v>234</v>
      </c>
      <c r="G38" s="102"/>
      <c r="H38" s="330" t="s">
        <v>124</v>
      </c>
      <c r="I38" s="98" t="str">
        <f t="shared" si="30"/>
        <v>DO211</v>
      </c>
      <c r="J38" s="98" t="str">
        <f t="shared" si="31"/>
        <v>204DO</v>
      </c>
      <c r="K38" s="100" t="str">
        <f t="shared" si="32"/>
        <v>3AEKC003AR204DO</v>
      </c>
      <c r="L38" s="102">
        <v>2</v>
      </c>
      <c r="M38" s="102">
        <v>4</v>
      </c>
      <c r="N38" s="102">
        <v>2</v>
      </c>
      <c r="O38" s="183"/>
      <c r="P38" s="102"/>
      <c r="Q38" s="98"/>
      <c r="R38" s="98"/>
      <c r="S38" s="98">
        <f t="shared" si="33"/>
        <v>14</v>
      </c>
      <c r="T38" s="98" t="str">
        <f t="shared" si="23"/>
        <v>TB231</v>
      </c>
      <c r="U38" s="98" t="str">
        <f t="shared" si="34"/>
        <v>204BN</v>
      </c>
      <c r="V38" s="98" t="str">
        <f t="shared" si="25"/>
        <v>2A</v>
      </c>
      <c r="W38" s="98" t="str">
        <f t="shared" si="26"/>
        <v>2C</v>
      </c>
      <c r="X38" s="98" t="str">
        <f t="shared" si="27"/>
        <v>--</v>
      </c>
      <c r="Y38" s="98" t="str">
        <f t="shared" si="24"/>
        <v>--</v>
      </c>
      <c r="Z38" s="98"/>
      <c r="AA38" s="100" t="str">
        <f t="shared" si="35"/>
        <v>--</v>
      </c>
      <c r="AB38" s="102" t="str">
        <f t="shared" si="28"/>
        <v>--</v>
      </c>
      <c r="AC38" s="102" t="str">
        <f t="shared" si="29"/>
        <v>--</v>
      </c>
      <c r="AD38" s="98" t="s">
        <v>235</v>
      </c>
      <c r="AE38" s="98" t="s">
        <v>236</v>
      </c>
      <c r="AF38" s="102" t="s">
        <v>302</v>
      </c>
      <c r="AG38" s="194" t="s">
        <v>306</v>
      </c>
      <c r="AH38" s="98" t="str">
        <f t="shared" si="36"/>
        <v>DCS(提供220VAC)</v>
      </c>
      <c r="AI38" s="102" t="s">
        <v>311</v>
      </c>
      <c r="AJ38" s="191" t="s">
        <v>312</v>
      </c>
      <c r="AK38" s="102"/>
      <c r="AL38" s="102"/>
      <c r="AM38" s="102"/>
      <c r="AN38" s="76" t="s">
        <v>307</v>
      </c>
      <c r="AO38" s="76"/>
      <c r="AP38" s="102"/>
      <c r="AQ38" s="76" t="s">
        <v>31</v>
      </c>
      <c r="AR38" s="169" t="s">
        <v>313</v>
      </c>
      <c r="AS38" s="100"/>
      <c r="AT38" s="100"/>
      <c r="AU38" s="330" t="s">
        <v>245</v>
      </c>
      <c r="AV38" s="201"/>
      <c r="AW38" s="201"/>
      <c r="AX38" s="201"/>
      <c r="AY38" s="201"/>
      <c r="AZ38" s="201"/>
      <c r="BA38" s="201"/>
      <c r="BB38" s="201"/>
      <c r="BC38" s="201"/>
      <c r="BD38" s="201"/>
      <c r="BE38" s="201"/>
      <c r="BF38" s="201"/>
      <c r="BG38" s="201"/>
      <c r="BH38" s="201"/>
      <c r="BI38" s="201"/>
      <c r="BJ38" s="201"/>
      <c r="BK38" s="201"/>
      <c r="BL38" s="201"/>
      <c r="BM38" s="201"/>
      <c r="BN38" s="201"/>
      <c r="BO38" s="201"/>
      <c r="BP38" s="201"/>
      <c r="BQ38" s="201"/>
      <c r="BR38" s="201"/>
      <c r="BS38" s="201"/>
      <c r="BT38" s="201"/>
      <c r="BU38" s="201"/>
      <c r="BV38" s="201"/>
      <c r="BW38" s="201"/>
      <c r="BX38" s="201"/>
      <c r="BY38" s="201"/>
      <c r="BZ38" s="201"/>
      <c r="CA38" s="201"/>
      <c r="CB38" s="201"/>
      <c r="CC38" s="201"/>
      <c r="CD38" s="98" t="str">
        <f t="shared" si="37"/>
        <v/>
      </c>
    </row>
    <row r="39" s="123" customFormat="1" ht="21" customHeight="1" spans="1:82">
      <c r="A39" s="93">
        <v>37</v>
      </c>
      <c r="B39" s="93" t="str">
        <f t="shared" si="22"/>
        <v>3AEKC003AR204DOCH03</v>
      </c>
      <c r="C39" s="96"/>
      <c r="D39" s="100" t="str">
        <f t="shared" si="38"/>
        <v>R3AEKC003AR204DOCH03</v>
      </c>
      <c r="E39" s="169" t="s">
        <v>233</v>
      </c>
      <c r="F39" s="100" t="s">
        <v>234</v>
      </c>
      <c r="G39" s="102"/>
      <c r="H39" s="330" t="s">
        <v>124</v>
      </c>
      <c r="I39" s="98" t="str">
        <f t="shared" si="30"/>
        <v>DO211</v>
      </c>
      <c r="J39" s="98" t="str">
        <f t="shared" si="31"/>
        <v>204DO</v>
      </c>
      <c r="K39" s="100" t="str">
        <f t="shared" si="32"/>
        <v>3AEKC003AR204DO</v>
      </c>
      <c r="L39" s="102">
        <v>2</v>
      </c>
      <c r="M39" s="102">
        <v>4</v>
      </c>
      <c r="N39" s="102">
        <v>3</v>
      </c>
      <c r="O39" s="183"/>
      <c r="P39" s="102"/>
      <c r="Q39" s="98"/>
      <c r="R39" s="98"/>
      <c r="S39" s="98">
        <f t="shared" si="33"/>
        <v>14</v>
      </c>
      <c r="T39" s="98" t="str">
        <f t="shared" si="23"/>
        <v>TB231</v>
      </c>
      <c r="U39" s="98" t="str">
        <f t="shared" si="34"/>
        <v>204BN</v>
      </c>
      <c r="V39" s="98" t="str">
        <f t="shared" si="25"/>
        <v>3B</v>
      </c>
      <c r="W39" s="98" t="str">
        <f t="shared" si="26"/>
        <v>3C</v>
      </c>
      <c r="X39" s="98" t="str">
        <f t="shared" si="27"/>
        <v>--</v>
      </c>
      <c r="Y39" s="98" t="str">
        <f t="shared" si="24"/>
        <v>--</v>
      </c>
      <c r="Z39" s="98"/>
      <c r="AA39" s="100" t="str">
        <f t="shared" si="35"/>
        <v>--</v>
      </c>
      <c r="AB39" s="102" t="str">
        <f t="shared" si="28"/>
        <v>--</v>
      </c>
      <c r="AC39" s="102" t="str">
        <f t="shared" si="29"/>
        <v>--</v>
      </c>
      <c r="AD39" s="98" t="s">
        <v>235</v>
      </c>
      <c r="AE39" s="98" t="s">
        <v>236</v>
      </c>
      <c r="AF39" s="102" t="s">
        <v>302</v>
      </c>
      <c r="AG39" s="109" t="s">
        <v>303</v>
      </c>
      <c r="AH39" s="98" t="str">
        <f t="shared" si="36"/>
        <v>USER</v>
      </c>
      <c r="AI39" s="102" t="s">
        <v>314</v>
      </c>
      <c r="AJ39" s="191" t="s">
        <v>315</v>
      </c>
      <c r="AK39" s="102"/>
      <c r="AL39" s="102"/>
      <c r="AM39" s="102"/>
      <c r="AN39" s="76" t="s">
        <v>305</v>
      </c>
      <c r="AO39" s="76"/>
      <c r="AP39" s="102"/>
      <c r="AQ39" s="76" t="s">
        <v>31</v>
      </c>
      <c r="AR39" s="169"/>
      <c r="AS39" s="100"/>
      <c r="AT39" s="100"/>
      <c r="AU39" s="330" t="s">
        <v>245</v>
      </c>
      <c r="AV39" s="201"/>
      <c r="AW39" s="201"/>
      <c r="AX39" s="201"/>
      <c r="AY39" s="201"/>
      <c r="AZ39" s="201"/>
      <c r="BA39" s="201"/>
      <c r="BB39" s="201"/>
      <c r="BC39" s="201"/>
      <c r="BD39" s="201"/>
      <c r="BE39" s="201"/>
      <c r="BF39" s="201"/>
      <c r="BG39" s="201"/>
      <c r="BH39" s="201"/>
      <c r="BI39" s="201"/>
      <c r="BJ39" s="201"/>
      <c r="BK39" s="201"/>
      <c r="BL39" s="201"/>
      <c r="BM39" s="201"/>
      <c r="BN39" s="201"/>
      <c r="BO39" s="201"/>
      <c r="BP39" s="201"/>
      <c r="BQ39" s="201"/>
      <c r="BR39" s="201"/>
      <c r="BS39" s="201"/>
      <c r="BT39" s="201"/>
      <c r="BU39" s="201"/>
      <c r="BV39" s="201"/>
      <c r="BW39" s="201"/>
      <c r="BX39" s="201"/>
      <c r="BY39" s="201"/>
      <c r="BZ39" s="201"/>
      <c r="CA39" s="201"/>
      <c r="CB39" s="201"/>
      <c r="CC39" s="201"/>
      <c r="CD39" s="98" t="str">
        <f t="shared" si="37"/>
        <v/>
      </c>
    </row>
    <row r="40" s="123" customFormat="1" ht="21" customHeight="1" spans="1:82">
      <c r="A40" s="93">
        <v>38</v>
      </c>
      <c r="B40" s="93" t="str">
        <f t="shared" si="22"/>
        <v>3AEKC003AR204DOCH04</v>
      </c>
      <c r="C40" s="96"/>
      <c r="D40" s="100" t="str">
        <f t="shared" si="38"/>
        <v>R3AEKC003AR204DOCH04</v>
      </c>
      <c r="E40" s="169" t="s">
        <v>233</v>
      </c>
      <c r="F40" s="100" t="s">
        <v>234</v>
      </c>
      <c r="G40" s="102"/>
      <c r="H40" s="330" t="s">
        <v>124</v>
      </c>
      <c r="I40" s="98" t="str">
        <f t="shared" si="30"/>
        <v>DO211</v>
      </c>
      <c r="J40" s="98" t="str">
        <f t="shared" si="31"/>
        <v>204DO</v>
      </c>
      <c r="K40" s="100" t="str">
        <f t="shared" si="32"/>
        <v>3AEKC003AR204DO</v>
      </c>
      <c r="L40" s="102">
        <v>2</v>
      </c>
      <c r="M40" s="102">
        <v>4</v>
      </c>
      <c r="N40" s="102">
        <v>4</v>
      </c>
      <c r="O40" s="183"/>
      <c r="P40" s="102"/>
      <c r="Q40" s="98"/>
      <c r="R40" s="98"/>
      <c r="S40" s="98">
        <f t="shared" si="33"/>
        <v>14</v>
      </c>
      <c r="T40" s="98" t="str">
        <f t="shared" si="23"/>
        <v>TB231</v>
      </c>
      <c r="U40" s="98" t="str">
        <f t="shared" si="34"/>
        <v>204BN</v>
      </c>
      <c r="V40" s="98" t="str">
        <f t="shared" si="25"/>
        <v>4A</v>
      </c>
      <c r="W40" s="98" t="str">
        <f t="shared" si="26"/>
        <v>4C</v>
      </c>
      <c r="X40" s="98" t="str">
        <f t="shared" si="27"/>
        <v>--</v>
      </c>
      <c r="Y40" s="98" t="str">
        <f t="shared" si="24"/>
        <v>--</v>
      </c>
      <c r="Z40" s="98"/>
      <c r="AA40" s="100" t="str">
        <f t="shared" si="35"/>
        <v>--</v>
      </c>
      <c r="AB40" s="102" t="str">
        <f t="shared" si="28"/>
        <v>--</v>
      </c>
      <c r="AC40" s="102" t="str">
        <f t="shared" si="29"/>
        <v>--</v>
      </c>
      <c r="AD40" s="98" t="s">
        <v>235</v>
      </c>
      <c r="AE40" s="98" t="s">
        <v>236</v>
      </c>
      <c r="AF40" s="102" t="s">
        <v>302</v>
      </c>
      <c r="AG40" s="194" t="s">
        <v>306</v>
      </c>
      <c r="AH40" s="98" t="str">
        <f t="shared" si="36"/>
        <v>USER</v>
      </c>
      <c r="AI40" s="102" t="s">
        <v>314</v>
      </c>
      <c r="AJ40" s="191" t="s">
        <v>315</v>
      </c>
      <c r="AK40" s="102"/>
      <c r="AL40" s="102"/>
      <c r="AM40" s="102"/>
      <c r="AN40" s="76" t="s">
        <v>307</v>
      </c>
      <c r="AO40" s="76"/>
      <c r="AP40" s="102"/>
      <c r="AQ40" s="76" t="s">
        <v>31</v>
      </c>
      <c r="AR40" s="169"/>
      <c r="AS40" s="100"/>
      <c r="AT40" s="100"/>
      <c r="AU40" s="330" t="s">
        <v>245</v>
      </c>
      <c r="AV40" s="201"/>
      <c r="AW40" s="201"/>
      <c r="AX40" s="201"/>
      <c r="AY40" s="201"/>
      <c r="AZ40" s="201"/>
      <c r="BA40" s="201"/>
      <c r="BB40" s="201"/>
      <c r="BC40" s="201"/>
      <c r="BD40" s="201"/>
      <c r="BE40" s="201"/>
      <c r="BF40" s="201"/>
      <c r="BG40" s="201"/>
      <c r="BH40" s="201"/>
      <c r="BI40" s="201"/>
      <c r="BJ40" s="201"/>
      <c r="BK40" s="201"/>
      <c r="BL40" s="201"/>
      <c r="BM40" s="201"/>
      <c r="BN40" s="201"/>
      <c r="BO40" s="201"/>
      <c r="BP40" s="201"/>
      <c r="BQ40" s="201"/>
      <c r="BR40" s="201"/>
      <c r="BS40" s="201"/>
      <c r="BT40" s="201"/>
      <c r="BU40" s="201"/>
      <c r="BV40" s="201"/>
      <c r="BW40" s="201"/>
      <c r="BX40" s="201"/>
      <c r="BY40" s="201"/>
      <c r="BZ40" s="201"/>
      <c r="CA40" s="201"/>
      <c r="CB40" s="201"/>
      <c r="CC40" s="201"/>
      <c r="CD40" s="98" t="str">
        <f t="shared" si="37"/>
        <v/>
      </c>
    </row>
    <row r="41" s="123" customFormat="1" ht="21" customHeight="1" spans="1:82">
      <c r="A41" s="93">
        <v>39</v>
      </c>
      <c r="B41" s="93" t="str">
        <f t="shared" si="22"/>
        <v>3AEKC003AR204DOCH05</v>
      </c>
      <c r="C41" s="96"/>
      <c r="D41" s="100" t="str">
        <f t="shared" si="38"/>
        <v>R3AEKC003AR204DOCH05</v>
      </c>
      <c r="E41" s="169" t="s">
        <v>233</v>
      </c>
      <c r="F41" s="100" t="s">
        <v>234</v>
      </c>
      <c r="G41" s="102"/>
      <c r="H41" s="330" t="s">
        <v>124</v>
      </c>
      <c r="I41" s="98" t="str">
        <f t="shared" si="30"/>
        <v>DO211</v>
      </c>
      <c r="J41" s="98" t="str">
        <f t="shared" si="31"/>
        <v>204DO</v>
      </c>
      <c r="K41" s="100" t="str">
        <f t="shared" si="32"/>
        <v>3AEKC003AR204DO</v>
      </c>
      <c r="L41" s="102">
        <v>2</v>
      </c>
      <c r="M41" s="102">
        <v>4</v>
      </c>
      <c r="N41" s="102">
        <v>5</v>
      </c>
      <c r="O41" s="183"/>
      <c r="P41" s="102"/>
      <c r="Q41" s="98"/>
      <c r="R41" s="98"/>
      <c r="S41" s="98">
        <f t="shared" si="33"/>
        <v>14</v>
      </c>
      <c r="T41" s="98" t="str">
        <f t="shared" si="23"/>
        <v>TB231</v>
      </c>
      <c r="U41" s="98" t="str">
        <f t="shared" si="34"/>
        <v>204BN</v>
      </c>
      <c r="V41" s="98" t="str">
        <f t="shared" si="25"/>
        <v>5B</v>
      </c>
      <c r="W41" s="98" t="str">
        <f t="shared" si="26"/>
        <v>5C</v>
      </c>
      <c r="X41" s="98" t="str">
        <f t="shared" si="27"/>
        <v>--</v>
      </c>
      <c r="Y41" s="98" t="str">
        <f t="shared" si="24"/>
        <v>--</v>
      </c>
      <c r="Z41" s="98"/>
      <c r="AA41" s="100" t="str">
        <f t="shared" si="35"/>
        <v>--</v>
      </c>
      <c r="AB41" s="102" t="str">
        <f t="shared" si="28"/>
        <v>--</v>
      </c>
      <c r="AC41" s="102" t="str">
        <f t="shared" si="29"/>
        <v>--</v>
      </c>
      <c r="AD41" s="98" t="s">
        <v>235</v>
      </c>
      <c r="AE41" s="98" t="s">
        <v>236</v>
      </c>
      <c r="AF41" s="102" t="s">
        <v>302</v>
      </c>
      <c r="AG41" s="109" t="s">
        <v>303</v>
      </c>
      <c r="AH41" s="98" t="str">
        <f t="shared" si="36"/>
        <v>USER</v>
      </c>
      <c r="AI41" s="102" t="s">
        <v>316</v>
      </c>
      <c r="AJ41" s="191" t="s">
        <v>317</v>
      </c>
      <c r="AK41" s="102"/>
      <c r="AL41" s="102"/>
      <c r="AM41" s="102"/>
      <c r="AN41" s="76" t="s">
        <v>305</v>
      </c>
      <c r="AO41" s="76"/>
      <c r="AP41" s="102"/>
      <c r="AQ41" s="76" t="s">
        <v>31</v>
      </c>
      <c r="AR41" s="169"/>
      <c r="AS41" s="100"/>
      <c r="AT41" s="100"/>
      <c r="AU41" s="330" t="s">
        <v>245</v>
      </c>
      <c r="AV41" s="201"/>
      <c r="AW41" s="201"/>
      <c r="AX41" s="201"/>
      <c r="AY41" s="201"/>
      <c r="AZ41" s="201"/>
      <c r="BA41" s="201"/>
      <c r="BB41" s="201"/>
      <c r="BC41" s="201"/>
      <c r="BD41" s="201"/>
      <c r="BE41" s="201"/>
      <c r="BF41" s="201"/>
      <c r="BG41" s="201"/>
      <c r="BH41" s="201"/>
      <c r="BI41" s="201"/>
      <c r="BJ41" s="201"/>
      <c r="BK41" s="201"/>
      <c r="BL41" s="201"/>
      <c r="BM41" s="201"/>
      <c r="BN41" s="201"/>
      <c r="BO41" s="201"/>
      <c r="BP41" s="201"/>
      <c r="BQ41" s="201"/>
      <c r="BR41" s="201"/>
      <c r="BS41" s="201"/>
      <c r="BT41" s="201"/>
      <c r="BU41" s="201"/>
      <c r="BV41" s="201"/>
      <c r="BW41" s="201"/>
      <c r="BX41" s="201"/>
      <c r="BY41" s="201"/>
      <c r="BZ41" s="201"/>
      <c r="CA41" s="201"/>
      <c r="CB41" s="201"/>
      <c r="CC41" s="201"/>
      <c r="CD41" s="98" t="str">
        <f t="shared" si="37"/>
        <v/>
      </c>
    </row>
    <row r="42" s="123" customFormat="1" ht="21" customHeight="1" spans="1:82">
      <c r="A42" s="93">
        <v>40</v>
      </c>
      <c r="B42" s="93" t="str">
        <f t="shared" si="22"/>
        <v>3AEKC003AR204DOCH06</v>
      </c>
      <c r="C42" s="96"/>
      <c r="D42" s="100" t="str">
        <f t="shared" si="38"/>
        <v>R3AEKC003AR204DOCH06</v>
      </c>
      <c r="E42" s="169" t="s">
        <v>233</v>
      </c>
      <c r="F42" s="100" t="s">
        <v>234</v>
      </c>
      <c r="G42" s="102"/>
      <c r="H42" s="330" t="s">
        <v>124</v>
      </c>
      <c r="I42" s="98" t="str">
        <f t="shared" si="30"/>
        <v>DO211</v>
      </c>
      <c r="J42" s="98" t="str">
        <f t="shared" si="31"/>
        <v>204DO</v>
      </c>
      <c r="K42" s="100" t="str">
        <f t="shared" si="32"/>
        <v>3AEKC003AR204DO</v>
      </c>
      <c r="L42" s="102">
        <v>2</v>
      </c>
      <c r="M42" s="102">
        <v>4</v>
      </c>
      <c r="N42" s="102">
        <v>6</v>
      </c>
      <c r="O42" s="183"/>
      <c r="P42" s="102"/>
      <c r="Q42" s="98"/>
      <c r="R42" s="98"/>
      <c r="S42" s="98">
        <f t="shared" si="33"/>
        <v>14</v>
      </c>
      <c r="T42" s="98" t="str">
        <f t="shared" si="23"/>
        <v>TB231</v>
      </c>
      <c r="U42" s="98" t="str">
        <f t="shared" si="34"/>
        <v>204BN</v>
      </c>
      <c r="V42" s="98" t="str">
        <f t="shared" si="25"/>
        <v>6A</v>
      </c>
      <c r="W42" s="98" t="str">
        <f t="shared" si="26"/>
        <v>6C</v>
      </c>
      <c r="X42" s="98" t="str">
        <f t="shared" si="27"/>
        <v>--</v>
      </c>
      <c r="Y42" s="98" t="str">
        <f t="shared" si="24"/>
        <v>--</v>
      </c>
      <c r="Z42" s="98"/>
      <c r="AA42" s="100" t="str">
        <f t="shared" si="35"/>
        <v>--</v>
      </c>
      <c r="AB42" s="102" t="str">
        <f t="shared" si="28"/>
        <v>--</v>
      </c>
      <c r="AC42" s="102" t="str">
        <f t="shared" si="29"/>
        <v>--</v>
      </c>
      <c r="AD42" s="98" t="s">
        <v>235</v>
      </c>
      <c r="AE42" s="98" t="s">
        <v>236</v>
      </c>
      <c r="AF42" s="102" t="s">
        <v>302</v>
      </c>
      <c r="AG42" s="194" t="s">
        <v>306</v>
      </c>
      <c r="AH42" s="98" t="str">
        <f t="shared" si="36"/>
        <v>USER</v>
      </c>
      <c r="AI42" s="102" t="s">
        <v>316</v>
      </c>
      <c r="AJ42" s="191" t="s">
        <v>317</v>
      </c>
      <c r="AK42" s="102"/>
      <c r="AL42" s="102"/>
      <c r="AM42" s="102"/>
      <c r="AN42" s="76" t="s">
        <v>307</v>
      </c>
      <c r="AO42" s="76"/>
      <c r="AP42" s="102"/>
      <c r="AQ42" s="76" t="s">
        <v>31</v>
      </c>
      <c r="AR42" s="169"/>
      <c r="AS42" s="100"/>
      <c r="AT42" s="100"/>
      <c r="AU42" s="330" t="s">
        <v>245</v>
      </c>
      <c r="AV42" s="201"/>
      <c r="AW42" s="201"/>
      <c r="AX42" s="201"/>
      <c r="AY42" s="201"/>
      <c r="AZ42" s="201"/>
      <c r="BA42" s="201"/>
      <c r="BB42" s="201"/>
      <c r="BC42" s="201"/>
      <c r="BD42" s="201"/>
      <c r="BE42" s="201"/>
      <c r="BF42" s="201"/>
      <c r="BG42" s="201"/>
      <c r="BH42" s="201"/>
      <c r="BI42" s="201"/>
      <c r="BJ42" s="201"/>
      <c r="BK42" s="201"/>
      <c r="BL42" s="201"/>
      <c r="BM42" s="201"/>
      <c r="BN42" s="201"/>
      <c r="BO42" s="201"/>
      <c r="BP42" s="201"/>
      <c r="BQ42" s="201"/>
      <c r="BR42" s="201"/>
      <c r="BS42" s="201"/>
      <c r="BT42" s="201"/>
      <c r="BU42" s="201"/>
      <c r="BV42" s="201"/>
      <c r="BW42" s="201"/>
      <c r="BX42" s="201"/>
      <c r="BY42" s="201"/>
      <c r="BZ42" s="201"/>
      <c r="CA42" s="201"/>
      <c r="CB42" s="201"/>
      <c r="CC42" s="201"/>
      <c r="CD42" s="98" t="str">
        <f t="shared" si="37"/>
        <v/>
      </c>
    </row>
    <row r="43" s="123" customFormat="1" ht="21" customHeight="1" spans="1:82">
      <c r="A43" s="164">
        <v>41</v>
      </c>
      <c r="B43" s="332" t="s">
        <v>318</v>
      </c>
      <c r="C43" s="165"/>
      <c r="D43" s="166" t="str">
        <f t="shared" si="38"/>
        <v>R3LTAEAB004BA</v>
      </c>
      <c r="E43" s="333" t="s">
        <v>319</v>
      </c>
      <c r="F43" s="166" t="s">
        <v>234</v>
      </c>
      <c r="G43" s="329" t="s">
        <v>320</v>
      </c>
      <c r="H43" s="328" t="s">
        <v>124</v>
      </c>
      <c r="I43" s="181" t="str">
        <f t="shared" si="30"/>
        <v>FF211</v>
      </c>
      <c r="J43" s="181" t="str">
        <f t="shared" si="31"/>
        <v>205FF</v>
      </c>
      <c r="K43" s="166" t="str">
        <f t="shared" si="32"/>
        <v>3AEKC003AR205FF</v>
      </c>
      <c r="L43" s="168">
        <v>2</v>
      </c>
      <c r="M43" s="168">
        <v>5</v>
      </c>
      <c r="N43" s="168">
        <v>1</v>
      </c>
      <c r="O43" s="182">
        <v>1</v>
      </c>
      <c r="P43" s="168">
        <v>1</v>
      </c>
      <c r="Q43" s="181"/>
      <c r="R43" s="181"/>
      <c r="S43" s="181">
        <f t="shared" si="33"/>
        <v>15</v>
      </c>
      <c r="T43" s="181" t="str">
        <f t="shared" ref="T43:T74" si="39">IF(I43="DO211",CHOOSE(MID(AI43,3,LEN(AI43)-1),"TB233","TB233","TB231","TB231","TB231"),IF(AND(I43="DI211",AI43="DI4",IFERROR(SEARCH("继电器",AJ43),-1)&gt;0),"TB222",IF(I43="DI211",CHOOSE(MID(AI43,3,LEN(AI43)-1),"TB222","TB222","TB222","TB221","TB222","TB222"),IF(OR(I43="AI212",I43="AI216"),"TB241",IF(I43="AI221","TB242",IF(I43="AI232","TB246",IF(I43="AO211","TB251",IF(OR(I43="PI211",I43="AO215",I43="MD211"),"TB244",IF(I43="MD216","--",IF(I43="FF211","TB271",IF(I43="DP211","TB272",IF(I43="--","--","ERR"))))))))))))</f>
        <v>TB271</v>
      </c>
      <c r="U43" s="181" t="str">
        <f t="shared" si="34"/>
        <v>205_1FI</v>
      </c>
      <c r="V43" s="181" t="str">
        <f t="shared" si="25"/>
        <v>a</v>
      </c>
      <c r="W43" s="181" t="str">
        <f t="shared" si="26"/>
        <v>b</v>
      </c>
      <c r="X43" s="181" t="str">
        <f t="shared" si="27"/>
        <v>IE-BUS</v>
      </c>
      <c r="Y43" s="181" t="str">
        <f t="shared" si="24"/>
        <v>--</v>
      </c>
      <c r="Z43" s="181"/>
      <c r="AA43" s="166" t="str">
        <f t="shared" si="35"/>
        <v>--</v>
      </c>
      <c r="AB43" s="168" t="str">
        <f t="shared" si="28"/>
        <v>--</v>
      </c>
      <c r="AC43" s="168" t="str">
        <f t="shared" si="29"/>
        <v>--</v>
      </c>
      <c r="AD43" s="181" t="s">
        <v>235</v>
      </c>
      <c r="AE43" s="181" t="s">
        <v>236</v>
      </c>
      <c r="AF43" s="168" t="s">
        <v>321</v>
      </c>
      <c r="AG43" s="181" t="s">
        <v>322</v>
      </c>
      <c r="AH43" s="181" t="str">
        <f t="shared" si="36"/>
        <v>DCS</v>
      </c>
      <c r="AI43" s="168" t="s">
        <v>323</v>
      </c>
      <c r="AJ43" s="189" t="s">
        <v>324</v>
      </c>
      <c r="AK43" s="329" t="s">
        <v>325</v>
      </c>
      <c r="AL43" s="329" t="s">
        <v>326</v>
      </c>
      <c r="AM43" s="329" t="s">
        <v>327</v>
      </c>
      <c r="AN43" s="190"/>
      <c r="AO43" s="190"/>
      <c r="AP43" s="168"/>
      <c r="AQ43" s="190" t="s">
        <v>31</v>
      </c>
      <c r="AR43" s="170"/>
      <c r="AS43" s="166"/>
      <c r="AT43" s="166"/>
      <c r="AU43" s="328" t="s">
        <v>245</v>
      </c>
      <c r="AV43" s="200"/>
      <c r="AW43" s="200"/>
      <c r="AX43" s="200"/>
      <c r="AY43" s="200"/>
      <c r="AZ43" s="200"/>
      <c r="BA43" s="200"/>
      <c r="BB43" s="200"/>
      <c r="BC43" s="200"/>
      <c r="BD43" s="200"/>
      <c r="BE43" s="200"/>
      <c r="BF43" s="200"/>
      <c r="BG43" s="200"/>
      <c r="BH43" s="200"/>
      <c r="BI43" s="200"/>
      <c r="BJ43" s="200"/>
      <c r="BK43" s="200"/>
      <c r="BL43" s="200"/>
      <c r="BM43" s="200"/>
      <c r="BN43" s="200"/>
      <c r="BO43" s="200"/>
      <c r="BP43" s="200"/>
      <c r="BQ43" s="200"/>
      <c r="BR43" s="200"/>
      <c r="BS43" s="200"/>
      <c r="BT43" s="200"/>
      <c r="BU43" s="200"/>
      <c r="BV43" s="200"/>
      <c r="BW43" s="200"/>
      <c r="BX43" s="200"/>
      <c r="BY43" s="200"/>
      <c r="BZ43" s="200"/>
      <c r="CA43" s="200"/>
      <c r="CB43" s="200"/>
      <c r="CC43" s="200"/>
      <c r="CD43" s="181">
        <f t="shared" si="37"/>
        <v>1</v>
      </c>
    </row>
    <row r="44" s="123" customFormat="1" ht="21" customHeight="1" spans="1:82">
      <c r="A44" s="93">
        <v>42</v>
      </c>
      <c r="B44" s="334" t="s">
        <v>328</v>
      </c>
      <c r="C44" s="96"/>
      <c r="D44" s="100" t="str">
        <f t="shared" si="38"/>
        <v>R3LTAEAB047BA</v>
      </c>
      <c r="E44" s="335" t="s">
        <v>329</v>
      </c>
      <c r="F44" s="100" t="s">
        <v>234</v>
      </c>
      <c r="G44" s="331" t="s">
        <v>320</v>
      </c>
      <c r="H44" s="330" t="s">
        <v>124</v>
      </c>
      <c r="I44" s="98" t="str">
        <f t="shared" si="30"/>
        <v>FF211</v>
      </c>
      <c r="J44" s="98" t="str">
        <f t="shared" si="31"/>
        <v>205FF</v>
      </c>
      <c r="K44" s="100" t="str">
        <f t="shared" si="32"/>
        <v>3AEKC003AR205FF</v>
      </c>
      <c r="L44" s="102">
        <v>2</v>
      </c>
      <c r="M44" s="102">
        <v>5</v>
      </c>
      <c r="N44" s="102">
        <v>1</v>
      </c>
      <c r="O44" s="183">
        <v>1</v>
      </c>
      <c r="P44" s="102">
        <v>2</v>
      </c>
      <c r="Q44" s="98"/>
      <c r="R44" s="98"/>
      <c r="S44" s="98">
        <f t="shared" si="33"/>
        <v>15</v>
      </c>
      <c r="T44" s="98" t="str">
        <f t="shared" si="39"/>
        <v>TB271</v>
      </c>
      <c r="U44" s="98" t="str">
        <f t="shared" si="34"/>
        <v>205_1FI</v>
      </c>
      <c r="V44" s="98" t="str">
        <f t="shared" si="25"/>
        <v>a</v>
      </c>
      <c r="W44" s="98" t="str">
        <f t="shared" si="26"/>
        <v>b</v>
      </c>
      <c r="X44" s="98" t="str">
        <f t="shared" si="27"/>
        <v>IE-BUS</v>
      </c>
      <c r="Y44" s="98" t="str">
        <f t="shared" si="24"/>
        <v>--</v>
      </c>
      <c r="Z44" s="98"/>
      <c r="AA44" s="100" t="str">
        <f t="shared" si="35"/>
        <v>--</v>
      </c>
      <c r="AB44" s="102" t="str">
        <f t="shared" si="28"/>
        <v>--</v>
      </c>
      <c r="AC44" s="102" t="str">
        <f t="shared" si="29"/>
        <v>--</v>
      </c>
      <c r="AD44" s="98" t="s">
        <v>235</v>
      </c>
      <c r="AE44" s="98" t="s">
        <v>236</v>
      </c>
      <c r="AF44" s="102" t="s">
        <v>321</v>
      </c>
      <c r="AG44" s="98" t="s">
        <v>322</v>
      </c>
      <c r="AH44" s="98" t="str">
        <f t="shared" si="36"/>
        <v>DCS(提供24VDC)</v>
      </c>
      <c r="AI44" s="102" t="s">
        <v>330</v>
      </c>
      <c r="AJ44" s="336" t="s">
        <v>331</v>
      </c>
      <c r="AK44" s="331" t="s">
        <v>325</v>
      </c>
      <c r="AL44" s="331" t="s">
        <v>332</v>
      </c>
      <c r="AM44" s="331" t="s">
        <v>333</v>
      </c>
      <c r="AN44" s="76"/>
      <c r="AO44" s="76"/>
      <c r="AP44" s="102"/>
      <c r="AQ44" s="76" t="s">
        <v>31</v>
      </c>
      <c r="AR44" s="169"/>
      <c r="AS44" s="100"/>
      <c r="AT44" s="100"/>
      <c r="AU44" s="330" t="s">
        <v>245</v>
      </c>
      <c r="AV44" s="201"/>
      <c r="AW44" s="201"/>
      <c r="AX44" s="201"/>
      <c r="AY44" s="201"/>
      <c r="AZ44" s="201"/>
      <c r="BA44" s="201"/>
      <c r="BB44" s="201"/>
      <c r="BC44" s="201"/>
      <c r="BD44" s="201"/>
      <c r="BE44" s="201"/>
      <c r="BF44" s="201"/>
      <c r="BG44" s="201"/>
      <c r="BH44" s="201"/>
      <c r="BI44" s="201"/>
      <c r="BJ44" s="201"/>
      <c r="BK44" s="201"/>
      <c r="BL44" s="201"/>
      <c r="BM44" s="201"/>
      <c r="BN44" s="201"/>
      <c r="BO44" s="201"/>
      <c r="BP44" s="201"/>
      <c r="BQ44" s="201"/>
      <c r="BR44" s="201"/>
      <c r="BS44" s="201"/>
      <c r="BT44" s="201"/>
      <c r="BU44" s="201"/>
      <c r="BV44" s="201"/>
      <c r="BW44" s="201"/>
      <c r="BX44" s="201"/>
      <c r="BY44" s="201"/>
      <c r="BZ44" s="201"/>
      <c r="CA44" s="201"/>
      <c r="CB44" s="201"/>
      <c r="CC44" s="201"/>
      <c r="CD44" s="98">
        <f t="shared" si="37"/>
        <v>1</v>
      </c>
    </row>
    <row r="45" s="123" customFormat="1" ht="21" customHeight="1" spans="1:82">
      <c r="A45" s="93">
        <v>43</v>
      </c>
      <c r="B45" s="334" t="s">
        <v>334</v>
      </c>
      <c r="C45" s="96"/>
      <c r="D45" s="100" t="str">
        <f t="shared" si="38"/>
        <v>R3LTAEAB083BA</v>
      </c>
      <c r="E45" s="335" t="s">
        <v>335</v>
      </c>
      <c r="F45" s="100" t="s">
        <v>234</v>
      </c>
      <c r="G45" s="331" t="s">
        <v>320</v>
      </c>
      <c r="H45" s="330" t="s">
        <v>124</v>
      </c>
      <c r="I45" s="98" t="str">
        <f t="shared" si="30"/>
        <v>FF211</v>
      </c>
      <c r="J45" s="98" t="str">
        <f t="shared" si="31"/>
        <v>205FF</v>
      </c>
      <c r="K45" s="100" t="str">
        <f t="shared" si="32"/>
        <v>3AEKC003AR205FF</v>
      </c>
      <c r="L45" s="102">
        <v>2</v>
      </c>
      <c r="M45" s="102">
        <v>5</v>
      </c>
      <c r="N45" s="102">
        <v>1</v>
      </c>
      <c r="O45" s="183">
        <v>1</v>
      </c>
      <c r="P45" s="102">
        <v>3</v>
      </c>
      <c r="Q45" s="98"/>
      <c r="R45" s="98"/>
      <c r="S45" s="98">
        <f t="shared" si="33"/>
        <v>15</v>
      </c>
      <c r="T45" s="98" t="str">
        <f t="shared" si="39"/>
        <v>TB271</v>
      </c>
      <c r="U45" s="98" t="str">
        <f t="shared" si="34"/>
        <v>205_1FI</v>
      </c>
      <c r="V45" s="98" t="str">
        <f t="shared" si="25"/>
        <v>a</v>
      </c>
      <c r="W45" s="98" t="str">
        <f t="shared" si="26"/>
        <v>b</v>
      </c>
      <c r="X45" s="98" t="str">
        <f t="shared" si="27"/>
        <v>IE-BUS</v>
      </c>
      <c r="Y45" s="98" t="str">
        <f t="shared" si="24"/>
        <v>--</v>
      </c>
      <c r="Z45" s="98"/>
      <c r="AA45" s="100" t="str">
        <f t="shared" si="35"/>
        <v>--</v>
      </c>
      <c r="AB45" s="102" t="str">
        <f t="shared" si="28"/>
        <v>--</v>
      </c>
      <c r="AC45" s="102" t="str">
        <f t="shared" si="29"/>
        <v>--</v>
      </c>
      <c r="AD45" s="98" t="s">
        <v>235</v>
      </c>
      <c r="AE45" s="98" t="s">
        <v>236</v>
      </c>
      <c r="AF45" s="102" t="s">
        <v>321</v>
      </c>
      <c r="AG45" s="98" t="s">
        <v>322</v>
      </c>
      <c r="AH45" s="98" t="str">
        <f t="shared" si="36"/>
        <v>DCS(提供220VAC)</v>
      </c>
      <c r="AI45" s="102" t="s">
        <v>336</v>
      </c>
      <c r="AJ45" s="336" t="s">
        <v>337</v>
      </c>
      <c r="AK45" s="331" t="s">
        <v>325</v>
      </c>
      <c r="AL45" s="331" t="s">
        <v>326</v>
      </c>
      <c r="AM45" s="331" t="s">
        <v>338</v>
      </c>
      <c r="AN45" s="76"/>
      <c r="AO45" s="76"/>
      <c r="AP45" s="102"/>
      <c r="AQ45" s="76" t="s">
        <v>31</v>
      </c>
      <c r="AR45" s="169"/>
      <c r="AS45" s="100"/>
      <c r="AT45" s="100"/>
      <c r="AU45" s="330" t="s">
        <v>245</v>
      </c>
      <c r="AV45" s="201"/>
      <c r="AW45" s="201"/>
      <c r="AX45" s="201"/>
      <c r="AY45" s="201"/>
      <c r="AZ45" s="201"/>
      <c r="BA45" s="201"/>
      <c r="BB45" s="201"/>
      <c r="BC45" s="201"/>
      <c r="BD45" s="201"/>
      <c r="BE45" s="201"/>
      <c r="BF45" s="201"/>
      <c r="BG45" s="201"/>
      <c r="BH45" s="201"/>
      <c r="BI45" s="201"/>
      <c r="BJ45" s="201"/>
      <c r="BK45" s="201"/>
      <c r="BL45" s="201"/>
      <c r="BM45" s="201"/>
      <c r="BN45" s="201"/>
      <c r="BO45" s="201"/>
      <c r="BP45" s="201"/>
      <c r="BQ45" s="201"/>
      <c r="BR45" s="201"/>
      <c r="BS45" s="201"/>
      <c r="BT45" s="201"/>
      <c r="BU45" s="201"/>
      <c r="BV45" s="201"/>
      <c r="BW45" s="201"/>
      <c r="BX45" s="201"/>
      <c r="BY45" s="201"/>
      <c r="BZ45" s="201"/>
      <c r="CA45" s="201"/>
      <c r="CB45" s="201"/>
      <c r="CC45" s="201"/>
      <c r="CD45" s="98">
        <f t="shared" si="37"/>
        <v>1</v>
      </c>
    </row>
    <row r="46" s="123" customFormat="1" ht="21" customHeight="1" spans="1:82">
      <c r="A46" s="171">
        <v>44</v>
      </c>
      <c r="B46" s="337" t="s">
        <v>339</v>
      </c>
      <c r="C46" s="172"/>
      <c r="D46" s="173" t="str">
        <f t="shared" si="38"/>
        <v>R3PTAEAB012PO</v>
      </c>
      <c r="E46" s="338" t="s">
        <v>340</v>
      </c>
      <c r="F46" s="173" t="s">
        <v>234</v>
      </c>
      <c r="G46" s="339" t="s">
        <v>341</v>
      </c>
      <c r="H46" s="322" t="s">
        <v>124</v>
      </c>
      <c r="I46" s="184" t="str">
        <f t="shared" si="30"/>
        <v>FF211</v>
      </c>
      <c r="J46" s="184" t="str">
        <f t="shared" si="31"/>
        <v>205FF</v>
      </c>
      <c r="K46" s="173" t="str">
        <f t="shared" si="32"/>
        <v>3AEKC003AR205FF</v>
      </c>
      <c r="L46" s="175">
        <v>2</v>
      </c>
      <c r="M46" s="175">
        <v>5</v>
      </c>
      <c r="N46" s="175">
        <v>1</v>
      </c>
      <c r="O46" s="185">
        <v>2</v>
      </c>
      <c r="P46" s="175">
        <v>1</v>
      </c>
      <c r="Q46" s="184"/>
      <c r="R46" s="184"/>
      <c r="S46" s="184">
        <f t="shared" si="33"/>
        <v>15</v>
      </c>
      <c r="T46" s="184" t="str">
        <f t="shared" si="39"/>
        <v>TB271</v>
      </c>
      <c r="U46" s="184" t="str">
        <f t="shared" si="34"/>
        <v>205_1FI</v>
      </c>
      <c r="V46" s="184" t="str">
        <f t="shared" si="25"/>
        <v>a</v>
      </c>
      <c r="W46" s="184" t="str">
        <f t="shared" si="26"/>
        <v>b</v>
      </c>
      <c r="X46" s="184" t="str">
        <f t="shared" si="27"/>
        <v>IE-BUS</v>
      </c>
      <c r="Y46" s="184" t="str">
        <f t="shared" si="24"/>
        <v>--</v>
      </c>
      <c r="Z46" s="184"/>
      <c r="AA46" s="173" t="str">
        <f t="shared" si="35"/>
        <v>--</v>
      </c>
      <c r="AB46" s="175" t="str">
        <f t="shared" si="28"/>
        <v>--</v>
      </c>
      <c r="AC46" s="175" t="str">
        <f t="shared" si="29"/>
        <v>--</v>
      </c>
      <c r="AD46" s="184" t="s">
        <v>235</v>
      </c>
      <c r="AE46" s="184" t="s">
        <v>236</v>
      </c>
      <c r="AF46" s="175" t="s">
        <v>321</v>
      </c>
      <c r="AG46" s="184" t="s">
        <v>322</v>
      </c>
      <c r="AH46" s="184" t="str">
        <f t="shared" si="36"/>
        <v>USER</v>
      </c>
      <c r="AI46" s="175" t="s">
        <v>342</v>
      </c>
      <c r="AJ46" s="340" t="s">
        <v>331</v>
      </c>
      <c r="AK46" s="339" t="s">
        <v>343</v>
      </c>
      <c r="AL46" s="339" t="s">
        <v>242</v>
      </c>
      <c r="AM46" s="339" t="s">
        <v>344</v>
      </c>
      <c r="AN46" s="198"/>
      <c r="AO46" s="198"/>
      <c r="AP46" s="175"/>
      <c r="AQ46" s="198" t="s">
        <v>31</v>
      </c>
      <c r="AR46" s="174" t="s">
        <v>345</v>
      </c>
      <c r="AS46" s="173"/>
      <c r="AT46" s="173"/>
      <c r="AU46" s="322" t="s">
        <v>245</v>
      </c>
      <c r="AV46" s="202"/>
      <c r="AW46" s="202"/>
      <c r="AX46" s="202"/>
      <c r="AY46" s="202"/>
      <c r="AZ46" s="202"/>
      <c r="BA46" s="202"/>
      <c r="BB46" s="202"/>
      <c r="BC46" s="202"/>
      <c r="BD46" s="202"/>
      <c r="BE46" s="202"/>
      <c r="BF46" s="202"/>
      <c r="BG46" s="202"/>
      <c r="BH46" s="202"/>
      <c r="BI46" s="202"/>
      <c r="BJ46" s="202"/>
      <c r="BK46" s="202"/>
      <c r="BL46" s="202"/>
      <c r="BM46" s="202"/>
      <c r="BN46" s="202"/>
      <c r="BO46" s="202"/>
      <c r="BP46" s="202"/>
      <c r="BQ46" s="202"/>
      <c r="BR46" s="202"/>
      <c r="BS46" s="202"/>
      <c r="BT46" s="202"/>
      <c r="BU46" s="202"/>
      <c r="BV46" s="202"/>
      <c r="BW46" s="202"/>
      <c r="BX46" s="202"/>
      <c r="BY46" s="202"/>
      <c r="BZ46" s="202"/>
      <c r="CA46" s="202"/>
      <c r="CB46" s="202"/>
      <c r="CC46" s="202"/>
      <c r="CD46" s="184">
        <f t="shared" si="37"/>
        <v>3</v>
      </c>
    </row>
    <row r="47" s="123" customFormat="1" ht="21" customHeight="1" spans="1:82">
      <c r="A47" s="93">
        <v>45</v>
      </c>
      <c r="B47" s="334" t="s">
        <v>346</v>
      </c>
      <c r="C47" s="96"/>
      <c r="D47" s="100" t="str">
        <f t="shared" si="38"/>
        <v>R3FTAE01149R</v>
      </c>
      <c r="E47" s="335" t="s">
        <v>347</v>
      </c>
      <c r="F47" s="100" t="s">
        <v>234</v>
      </c>
      <c r="G47" s="331" t="s">
        <v>341</v>
      </c>
      <c r="H47" s="330" t="s">
        <v>124</v>
      </c>
      <c r="I47" s="98" t="str">
        <f t="shared" si="30"/>
        <v>FF211</v>
      </c>
      <c r="J47" s="98" t="str">
        <f t="shared" si="31"/>
        <v>205FF</v>
      </c>
      <c r="K47" s="100" t="str">
        <f t="shared" si="32"/>
        <v>3AEKC003AR205FF</v>
      </c>
      <c r="L47" s="102">
        <v>2</v>
      </c>
      <c r="M47" s="102">
        <v>5</v>
      </c>
      <c r="N47" s="102">
        <v>1</v>
      </c>
      <c r="O47" s="186">
        <v>2</v>
      </c>
      <c r="P47" s="102">
        <v>2</v>
      </c>
      <c r="Q47" s="98"/>
      <c r="R47" s="98"/>
      <c r="S47" s="98">
        <f t="shared" si="33"/>
        <v>15</v>
      </c>
      <c r="T47" s="98" t="str">
        <f t="shared" si="39"/>
        <v>TB271</v>
      </c>
      <c r="U47" s="98" t="str">
        <f t="shared" si="34"/>
        <v>205_1FI</v>
      </c>
      <c r="V47" s="98" t="str">
        <f t="shared" si="25"/>
        <v>a</v>
      </c>
      <c r="W47" s="98" t="str">
        <f t="shared" si="26"/>
        <v>b</v>
      </c>
      <c r="X47" s="98" t="str">
        <f t="shared" si="27"/>
        <v>IE-BUS</v>
      </c>
      <c r="Y47" s="98" t="str">
        <f t="shared" si="24"/>
        <v>--</v>
      </c>
      <c r="Z47" s="98"/>
      <c r="AA47" s="100" t="str">
        <f t="shared" si="35"/>
        <v>--</v>
      </c>
      <c r="AB47" s="102" t="str">
        <f t="shared" si="28"/>
        <v>--</v>
      </c>
      <c r="AC47" s="102" t="str">
        <f t="shared" si="29"/>
        <v>--</v>
      </c>
      <c r="AD47" s="98" t="s">
        <v>235</v>
      </c>
      <c r="AE47" s="98" t="s">
        <v>236</v>
      </c>
      <c r="AF47" s="102" t="s">
        <v>321</v>
      </c>
      <c r="AG47" s="98" t="s">
        <v>322</v>
      </c>
      <c r="AH47" s="98" t="str">
        <f t="shared" si="36"/>
        <v>USER</v>
      </c>
      <c r="AI47" s="102" t="s">
        <v>348</v>
      </c>
      <c r="AJ47" s="336" t="s">
        <v>337</v>
      </c>
      <c r="AK47" s="331" t="s">
        <v>349</v>
      </c>
      <c r="AL47" s="331" t="s">
        <v>242</v>
      </c>
      <c r="AM47" s="331" t="s">
        <v>344</v>
      </c>
      <c r="AN47" s="76"/>
      <c r="AO47" s="76"/>
      <c r="AP47" s="102"/>
      <c r="AQ47" s="76" t="s">
        <v>31</v>
      </c>
      <c r="AR47" s="169" t="s">
        <v>345</v>
      </c>
      <c r="AS47" s="100"/>
      <c r="AT47" s="100"/>
      <c r="AU47" s="330" t="s">
        <v>245</v>
      </c>
      <c r="AV47" s="201"/>
      <c r="AW47" s="201"/>
      <c r="AX47" s="201"/>
      <c r="AY47" s="201"/>
      <c r="AZ47" s="201"/>
      <c r="BA47" s="201"/>
      <c r="BB47" s="201"/>
      <c r="BC47" s="201"/>
      <c r="BD47" s="201"/>
      <c r="BE47" s="201"/>
      <c r="BF47" s="201"/>
      <c r="BG47" s="201"/>
      <c r="BH47" s="201"/>
      <c r="BI47" s="201"/>
      <c r="BJ47" s="201"/>
      <c r="BK47" s="201"/>
      <c r="BL47" s="201"/>
      <c r="BM47" s="201"/>
      <c r="BN47" s="201"/>
      <c r="BO47" s="201"/>
      <c r="BP47" s="201"/>
      <c r="BQ47" s="201"/>
      <c r="BR47" s="201"/>
      <c r="BS47" s="201"/>
      <c r="BT47" s="201"/>
      <c r="BU47" s="201"/>
      <c r="BV47" s="201"/>
      <c r="BW47" s="201"/>
      <c r="BX47" s="201"/>
      <c r="BY47" s="201"/>
      <c r="BZ47" s="201"/>
      <c r="CA47" s="201"/>
      <c r="CB47" s="201"/>
      <c r="CC47" s="201"/>
      <c r="CD47" s="98">
        <f t="shared" si="37"/>
        <v>3</v>
      </c>
    </row>
    <row r="48" s="123" customFormat="1" ht="21" customHeight="1" spans="1:82">
      <c r="A48" s="93">
        <v>46</v>
      </c>
      <c r="B48" s="334" t="s">
        <v>350</v>
      </c>
      <c r="C48" s="96"/>
      <c r="D48" s="100" t="str">
        <f t="shared" si="38"/>
        <v>R3PTAEAB005PV</v>
      </c>
      <c r="E48" s="335" t="s">
        <v>351</v>
      </c>
      <c r="F48" s="100" t="s">
        <v>234</v>
      </c>
      <c r="G48" s="331" t="s">
        <v>341</v>
      </c>
      <c r="H48" s="330" t="s">
        <v>124</v>
      </c>
      <c r="I48" s="98" t="str">
        <f t="shared" si="30"/>
        <v>FF211</v>
      </c>
      <c r="J48" s="98" t="str">
        <f t="shared" si="31"/>
        <v>205FF</v>
      </c>
      <c r="K48" s="100" t="str">
        <f t="shared" si="32"/>
        <v>3AEKC003AR205FF</v>
      </c>
      <c r="L48" s="102">
        <v>2</v>
      </c>
      <c r="M48" s="102">
        <v>5</v>
      </c>
      <c r="N48" s="102">
        <v>1</v>
      </c>
      <c r="O48" s="186">
        <v>2</v>
      </c>
      <c r="P48" s="102">
        <v>3</v>
      </c>
      <c r="Q48" s="98"/>
      <c r="R48" s="98"/>
      <c r="S48" s="98">
        <f t="shared" si="33"/>
        <v>15</v>
      </c>
      <c r="T48" s="98" t="str">
        <f t="shared" si="39"/>
        <v>TB271</v>
      </c>
      <c r="U48" s="98" t="str">
        <f t="shared" si="34"/>
        <v>205_1FI</v>
      </c>
      <c r="V48" s="98" t="str">
        <f t="shared" si="25"/>
        <v>a</v>
      </c>
      <c r="W48" s="98" t="str">
        <f t="shared" si="26"/>
        <v>b</v>
      </c>
      <c r="X48" s="98" t="str">
        <f t="shared" si="27"/>
        <v>IE-BUS</v>
      </c>
      <c r="Y48" s="98" t="str">
        <f t="shared" si="24"/>
        <v>--</v>
      </c>
      <c r="Z48" s="98"/>
      <c r="AA48" s="100" t="str">
        <f t="shared" si="35"/>
        <v>--</v>
      </c>
      <c r="AB48" s="102" t="str">
        <f t="shared" si="28"/>
        <v>--</v>
      </c>
      <c r="AC48" s="102" t="str">
        <f t="shared" si="29"/>
        <v>--</v>
      </c>
      <c r="AD48" s="98" t="s">
        <v>235</v>
      </c>
      <c r="AE48" s="98" t="s">
        <v>236</v>
      </c>
      <c r="AF48" s="102" t="s">
        <v>352</v>
      </c>
      <c r="AG48" s="98" t="s">
        <v>322</v>
      </c>
      <c r="AH48" s="98" t="str">
        <f t="shared" si="36"/>
        <v>DCS</v>
      </c>
      <c r="AI48" s="102" t="s">
        <v>353</v>
      </c>
      <c r="AJ48" s="336" t="s">
        <v>354</v>
      </c>
      <c r="AK48" s="102" t="s">
        <v>276</v>
      </c>
      <c r="AL48" s="331" t="s">
        <v>242</v>
      </c>
      <c r="AM48" s="331" t="s">
        <v>277</v>
      </c>
      <c r="AN48" s="76"/>
      <c r="AO48" s="76"/>
      <c r="AP48" s="102"/>
      <c r="AQ48" s="76" t="s">
        <v>31</v>
      </c>
      <c r="AR48" s="169" t="s">
        <v>345</v>
      </c>
      <c r="AS48" s="100"/>
      <c r="AT48" s="100"/>
      <c r="AU48" s="330" t="s">
        <v>245</v>
      </c>
      <c r="AV48" s="201"/>
      <c r="AW48" s="201"/>
      <c r="AX48" s="201"/>
      <c r="AY48" s="201"/>
      <c r="AZ48" s="201"/>
      <c r="BA48" s="201"/>
      <c r="BB48" s="201"/>
      <c r="BC48" s="201"/>
      <c r="BD48" s="201"/>
      <c r="BE48" s="201"/>
      <c r="BF48" s="201"/>
      <c r="BG48" s="201"/>
      <c r="BH48" s="201"/>
      <c r="BI48" s="201"/>
      <c r="BJ48" s="201"/>
      <c r="BK48" s="201"/>
      <c r="BL48" s="204"/>
      <c r="BM48" s="201"/>
      <c r="BN48" s="201"/>
      <c r="BO48" s="201"/>
      <c r="BP48" s="204"/>
      <c r="BQ48" s="201"/>
      <c r="BR48" s="201"/>
      <c r="BS48" s="201"/>
      <c r="BT48" s="201"/>
      <c r="BU48" s="201"/>
      <c r="BV48" s="201"/>
      <c r="BW48" s="201"/>
      <c r="BX48" s="201"/>
      <c r="BY48" s="201"/>
      <c r="BZ48" s="201"/>
      <c r="CA48" s="201"/>
      <c r="CB48" s="201"/>
      <c r="CC48" s="201"/>
      <c r="CD48" s="98">
        <f t="shared" si="37"/>
        <v>2</v>
      </c>
    </row>
    <row r="49" s="123" customFormat="1" ht="21" customHeight="1" spans="1:82">
      <c r="A49" s="93">
        <v>47</v>
      </c>
      <c r="B49" s="334" t="s">
        <v>355</v>
      </c>
      <c r="C49" s="96"/>
      <c r="D49" s="100" t="str">
        <f t="shared" si="38"/>
        <v>R3TEAEAB001EX1</v>
      </c>
      <c r="E49" s="335" t="s">
        <v>356</v>
      </c>
      <c r="F49" s="100" t="s">
        <v>234</v>
      </c>
      <c r="G49" s="331" t="s">
        <v>341</v>
      </c>
      <c r="H49" s="330" t="s">
        <v>124</v>
      </c>
      <c r="I49" s="98" t="str">
        <f t="shared" si="30"/>
        <v>FF211</v>
      </c>
      <c r="J49" s="98" t="str">
        <f t="shared" si="31"/>
        <v>205FF</v>
      </c>
      <c r="K49" s="100" t="str">
        <f t="shared" si="32"/>
        <v>3AEKC003AR205FF</v>
      </c>
      <c r="L49" s="102">
        <v>2</v>
      </c>
      <c r="M49" s="102">
        <v>5</v>
      </c>
      <c r="N49" s="102">
        <v>1</v>
      </c>
      <c r="O49" s="186">
        <v>2</v>
      </c>
      <c r="P49" s="102">
        <v>4</v>
      </c>
      <c r="Q49" s="98"/>
      <c r="R49" s="98"/>
      <c r="S49" s="98">
        <f t="shared" si="33"/>
        <v>15</v>
      </c>
      <c r="T49" s="98" t="str">
        <f t="shared" si="39"/>
        <v>TB271</v>
      </c>
      <c r="U49" s="98" t="str">
        <f t="shared" si="34"/>
        <v>205_1FI</v>
      </c>
      <c r="V49" s="98" t="str">
        <f t="shared" si="25"/>
        <v>a</v>
      </c>
      <c r="W49" s="98" t="str">
        <f t="shared" si="26"/>
        <v>b</v>
      </c>
      <c r="X49" s="98" t="str">
        <f t="shared" si="27"/>
        <v>IE-BUS</v>
      </c>
      <c r="Y49" s="98" t="str">
        <f t="shared" si="24"/>
        <v>--</v>
      </c>
      <c r="Z49" s="98"/>
      <c r="AA49" s="100" t="str">
        <f t="shared" si="35"/>
        <v>--</v>
      </c>
      <c r="AB49" s="102" t="str">
        <f t="shared" si="28"/>
        <v>--</v>
      </c>
      <c r="AC49" s="102" t="str">
        <f t="shared" si="29"/>
        <v>--</v>
      </c>
      <c r="AD49" s="98" t="s">
        <v>235</v>
      </c>
      <c r="AE49" s="98" t="s">
        <v>236</v>
      </c>
      <c r="AF49" s="102" t="s">
        <v>321</v>
      </c>
      <c r="AG49" s="98" t="s">
        <v>322</v>
      </c>
      <c r="AH49" s="98" t="str">
        <f t="shared" si="36"/>
        <v>DCS</v>
      </c>
      <c r="AI49" s="331" t="s">
        <v>323</v>
      </c>
      <c r="AJ49" s="336" t="s">
        <v>324</v>
      </c>
      <c r="AK49" s="331" t="s">
        <v>265</v>
      </c>
      <c r="AL49" s="331" t="s">
        <v>242</v>
      </c>
      <c r="AM49" s="331" t="s">
        <v>357</v>
      </c>
      <c r="AN49" s="76"/>
      <c r="AO49" s="76"/>
      <c r="AP49" s="102"/>
      <c r="AQ49" s="76" t="s">
        <v>31</v>
      </c>
      <c r="AR49" s="335" t="s">
        <v>358</v>
      </c>
      <c r="AS49" s="100"/>
      <c r="AT49" s="100"/>
      <c r="AU49" s="330" t="s">
        <v>245</v>
      </c>
      <c r="AV49" s="201"/>
      <c r="AW49" s="201"/>
      <c r="AX49" s="201"/>
      <c r="AY49" s="201"/>
      <c r="AZ49" s="201"/>
      <c r="BA49" s="201"/>
      <c r="BB49" s="201"/>
      <c r="BC49" s="201"/>
      <c r="BD49" s="201"/>
      <c r="BE49" s="201"/>
      <c r="BF49" s="201"/>
      <c r="BG49" s="201"/>
      <c r="BH49" s="201"/>
      <c r="BI49" s="201"/>
      <c r="BJ49" s="201"/>
      <c r="BK49" s="201"/>
      <c r="BL49" s="204"/>
      <c r="BM49" s="201"/>
      <c r="BN49" s="201"/>
      <c r="BO49" s="201"/>
      <c r="BP49" s="204"/>
      <c r="BQ49" s="201"/>
      <c r="BR49" s="201"/>
      <c r="BS49" s="201"/>
      <c r="BT49" s="201"/>
      <c r="BU49" s="201"/>
      <c r="BV49" s="201"/>
      <c r="BW49" s="201"/>
      <c r="BX49" s="201"/>
      <c r="BY49" s="201"/>
      <c r="BZ49" s="201"/>
      <c r="CA49" s="201"/>
      <c r="CB49" s="201"/>
      <c r="CC49" s="201"/>
      <c r="CD49" s="98">
        <f t="shared" si="37"/>
        <v>2</v>
      </c>
    </row>
    <row r="50" s="123" customFormat="1" ht="21" customHeight="1" spans="1:82">
      <c r="A50" s="93">
        <v>48</v>
      </c>
      <c r="B50" s="334" t="s">
        <v>359</v>
      </c>
      <c r="C50" s="96"/>
      <c r="D50" s="100" t="str">
        <f t="shared" si="38"/>
        <v>R3TEAEAB002EX1</v>
      </c>
      <c r="E50" s="335" t="s">
        <v>360</v>
      </c>
      <c r="F50" s="100" t="s">
        <v>234</v>
      </c>
      <c r="G50" s="331" t="s">
        <v>341</v>
      </c>
      <c r="H50" s="330" t="s">
        <v>124</v>
      </c>
      <c r="I50" s="98" t="str">
        <f t="shared" si="30"/>
        <v>FF211</v>
      </c>
      <c r="J50" s="98" t="str">
        <f t="shared" si="31"/>
        <v>205FF</v>
      </c>
      <c r="K50" s="100" t="str">
        <f t="shared" si="32"/>
        <v>3AEKC003AR205FF</v>
      </c>
      <c r="L50" s="102">
        <v>2</v>
      </c>
      <c r="M50" s="102">
        <v>5</v>
      </c>
      <c r="N50" s="102">
        <v>1</v>
      </c>
      <c r="O50" s="186">
        <v>2</v>
      </c>
      <c r="P50" s="102">
        <v>4</v>
      </c>
      <c r="Q50" s="98"/>
      <c r="R50" s="98"/>
      <c r="S50" s="98">
        <f t="shared" si="33"/>
        <v>15</v>
      </c>
      <c r="T50" s="98" t="str">
        <f t="shared" si="39"/>
        <v>TB271</v>
      </c>
      <c r="U50" s="98" t="str">
        <f t="shared" si="34"/>
        <v>205_1FI</v>
      </c>
      <c r="V50" s="98" t="str">
        <f t="shared" si="25"/>
        <v>a</v>
      </c>
      <c r="W50" s="98" t="str">
        <f t="shared" si="26"/>
        <v>b</v>
      </c>
      <c r="X50" s="98" t="str">
        <f t="shared" si="27"/>
        <v>IE-BUS</v>
      </c>
      <c r="Y50" s="98" t="str">
        <f t="shared" si="24"/>
        <v>--</v>
      </c>
      <c r="Z50" s="98"/>
      <c r="AA50" s="100" t="str">
        <f t="shared" si="35"/>
        <v>--</v>
      </c>
      <c r="AB50" s="102" t="str">
        <f t="shared" si="28"/>
        <v>--</v>
      </c>
      <c r="AC50" s="102" t="str">
        <f t="shared" si="29"/>
        <v>--</v>
      </c>
      <c r="AD50" s="98" t="s">
        <v>235</v>
      </c>
      <c r="AE50" s="98" t="s">
        <v>236</v>
      </c>
      <c r="AF50" s="102" t="s">
        <v>321</v>
      </c>
      <c r="AG50" s="98" t="s">
        <v>322</v>
      </c>
      <c r="AH50" s="98" t="str">
        <f t="shared" si="36"/>
        <v>DCS</v>
      </c>
      <c r="AI50" s="331" t="s">
        <v>323</v>
      </c>
      <c r="AJ50" s="336" t="s">
        <v>324</v>
      </c>
      <c r="AK50" s="331" t="s">
        <v>265</v>
      </c>
      <c r="AL50" s="331" t="s">
        <v>242</v>
      </c>
      <c r="AM50" s="331" t="s">
        <v>277</v>
      </c>
      <c r="AN50" s="76"/>
      <c r="AO50" s="76"/>
      <c r="AP50" s="102"/>
      <c r="AQ50" s="76" t="s">
        <v>31</v>
      </c>
      <c r="AR50" s="335" t="s">
        <v>358</v>
      </c>
      <c r="AS50" s="100"/>
      <c r="AT50" s="100"/>
      <c r="AU50" s="330" t="s">
        <v>245</v>
      </c>
      <c r="AV50" s="201"/>
      <c r="AW50" s="201"/>
      <c r="AX50" s="201"/>
      <c r="AY50" s="201"/>
      <c r="AZ50" s="201"/>
      <c r="BA50" s="201"/>
      <c r="BB50" s="201"/>
      <c r="BC50" s="201"/>
      <c r="BD50" s="201"/>
      <c r="BE50" s="201"/>
      <c r="BF50" s="201"/>
      <c r="BG50" s="201"/>
      <c r="BH50" s="201"/>
      <c r="BI50" s="201"/>
      <c r="BJ50" s="201"/>
      <c r="BK50" s="201"/>
      <c r="BL50" s="204"/>
      <c r="BM50" s="201"/>
      <c r="BN50" s="201"/>
      <c r="BO50" s="201"/>
      <c r="BP50" s="204"/>
      <c r="BQ50" s="201"/>
      <c r="BR50" s="201"/>
      <c r="BS50" s="201"/>
      <c r="BT50" s="201"/>
      <c r="BU50" s="201"/>
      <c r="BV50" s="201"/>
      <c r="BW50" s="201"/>
      <c r="BX50" s="201"/>
      <c r="BY50" s="201"/>
      <c r="BZ50" s="201"/>
      <c r="CA50" s="201"/>
      <c r="CB50" s="201"/>
      <c r="CC50" s="201"/>
      <c r="CD50" s="98">
        <f t="shared" si="37"/>
        <v>2</v>
      </c>
    </row>
    <row r="51" s="123" customFormat="1" ht="21" customHeight="1" spans="1:82">
      <c r="A51" s="93">
        <v>49</v>
      </c>
      <c r="B51" s="334" t="s">
        <v>361</v>
      </c>
      <c r="C51" s="96"/>
      <c r="D51" s="100" t="str">
        <f t="shared" si="38"/>
        <v>R3TEAEAB003RX</v>
      </c>
      <c r="E51" s="335" t="s">
        <v>362</v>
      </c>
      <c r="F51" s="100" t="s">
        <v>234</v>
      </c>
      <c r="G51" s="331" t="s">
        <v>341</v>
      </c>
      <c r="H51" s="330" t="s">
        <v>124</v>
      </c>
      <c r="I51" s="98" t="str">
        <f t="shared" si="30"/>
        <v>FF211</v>
      </c>
      <c r="J51" s="98" t="str">
        <f t="shared" si="31"/>
        <v>205FF</v>
      </c>
      <c r="K51" s="100" t="str">
        <f t="shared" si="32"/>
        <v>3AEKC003AR205FF</v>
      </c>
      <c r="L51" s="102">
        <v>2</v>
      </c>
      <c r="M51" s="102">
        <v>5</v>
      </c>
      <c r="N51" s="102">
        <v>1</v>
      </c>
      <c r="O51" s="186">
        <v>2</v>
      </c>
      <c r="P51" s="102">
        <v>4</v>
      </c>
      <c r="Q51" s="98"/>
      <c r="R51" s="98"/>
      <c r="S51" s="98">
        <f t="shared" si="33"/>
        <v>15</v>
      </c>
      <c r="T51" s="98" t="str">
        <f t="shared" si="39"/>
        <v>TB271</v>
      </c>
      <c r="U51" s="98" t="str">
        <f t="shared" si="34"/>
        <v>205_1FI</v>
      </c>
      <c r="V51" s="98" t="str">
        <f t="shared" si="25"/>
        <v>a</v>
      </c>
      <c r="W51" s="98" t="str">
        <f t="shared" si="26"/>
        <v>b</v>
      </c>
      <c r="X51" s="98" t="str">
        <f t="shared" si="27"/>
        <v>IE-BUS</v>
      </c>
      <c r="Y51" s="98" t="str">
        <f t="shared" si="24"/>
        <v>--</v>
      </c>
      <c r="Z51" s="98"/>
      <c r="AA51" s="100" t="str">
        <f t="shared" si="35"/>
        <v>--</v>
      </c>
      <c r="AB51" s="102" t="str">
        <f t="shared" si="28"/>
        <v>--</v>
      </c>
      <c r="AC51" s="102" t="str">
        <f t="shared" si="29"/>
        <v>--</v>
      </c>
      <c r="AD51" s="98" t="s">
        <v>235</v>
      </c>
      <c r="AE51" s="98" t="s">
        <v>236</v>
      </c>
      <c r="AF51" s="102" t="s">
        <v>321</v>
      </c>
      <c r="AG51" s="98" t="s">
        <v>322</v>
      </c>
      <c r="AH51" s="98" t="str">
        <f t="shared" si="36"/>
        <v>DCS</v>
      </c>
      <c r="AI51" s="331" t="s">
        <v>323</v>
      </c>
      <c r="AJ51" s="336" t="s">
        <v>324</v>
      </c>
      <c r="AK51" s="331" t="s">
        <v>265</v>
      </c>
      <c r="AL51" s="331" t="s">
        <v>242</v>
      </c>
      <c r="AM51" s="331" t="s">
        <v>363</v>
      </c>
      <c r="AN51" s="76"/>
      <c r="AO51" s="76"/>
      <c r="AP51" s="102"/>
      <c r="AQ51" s="76" t="s">
        <v>31</v>
      </c>
      <c r="AR51" s="335" t="s">
        <v>358</v>
      </c>
      <c r="AS51" s="100"/>
      <c r="AT51" s="100"/>
      <c r="AU51" s="330" t="s">
        <v>245</v>
      </c>
      <c r="AV51" s="201"/>
      <c r="AW51" s="201"/>
      <c r="AX51" s="201"/>
      <c r="AY51" s="201"/>
      <c r="AZ51" s="201"/>
      <c r="BA51" s="201"/>
      <c r="BB51" s="201"/>
      <c r="BC51" s="201"/>
      <c r="BD51" s="201"/>
      <c r="BE51" s="201"/>
      <c r="BF51" s="201"/>
      <c r="BG51" s="201"/>
      <c r="BH51" s="201"/>
      <c r="BI51" s="201"/>
      <c r="BJ51" s="201"/>
      <c r="BK51" s="201"/>
      <c r="BL51" s="204"/>
      <c r="BM51" s="201"/>
      <c r="BN51" s="201"/>
      <c r="BO51" s="201"/>
      <c r="BP51" s="204"/>
      <c r="BQ51" s="201"/>
      <c r="BR51" s="201"/>
      <c r="BS51" s="201"/>
      <c r="BT51" s="201"/>
      <c r="BU51" s="201"/>
      <c r="BV51" s="201"/>
      <c r="BW51" s="201"/>
      <c r="BX51" s="201"/>
      <c r="BY51" s="201"/>
      <c r="BZ51" s="201"/>
      <c r="CA51" s="201"/>
      <c r="CB51" s="201"/>
      <c r="CC51" s="201"/>
      <c r="CD51" s="98">
        <f t="shared" si="37"/>
        <v>1</v>
      </c>
    </row>
    <row r="52" s="123" customFormat="1" ht="21" customHeight="1" spans="1:82">
      <c r="A52" s="171">
        <v>50</v>
      </c>
      <c r="B52" s="337" t="s">
        <v>364</v>
      </c>
      <c r="C52" s="341" t="s">
        <v>365</v>
      </c>
      <c r="D52" s="173" t="str">
        <f t="shared" si="38"/>
        <v>R3AEAB013PO_QF</v>
      </c>
      <c r="E52" s="338" t="s">
        <v>366</v>
      </c>
      <c r="F52" s="173" t="s">
        <v>234</v>
      </c>
      <c r="G52" s="339" t="s">
        <v>367</v>
      </c>
      <c r="H52" s="322" t="s">
        <v>124</v>
      </c>
      <c r="I52" s="184" t="str">
        <f t="shared" si="30"/>
        <v>FF211</v>
      </c>
      <c r="J52" s="184" t="str">
        <f t="shared" si="31"/>
        <v>205FF</v>
      </c>
      <c r="K52" s="173" t="str">
        <f t="shared" si="32"/>
        <v>3AEKC003AR205FF</v>
      </c>
      <c r="L52" s="175">
        <v>2</v>
      </c>
      <c r="M52" s="175">
        <v>5</v>
      </c>
      <c r="N52" s="175">
        <v>2</v>
      </c>
      <c r="O52" s="185">
        <v>1</v>
      </c>
      <c r="P52" s="175">
        <v>1</v>
      </c>
      <c r="Q52" s="184"/>
      <c r="R52" s="184"/>
      <c r="S52" s="184">
        <f t="shared" si="33"/>
        <v>15</v>
      </c>
      <c r="T52" s="184" t="str">
        <f t="shared" si="39"/>
        <v>TB271</v>
      </c>
      <c r="U52" s="184" t="str">
        <f t="shared" si="34"/>
        <v>205_2FI</v>
      </c>
      <c r="V52" s="184" t="str">
        <f t="shared" si="25"/>
        <v>a</v>
      </c>
      <c r="W52" s="184" t="str">
        <f t="shared" si="26"/>
        <v>b</v>
      </c>
      <c r="X52" s="184" t="str">
        <f t="shared" si="27"/>
        <v>IE-BUS</v>
      </c>
      <c r="Y52" s="184" t="str">
        <f t="shared" si="24"/>
        <v>--</v>
      </c>
      <c r="Z52" s="184" t="s">
        <v>368</v>
      </c>
      <c r="AA52" s="173" t="str">
        <f t="shared" si="35"/>
        <v>3AEKC-817BC_1_FS202</v>
      </c>
      <c r="AB52" s="175" t="str">
        <f t="shared" si="28"/>
        <v>1A</v>
      </c>
      <c r="AC52" s="175" t="str">
        <f t="shared" si="29"/>
        <v>1B</v>
      </c>
      <c r="AD52" s="184" t="s">
        <v>235</v>
      </c>
      <c r="AE52" s="184" t="s">
        <v>236</v>
      </c>
      <c r="AF52" s="339" t="s">
        <v>369</v>
      </c>
      <c r="AG52" s="184" t="s">
        <v>322</v>
      </c>
      <c r="AH52" s="184" t="str">
        <f t="shared" si="36"/>
        <v>DCS</v>
      </c>
      <c r="AI52" s="339" t="s">
        <v>370</v>
      </c>
      <c r="AJ52" s="197" t="s">
        <v>371</v>
      </c>
      <c r="AK52" s="175"/>
      <c r="AL52" s="175"/>
      <c r="AM52" s="175"/>
      <c r="AN52" s="173"/>
      <c r="AO52" s="173"/>
      <c r="AP52" s="175"/>
      <c r="AQ52" s="198" t="s">
        <v>31</v>
      </c>
      <c r="AR52" s="203"/>
      <c r="AS52" s="173"/>
      <c r="AT52" s="175"/>
      <c r="AU52" s="322" t="s">
        <v>245</v>
      </c>
      <c r="AV52" s="173"/>
      <c r="AW52" s="202"/>
      <c r="AX52" s="202"/>
      <c r="AY52" s="202"/>
      <c r="AZ52" s="202"/>
      <c r="BA52" s="202"/>
      <c r="BB52" s="202"/>
      <c r="BC52" s="202"/>
      <c r="BD52" s="202"/>
      <c r="BE52" s="202"/>
      <c r="BF52" s="202"/>
      <c r="BG52" s="202"/>
      <c r="BH52" s="202"/>
      <c r="BI52" s="202"/>
      <c r="BJ52" s="202"/>
      <c r="BK52" s="202"/>
      <c r="BL52" s="202"/>
      <c r="BM52" s="202"/>
      <c r="BN52" s="202"/>
      <c r="BO52" s="202"/>
      <c r="BP52" s="202"/>
      <c r="BQ52" s="202"/>
      <c r="BR52" s="202"/>
      <c r="BS52" s="202"/>
      <c r="BT52" s="202"/>
      <c r="BU52" s="202"/>
      <c r="BV52" s="202"/>
      <c r="BW52" s="202"/>
      <c r="BX52" s="202"/>
      <c r="BY52" s="202"/>
      <c r="BZ52" s="202"/>
      <c r="CA52" s="202"/>
      <c r="CB52" s="202"/>
      <c r="CC52" s="202"/>
      <c r="CD52" s="184" t="str">
        <f t="shared" si="37"/>
        <v/>
      </c>
    </row>
    <row r="53" s="123" customFormat="1" ht="21" customHeight="1" spans="1:82">
      <c r="A53" s="93">
        <v>51</v>
      </c>
      <c r="B53" s="334" t="s">
        <v>364</v>
      </c>
      <c r="C53" s="342" t="s">
        <v>372</v>
      </c>
      <c r="D53" s="100" t="str">
        <f t="shared" si="38"/>
        <v>R3AEAB013PO_TF</v>
      </c>
      <c r="E53" s="335" t="s">
        <v>373</v>
      </c>
      <c r="F53" s="100" t="s">
        <v>234</v>
      </c>
      <c r="G53" s="331" t="s">
        <v>367</v>
      </c>
      <c r="H53" s="330" t="s">
        <v>124</v>
      </c>
      <c r="I53" s="98" t="str">
        <f t="shared" si="30"/>
        <v>FF211</v>
      </c>
      <c r="J53" s="98" t="str">
        <f t="shared" si="31"/>
        <v>205FF</v>
      </c>
      <c r="K53" s="100" t="str">
        <f t="shared" si="32"/>
        <v>3AEKC003AR205FF</v>
      </c>
      <c r="L53" s="102">
        <v>2</v>
      </c>
      <c r="M53" s="102">
        <v>5</v>
      </c>
      <c r="N53" s="102">
        <v>2</v>
      </c>
      <c r="O53" s="186">
        <v>1</v>
      </c>
      <c r="P53" s="102">
        <v>2</v>
      </c>
      <c r="Q53" s="98"/>
      <c r="R53" s="98"/>
      <c r="S53" s="98">
        <f t="shared" si="33"/>
        <v>15</v>
      </c>
      <c r="T53" s="98" t="str">
        <f t="shared" si="39"/>
        <v>TB271</v>
      </c>
      <c r="U53" s="98" t="str">
        <f t="shared" si="34"/>
        <v>205_2FI</v>
      </c>
      <c r="V53" s="98" t="str">
        <f t="shared" si="25"/>
        <v>a</v>
      </c>
      <c r="W53" s="98" t="str">
        <f t="shared" si="26"/>
        <v>b</v>
      </c>
      <c r="X53" s="98" t="str">
        <f t="shared" si="27"/>
        <v>IE-BUS</v>
      </c>
      <c r="Y53" s="98" t="str">
        <f t="shared" si="24"/>
        <v>--</v>
      </c>
      <c r="Z53" s="98" t="s">
        <v>368</v>
      </c>
      <c r="AA53" s="100" t="str">
        <f t="shared" si="35"/>
        <v>3AEKC-817BC_1_FS202</v>
      </c>
      <c r="AB53" s="102" t="str">
        <f t="shared" si="28"/>
        <v>2A</v>
      </c>
      <c r="AC53" s="102" t="str">
        <f t="shared" si="29"/>
        <v>2B</v>
      </c>
      <c r="AD53" s="98" t="s">
        <v>235</v>
      </c>
      <c r="AE53" s="98" t="s">
        <v>236</v>
      </c>
      <c r="AF53" s="331" t="s">
        <v>369</v>
      </c>
      <c r="AG53" s="98" t="s">
        <v>322</v>
      </c>
      <c r="AH53" s="98" t="str">
        <f t="shared" si="36"/>
        <v>DCS</v>
      </c>
      <c r="AI53" s="331" t="s">
        <v>370</v>
      </c>
      <c r="AJ53" s="191" t="s">
        <v>371</v>
      </c>
      <c r="AK53" s="102"/>
      <c r="AL53" s="102"/>
      <c r="AM53" s="102"/>
      <c r="AN53" s="76"/>
      <c r="AO53" s="76"/>
      <c r="AP53" s="102"/>
      <c r="AQ53" s="76" t="s">
        <v>31</v>
      </c>
      <c r="AR53" s="169"/>
      <c r="AS53" s="100"/>
      <c r="AT53" s="100"/>
      <c r="AU53" s="330" t="s">
        <v>245</v>
      </c>
      <c r="AV53" s="201"/>
      <c r="AW53" s="201"/>
      <c r="AX53" s="201"/>
      <c r="AY53" s="201"/>
      <c r="AZ53" s="201"/>
      <c r="BA53" s="201"/>
      <c r="BB53" s="201"/>
      <c r="BC53" s="201"/>
      <c r="BD53" s="201"/>
      <c r="BE53" s="201"/>
      <c r="BF53" s="201"/>
      <c r="BG53" s="201"/>
      <c r="BH53" s="201"/>
      <c r="BI53" s="201"/>
      <c r="BJ53" s="201"/>
      <c r="BK53" s="201"/>
      <c r="BL53" s="204"/>
      <c r="BM53" s="201"/>
      <c r="BN53" s="201"/>
      <c r="BO53" s="201"/>
      <c r="BP53" s="204"/>
      <c r="BQ53" s="201"/>
      <c r="BR53" s="201"/>
      <c r="BS53" s="201"/>
      <c r="BT53" s="201"/>
      <c r="BU53" s="201"/>
      <c r="BV53" s="201"/>
      <c r="BW53" s="201"/>
      <c r="BX53" s="201"/>
      <c r="BY53" s="201"/>
      <c r="BZ53" s="201"/>
      <c r="CA53" s="201"/>
      <c r="CB53" s="201"/>
      <c r="CC53" s="201"/>
      <c r="CD53" s="98" t="str">
        <f t="shared" si="37"/>
        <v/>
      </c>
    </row>
    <row r="54" s="123" customFormat="1" ht="21" customHeight="1" spans="1:82">
      <c r="A54" s="93">
        <v>52</v>
      </c>
      <c r="B54" s="334" t="s">
        <v>364</v>
      </c>
      <c r="C54" s="342" t="s">
        <v>374</v>
      </c>
      <c r="D54" s="100" t="str">
        <f t="shared" si="38"/>
        <v>R3AEAB013PO_GZ</v>
      </c>
      <c r="E54" s="335" t="s">
        <v>375</v>
      </c>
      <c r="F54" s="100" t="s">
        <v>234</v>
      </c>
      <c r="G54" s="331" t="s">
        <v>367</v>
      </c>
      <c r="H54" s="330" t="s">
        <v>124</v>
      </c>
      <c r="I54" s="98" t="str">
        <f t="shared" si="30"/>
        <v>FF211</v>
      </c>
      <c r="J54" s="98" t="str">
        <f t="shared" si="31"/>
        <v>205FF</v>
      </c>
      <c r="K54" s="100" t="str">
        <f t="shared" si="32"/>
        <v>3AEKC003AR205FF</v>
      </c>
      <c r="L54" s="102">
        <v>2</v>
      </c>
      <c r="M54" s="102">
        <v>5</v>
      </c>
      <c r="N54" s="102">
        <v>2</v>
      </c>
      <c r="O54" s="186">
        <v>1</v>
      </c>
      <c r="P54" s="102">
        <v>3</v>
      </c>
      <c r="Q54" s="98"/>
      <c r="R54" s="98"/>
      <c r="S54" s="98">
        <f t="shared" si="33"/>
        <v>15</v>
      </c>
      <c r="T54" s="98" t="str">
        <f t="shared" si="39"/>
        <v>TB271</v>
      </c>
      <c r="U54" s="98" t="str">
        <f t="shared" si="34"/>
        <v>205_2FI</v>
      </c>
      <c r="V54" s="98" t="str">
        <f t="shared" si="25"/>
        <v>a</v>
      </c>
      <c r="W54" s="98" t="str">
        <f t="shared" si="26"/>
        <v>b</v>
      </c>
      <c r="X54" s="98" t="str">
        <f t="shared" si="27"/>
        <v>IE-BUS</v>
      </c>
      <c r="Y54" s="98" t="str">
        <f t="shared" si="24"/>
        <v>--</v>
      </c>
      <c r="Z54" s="98" t="s">
        <v>368</v>
      </c>
      <c r="AA54" s="100" t="str">
        <f t="shared" si="35"/>
        <v>3AEKC-817BC_1_FS202</v>
      </c>
      <c r="AB54" s="102" t="str">
        <f t="shared" si="28"/>
        <v>3A</v>
      </c>
      <c r="AC54" s="102" t="str">
        <f t="shared" si="29"/>
        <v>3B</v>
      </c>
      <c r="AD54" s="98" t="s">
        <v>235</v>
      </c>
      <c r="AE54" s="98" t="s">
        <v>236</v>
      </c>
      <c r="AF54" s="331" t="s">
        <v>369</v>
      </c>
      <c r="AG54" s="98" t="s">
        <v>322</v>
      </c>
      <c r="AH54" s="98" t="str">
        <f t="shared" si="36"/>
        <v>DCS</v>
      </c>
      <c r="AI54" s="331" t="s">
        <v>370</v>
      </c>
      <c r="AJ54" s="191" t="s">
        <v>371</v>
      </c>
      <c r="AK54" s="102"/>
      <c r="AL54" s="102"/>
      <c r="AM54" s="102"/>
      <c r="AN54" s="76"/>
      <c r="AO54" s="76"/>
      <c r="AP54" s="102"/>
      <c r="AQ54" s="76" t="s">
        <v>31</v>
      </c>
      <c r="AR54" s="169"/>
      <c r="AS54" s="100"/>
      <c r="AT54" s="100"/>
      <c r="AU54" s="330" t="s">
        <v>245</v>
      </c>
      <c r="AV54" s="201"/>
      <c r="AW54" s="201"/>
      <c r="AX54" s="201"/>
      <c r="AY54" s="201"/>
      <c r="AZ54" s="201"/>
      <c r="BA54" s="201"/>
      <c r="BB54" s="201"/>
      <c r="BC54" s="201"/>
      <c r="BD54" s="201"/>
      <c r="BE54" s="201"/>
      <c r="BF54" s="201"/>
      <c r="BG54" s="201"/>
      <c r="BH54" s="201"/>
      <c r="BI54" s="201"/>
      <c r="BJ54" s="201"/>
      <c r="BK54" s="201"/>
      <c r="BL54" s="204"/>
      <c r="BM54" s="201"/>
      <c r="BN54" s="201"/>
      <c r="BO54" s="201"/>
      <c r="BP54" s="204"/>
      <c r="BQ54" s="201"/>
      <c r="BR54" s="201"/>
      <c r="BS54" s="201"/>
      <c r="BT54" s="201"/>
      <c r="BU54" s="201"/>
      <c r="BV54" s="201"/>
      <c r="BW54" s="201"/>
      <c r="BX54" s="201"/>
      <c r="BY54" s="201"/>
      <c r="BZ54" s="201"/>
      <c r="CA54" s="201"/>
      <c r="CB54" s="201"/>
      <c r="CC54" s="201"/>
      <c r="CD54" s="98" t="str">
        <f t="shared" si="37"/>
        <v/>
      </c>
    </row>
    <row r="55" s="123" customFormat="1" ht="21" customHeight="1" spans="1:82">
      <c r="A55" s="93">
        <v>53</v>
      </c>
      <c r="B55" s="334" t="s">
        <v>376</v>
      </c>
      <c r="C55" s="342" t="s">
        <v>365</v>
      </c>
      <c r="D55" s="100" t="str">
        <f t="shared" si="38"/>
        <v>R3AEAB014PO_QF</v>
      </c>
      <c r="E55" s="335" t="s">
        <v>366</v>
      </c>
      <c r="F55" s="100" t="s">
        <v>234</v>
      </c>
      <c r="G55" s="331" t="s">
        <v>367</v>
      </c>
      <c r="H55" s="330" t="s">
        <v>124</v>
      </c>
      <c r="I55" s="98" t="str">
        <f t="shared" si="30"/>
        <v>FF211</v>
      </c>
      <c r="J55" s="98" t="str">
        <f t="shared" si="31"/>
        <v>205FF</v>
      </c>
      <c r="K55" s="100" t="str">
        <f t="shared" si="32"/>
        <v>3AEKC003AR205FF</v>
      </c>
      <c r="L55" s="102">
        <v>2</v>
      </c>
      <c r="M55" s="102">
        <v>5</v>
      </c>
      <c r="N55" s="102">
        <v>2</v>
      </c>
      <c r="O55" s="186">
        <v>1</v>
      </c>
      <c r="P55" s="102">
        <v>4</v>
      </c>
      <c r="Q55" s="98"/>
      <c r="R55" s="98"/>
      <c r="S55" s="98">
        <f t="shared" si="33"/>
        <v>15</v>
      </c>
      <c r="T55" s="98" t="str">
        <f t="shared" si="39"/>
        <v>TB271</v>
      </c>
      <c r="U55" s="98" t="str">
        <f t="shared" si="34"/>
        <v>205_2FI</v>
      </c>
      <c r="V55" s="98" t="str">
        <f t="shared" si="25"/>
        <v>a</v>
      </c>
      <c r="W55" s="98" t="str">
        <f t="shared" si="26"/>
        <v>b</v>
      </c>
      <c r="X55" s="98" t="str">
        <f t="shared" si="27"/>
        <v>IE-BUS</v>
      </c>
      <c r="Y55" s="98" t="str">
        <f t="shared" si="24"/>
        <v>--</v>
      </c>
      <c r="Z55" s="98" t="s">
        <v>368</v>
      </c>
      <c r="AA55" s="100" t="str">
        <f t="shared" si="35"/>
        <v>3AEKC-817BC_1_FS202</v>
      </c>
      <c r="AB55" s="102" t="str">
        <f t="shared" si="28"/>
        <v>4A</v>
      </c>
      <c r="AC55" s="102" t="str">
        <f t="shared" si="29"/>
        <v>4B</v>
      </c>
      <c r="AD55" s="98" t="s">
        <v>235</v>
      </c>
      <c r="AE55" s="98" t="s">
        <v>236</v>
      </c>
      <c r="AF55" s="331" t="s">
        <v>369</v>
      </c>
      <c r="AG55" s="98" t="s">
        <v>322</v>
      </c>
      <c r="AH55" s="98" t="str">
        <f t="shared" si="36"/>
        <v>DCS</v>
      </c>
      <c r="AI55" s="331" t="s">
        <v>370</v>
      </c>
      <c r="AJ55" s="191" t="s">
        <v>371</v>
      </c>
      <c r="AK55" s="102"/>
      <c r="AL55" s="102"/>
      <c r="AM55" s="102"/>
      <c r="AN55" s="76"/>
      <c r="AO55" s="76"/>
      <c r="AP55" s="102"/>
      <c r="AQ55" s="76" t="s">
        <v>31</v>
      </c>
      <c r="AR55" s="169"/>
      <c r="AS55" s="100"/>
      <c r="AT55" s="100"/>
      <c r="AU55" s="330" t="s">
        <v>245</v>
      </c>
      <c r="AV55" s="201"/>
      <c r="AW55" s="201"/>
      <c r="AX55" s="201"/>
      <c r="AY55" s="201"/>
      <c r="AZ55" s="201"/>
      <c r="BA55" s="201"/>
      <c r="BB55" s="201"/>
      <c r="BC55" s="201"/>
      <c r="BD55" s="201"/>
      <c r="BE55" s="201"/>
      <c r="BF55" s="201"/>
      <c r="BG55" s="201"/>
      <c r="BH55" s="201"/>
      <c r="BI55" s="201"/>
      <c r="BJ55" s="201"/>
      <c r="BK55" s="201"/>
      <c r="BL55" s="204"/>
      <c r="BM55" s="201"/>
      <c r="BN55" s="201"/>
      <c r="BO55" s="201"/>
      <c r="BP55" s="204"/>
      <c r="BQ55" s="201"/>
      <c r="BR55" s="201"/>
      <c r="BS55" s="201"/>
      <c r="BT55" s="201"/>
      <c r="BU55" s="201"/>
      <c r="BV55" s="201"/>
      <c r="BW55" s="201"/>
      <c r="BX55" s="201"/>
      <c r="BY55" s="201"/>
      <c r="BZ55" s="201"/>
      <c r="CA55" s="201"/>
      <c r="CB55" s="201"/>
      <c r="CC55" s="201"/>
      <c r="CD55" s="98" t="str">
        <f t="shared" si="37"/>
        <v/>
      </c>
    </row>
    <row r="56" s="123" customFormat="1" ht="21" customHeight="1" spans="1:82">
      <c r="A56" s="93">
        <v>54</v>
      </c>
      <c r="B56" s="334" t="s">
        <v>376</v>
      </c>
      <c r="C56" s="342" t="s">
        <v>372</v>
      </c>
      <c r="D56" s="100" t="str">
        <f t="shared" si="38"/>
        <v>R3AEAB014PO_TF</v>
      </c>
      <c r="E56" s="335" t="s">
        <v>373</v>
      </c>
      <c r="F56" s="100" t="s">
        <v>234</v>
      </c>
      <c r="G56" s="331" t="s">
        <v>367</v>
      </c>
      <c r="H56" s="330" t="s">
        <v>124</v>
      </c>
      <c r="I56" s="98" t="str">
        <f t="shared" si="30"/>
        <v>FF211</v>
      </c>
      <c r="J56" s="98" t="str">
        <f t="shared" si="31"/>
        <v>205FF</v>
      </c>
      <c r="K56" s="100" t="str">
        <f t="shared" si="32"/>
        <v>3AEKC003AR205FF</v>
      </c>
      <c r="L56" s="102">
        <v>2</v>
      </c>
      <c r="M56" s="102">
        <v>5</v>
      </c>
      <c r="N56" s="102">
        <v>2</v>
      </c>
      <c r="O56" s="186">
        <v>1</v>
      </c>
      <c r="P56" s="102">
        <v>5</v>
      </c>
      <c r="Q56" s="98"/>
      <c r="R56" s="98"/>
      <c r="S56" s="98">
        <f t="shared" si="33"/>
        <v>15</v>
      </c>
      <c r="T56" s="98" t="str">
        <f t="shared" si="39"/>
        <v>TB271</v>
      </c>
      <c r="U56" s="98" t="str">
        <f t="shared" si="34"/>
        <v>205_2FI</v>
      </c>
      <c r="V56" s="98" t="str">
        <f t="shared" si="25"/>
        <v>a</v>
      </c>
      <c r="W56" s="98" t="str">
        <f t="shared" si="26"/>
        <v>b</v>
      </c>
      <c r="X56" s="98" t="str">
        <f t="shared" si="27"/>
        <v>IE-BUS</v>
      </c>
      <c r="Y56" s="98" t="str">
        <f t="shared" si="24"/>
        <v>--</v>
      </c>
      <c r="Z56" s="98" t="s">
        <v>368</v>
      </c>
      <c r="AA56" s="100" t="str">
        <f t="shared" si="35"/>
        <v>3AEKC-817BC_1_FS202</v>
      </c>
      <c r="AB56" s="102" t="str">
        <f t="shared" si="28"/>
        <v>5A</v>
      </c>
      <c r="AC56" s="102" t="str">
        <f t="shared" si="29"/>
        <v>5B</v>
      </c>
      <c r="AD56" s="98" t="s">
        <v>235</v>
      </c>
      <c r="AE56" s="98" t="s">
        <v>236</v>
      </c>
      <c r="AF56" s="331" t="s">
        <v>369</v>
      </c>
      <c r="AG56" s="98" t="s">
        <v>322</v>
      </c>
      <c r="AH56" s="98" t="str">
        <f t="shared" si="36"/>
        <v>DCS</v>
      </c>
      <c r="AI56" s="331" t="s">
        <v>370</v>
      </c>
      <c r="AJ56" s="191" t="s">
        <v>371</v>
      </c>
      <c r="AK56" s="102"/>
      <c r="AL56" s="102"/>
      <c r="AM56" s="102"/>
      <c r="AN56" s="76"/>
      <c r="AO56" s="76"/>
      <c r="AP56" s="102"/>
      <c r="AQ56" s="76" t="s">
        <v>31</v>
      </c>
      <c r="AR56" s="169"/>
      <c r="AS56" s="100"/>
      <c r="AT56" s="100"/>
      <c r="AU56" s="330" t="s">
        <v>245</v>
      </c>
      <c r="AV56" s="201"/>
      <c r="AW56" s="201"/>
      <c r="AX56" s="201"/>
      <c r="AY56" s="201"/>
      <c r="AZ56" s="201"/>
      <c r="BA56" s="201"/>
      <c r="BB56" s="201"/>
      <c r="BC56" s="201"/>
      <c r="BD56" s="201"/>
      <c r="BE56" s="201"/>
      <c r="BF56" s="201"/>
      <c r="BG56" s="201"/>
      <c r="BH56" s="201"/>
      <c r="BI56" s="201"/>
      <c r="BJ56" s="201"/>
      <c r="BK56" s="201"/>
      <c r="BL56" s="204"/>
      <c r="BM56" s="201"/>
      <c r="BN56" s="201"/>
      <c r="BO56" s="201"/>
      <c r="BP56" s="204"/>
      <c r="BQ56" s="201"/>
      <c r="BR56" s="201"/>
      <c r="BS56" s="201"/>
      <c r="BT56" s="201"/>
      <c r="BU56" s="201"/>
      <c r="BV56" s="201"/>
      <c r="BW56" s="201"/>
      <c r="BX56" s="201"/>
      <c r="BY56" s="201"/>
      <c r="BZ56" s="201"/>
      <c r="CA56" s="201"/>
      <c r="CB56" s="201"/>
      <c r="CC56" s="201"/>
      <c r="CD56" s="98" t="str">
        <f t="shared" si="37"/>
        <v/>
      </c>
    </row>
    <row r="57" s="123" customFormat="1" ht="21" customHeight="1" spans="1:82">
      <c r="A57" s="93">
        <v>55</v>
      </c>
      <c r="B57" s="334" t="s">
        <v>376</v>
      </c>
      <c r="C57" s="342" t="s">
        <v>374</v>
      </c>
      <c r="D57" s="100" t="str">
        <f t="shared" si="38"/>
        <v>R3AEAB014PO_GZ</v>
      </c>
      <c r="E57" s="335" t="s">
        <v>375</v>
      </c>
      <c r="F57" s="100" t="s">
        <v>234</v>
      </c>
      <c r="G57" s="331" t="s">
        <v>367</v>
      </c>
      <c r="H57" s="330" t="s">
        <v>124</v>
      </c>
      <c r="I57" s="98" t="str">
        <f t="shared" si="30"/>
        <v>FF211</v>
      </c>
      <c r="J57" s="98" t="str">
        <f t="shared" si="31"/>
        <v>205FF</v>
      </c>
      <c r="K57" s="100" t="str">
        <f t="shared" si="32"/>
        <v>3AEKC003AR205FF</v>
      </c>
      <c r="L57" s="102">
        <v>2</v>
      </c>
      <c r="M57" s="102">
        <v>5</v>
      </c>
      <c r="N57" s="102">
        <v>2</v>
      </c>
      <c r="O57" s="186">
        <v>1</v>
      </c>
      <c r="P57" s="102">
        <v>6</v>
      </c>
      <c r="Q57" s="98"/>
      <c r="R57" s="98"/>
      <c r="S57" s="98">
        <f t="shared" si="33"/>
        <v>15</v>
      </c>
      <c r="T57" s="98" t="str">
        <f t="shared" si="39"/>
        <v>TB271</v>
      </c>
      <c r="U57" s="98" t="str">
        <f t="shared" si="34"/>
        <v>205_2FI</v>
      </c>
      <c r="V57" s="98" t="str">
        <f t="shared" si="25"/>
        <v>a</v>
      </c>
      <c r="W57" s="98" t="str">
        <f t="shared" si="26"/>
        <v>b</v>
      </c>
      <c r="X57" s="98" t="str">
        <f t="shared" si="27"/>
        <v>IE-BUS</v>
      </c>
      <c r="Y57" s="98" t="str">
        <f t="shared" si="24"/>
        <v>--</v>
      </c>
      <c r="Z57" s="98" t="s">
        <v>368</v>
      </c>
      <c r="AA57" s="100" t="str">
        <f t="shared" si="35"/>
        <v>3AEKC-817BC_1_FS202</v>
      </c>
      <c r="AB57" s="102" t="str">
        <f t="shared" si="28"/>
        <v>6A</v>
      </c>
      <c r="AC57" s="102" t="str">
        <f t="shared" si="29"/>
        <v>6B</v>
      </c>
      <c r="AD57" s="98" t="s">
        <v>235</v>
      </c>
      <c r="AE57" s="98" t="s">
        <v>236</v>
      </c>
      <c r="AF57" s="331" t="s">
        <v>369</v>
      </c>
      <c r="AG57" s="98" t="s">
        <v>322</v>
      </c>
      <c r="AH57" s="98" t="str">
        <f t="shared" si="36"/>
        <v>DCS</v>
      </c>
      <c r="AI57" s="331" t="s">
        <v>370</v>
      </c>
      <c r="AJ57" s="191" t="s">
        <v>371</v>
      </c>
      <c r="AK57" s="102"/>
      <c r="AL57" s="102"/>
      <c r="AM57" s="102"/>
      <c r="AN57" s="76"/>
      <c r="AO57" s="76"/>
      <c r="AP57" s="102"/>
      <c r="AQ57" s="76" t="s">
        <v>31</v>
      </c>
      <c r="AR57" s="169"/>
      <c r="AS57" s="100"/>
      <c r="AT57" s="100"/>
      <c r="AU57" s="330" t="s">
        <v>245</v>
      </c>
      <c r="AV57" s="201"/>
      <c r="AW57" s="201"/>
      <c r="AX57" s="201"/>
      <c r="AY57" s="201"/>
      <c r="AZ57" s="201"/>
      <c r="BA57" s="201"/>
      <c r="BB57" s="201"/>
      <c r="BC57" s="201"/>
      <c r="BD57" s="201"/>
      <c r="BE57" s="201"/>
      <c r="BF57" s="201"/>
      <c r="BG57" s="201"/>
      <c r="BH57" s="201"/>
      <c r="BI57" s="201"/>
      <c r="BJ57" s="201"/>
      <c r="BK57" s="201"/>
      <c r="BL57" s="204"/>
      <c r="BM57" s="201"/>
      <c r="BN57" s="201"/>
      <c r="BO57" s="201"/>
      <c r="BP57" s="204"/>
      <c r="BQ57" s="201"/>
      <c r="BR57" s="201"/>
      <c r="BS57" s="201"/>
      <c r="BT57" s="201"/>
      <c r="BU57" s="201"/>
      <c r="BV57" s="201"/>
      <c r="BW57" s="201"/>
      <c r="BX57" s="201"/>
      <c r="BY57" s="201"/>
      <c r="BZ57" s="201"/>
      <c r="CA57" s="201"/>
      <c r="CB57" s="201"/>
      <c r="CC57" s="201"/>
      <c r="CD57" s="98" t="str">
        <f t="shared" si="37"/>
        <v/>
      </c>
    </row>
    <row r="58" s="123" customFormat="1" ht="21" customHeight="1" spans="1:82">
      <c r="A58" s="93">
        <v>56</v>
      </c>
      <c r="B58" s="334" t="s">
        <v>364</v>
      </c>
      <c r="C58" s="342" t="s">
        <v>377</v>
      </c>
      <c r="D58" s="100" t="str">
        <f t="shared" si="38"/>
        <v>R3AEAB013PO_Q</v>
      </c>
      <c r="E58" s="335" t="s">
        <v>378</v>
      </c>
      <c r="F58" s="100" t="s">
        <v>234</v>
      </c>
      <c r="G58" s="331" t="s">
        <v>367</v>
      </c>
      <c r="H58" s="330" t="s">
        <v>124</v>
      </c>
      <c r="I58" s="98" t="str">
        <f t="shared" si="30"/>
        <v>FF211</v>
      </c>
      <c r="J58" s="98" t="str">
        <f t="shared" si="31"/>
        <v>205FF</v>
      </c>
      <c r="K58" s="100" t="str">
        <f t="shared" si="32"/>
        <v>3AEKC003AR205FF</v>
      </c>
      <c r="L58" s="102">
        <v>2</v>
      </c>
      <c r="M58" s="102">
        <v>5</v>
      </c>
      <c r="N58" s="102">
        <v>2</v>
      </c>
      <c r="O58" s="186">
        <v>1</v>
      </c>
      <c r="P58" s="102">
        <v>11</v>
      </c>
      <c r="Q58" s="98"/>
      <c r="R58" s="98"/>
      <c r="S58" s="98">
        <f t="shared" si="33"/>
        <v>15</v>
      </c>
      <c r="T58" s="98" t="str">
        <f t="shared" si="39"/>
        <v>TB271</v>
      </c>
      <c r="U58" s="98" t="str">
        <f t="shared" si="34"/>
        <v>205_2FI</v>
      </c>
      <c r="V58" s="98" t="str">
        <f t="shared" si="25"/>
        <v>a</v>
      </c>
      <c r="W58" s="98" t="str">
        <f t="shared" si="26"/>
        <v>b</v>
      </c>
      <c r="X58" s="98" t="str">
        <f t="shared" si="27"/>
        <v>IE-BUS</v>
      </c>
      <c r="Y58" s="98" t="str">
        <f t="shared" si="24"/>
        <v>--</v>
      </c>
      <c r="Z58" s="98" t="s">
        <v>368</v>
      </c>
      <c r="AA58" s="100" t="str">
        <f t="shared" si="35"/>
        <v>3AEKC-817BC_1_FS202</v>
      </c>
      <c r="AB58" s="102" t="str">
        <f t="shared" si="28"/>
        <v>11B</v>
      </c>
      <c r="AC58" s="102" t="str">
        <f t="shared" si="29"/>
        <v>11D</v>
      </c>
      <c r="AD58" s="98" t="s">
        <v>235</v>
      </c>
      <c r="AE58" s="98" t="s">
        <v>236</v>
      </c>
      <c r="AF58" s="331" t="s">
        <v>379</v>
      </c>
      <c r="AG58" s="98" t="s">
        <v>322</v>
      </c>
      <c r="AH58" s="98" t="str">
        <f t="shared" si="36"/>
        <v>DCS</v>
      </c>
      <c r="AI58" s="331" t="s">
        <v>380</v>
      </c>
      <c r="AJ58" s="191" t="s">
        <v>371</v>
      </c>
      <c r="AK58" s="102"/>
      <c r="AL58" s="102"/>
      <c r="AM58" s="102"/>
      <c r="AN58" s="199" t="s">
        <v>305</v>
      </c>
      <c r="AO58" s="199"/>
      <c r="AP58" s="102"/>
      <c r="AQ58" s="76" t="s">
        <v>31</v>
      </c>
      <c r="AR58" s="169"/>
      <c r="AS58" s="100"/>
      <c r="AT58" s="100"/>
      <c r="AU58" s="330" t="s">
        <v>245</v>
      </c>
      <c r="AV58" s="201"/>
      <c r="AW58" s="201"/>
      <c r="AX58" s="201"/>
      <c r="AY58" s="201"/>
      <c r="AZ58" s="201"/>
      <c r="BA58" s="201"/>
      <c r="BB58" s="201"/>
      <c r="BC58" s="201"/>
      <c r="BD58" s="201"/>
      <c r="BE58" s="201"/>
      <c r="BF58" s="201"/>
      <c r="BG58" s="201"/>
      <c r="BH58" s="201"/>
      <c r="BI58" s="201"/>
      <c r="BJ58" s="201"/>
      <c r="BK58" s="201"/>
      <c r="BL58" s="204"/>
      <c r="BM58" s="201"/>
      <c r="BN58" s="201"/>
      <c r="BO58" s="201"/>
      <c r="BP58" s="204"/>
      <c r="BQ58" s="201"/>
      <c r="BR58" s="201"/>
      <c r="BS58" s="201"/>
      <c r="BT58" s="201"/>
      <c r="BU58" s="201"/>
      <c r="BV58" s="201"/>
      <c r="BW58" s="201"/>
      <c r="BX58" s="201"/>
      <c r="BY58" s="201"/>
      <c r="BZ58" s="201"/>
      <c r="CA58" s="201"/>
      <c r="CB58" s="201"/>
      <c r="CC58" s="201"/>
      <c r="CD58" s="98" t="str">
        <f t="shared" si="37"/>
        <v/>
      </c>
    </row>
    <row r="59" s="123" customFormat="1" ht="21" customHeight="1" spans="1:82">
      <c r="A59" s="93">
        <v>57</v>
      </c>
      <c r="B59" s="334" t="s">
        <v>364</v>
      </c>
      <c r="C59" s="342" t="s">
        <v>381</v>
      </c>
      <c r="D59" s="100" t="str">
        <f t="shared" si="38"/>
        <v>R3AEAB013PO_T</v>
      </c>
      <c r="E59" s="335" t="s">
        <v>382</v>
      </c>
      <c r="F59" s="100" t="s">
        <v>234</v>
      </c>
      <c r="G59" s="331" t="s">
        <v>367</v>
      </c>
      <c r="H59" s="330" t="s">
        <v>124</v>
      </c>
      <c r="I59" s="98" t="str">
        <f t="shared" si="30"/>
        <v>FF211</v>
      </c>
      <c r="J59" s="98" t="str">
        <f t="shared" si="31"/>
        <v>205FF</v>
      </c>
      <c r="K59" s="100" t="str">
        <f t="shared" si="32"/>
        <v>3AEKC003AR205FF</v>
      </c>
      <c r="L59" s="102">
        <v>2</v>
      </c>
      <c r="M59" s="102">
        <v>5</v>
      </c>
      <c r="N59" s="102">
        <v>2</v>
      </c>
      <c r="O59" s="186">
        <v>1</v>
      </c>
      <c r="P59" s="102">
        <v>12</v>
      </c>
      <c r="Q59" s="98"/>
      <c r="R59" s="98"/>
      <c r="S59" s="98">
        <f t="shared" si="33"/>
        <v>15</v>
      </c>
      <c r="T59" s="98" t="str">
        <f t="shared" si="39"/>
        <v>TB271</v>
      </c>
      <c r="U59" s="98" t="str">
        <f t="shared" si="34"/>
        <v>205_2FI</v>
      </c>
      <c r="V59" s="98" t="str">
        <f t="shared" si="25"/>
        <v>a</v>
      </c>
      <c r="W59" s="98" t="str">
        <f t="shared" si="26"/>
        <v>b</v>
      </c>
      <c r="X59" s="98" t="str">
        <f t="shared" si="27"/>
        <v>IE-BUS</v>
      </c>
      <c r="Y59" s="98" t="str">
        <f t="shared" si="24"/>
        <v>--</v>
      </c>
      <c r="Z59" s="98" t="s">
        <v>368</v>
      </c>
      <c r="AA59" s="100" t="str">
        <f t="shared" si="35"/>
        <v>3AEKC-817BC_1_FS202</v>
      </c>
      <c r="AB59" s="102" t="str">
        <f t="shared" si="28"/>
        <v>12B</v>
      </c>
      <c r="AC59" s="102" t="str">
        <f t="shared" si="29"/>
        <v>12C</v>
      </c>
      <c r="AD59" s="98" t="s">
        <v>235</v>
      </c>
      <c r="AE59" s="98" t="s">
        <v>236</v>
      </c>
      <c r="AF59" s="331" t="s">
        <v>379</v>
      </c>
      <c r="AG59" s="98" t="s">
        <v>322</v>
      </c>
      <c r="AH59" s="98" t="str">
        <f t="shared" si="36"/>
        <v>DCS</v>
      </c>
      <c r="AI59" s="331" t="s">
        <v>380</v>
      </c>
      <c r="AJ59" s="192" t="s">
        <v>383</v>
      </c>
      <c r="AK59" s="102"/>
      <c r="AL59" s="102"/>
      <c r="AM59" s="102"/>
      <c r="AN59" s="199" t="s">
        <v>305</v>
      </c>
      <c r="AO59" s="199"/>
      <c r="AP59" s="102"/>
      <c r="AQ59" s="76" t="s">
        <v>31</v>
      </c>
      <c r="AR59" s="169"/>
      <c r="AS59" s="100"/>
      <c r="AT59" s="100"/>
      <c r="AU59" s="330" t="s">
        <v>245</v>
      </c>
      <c r="AV59" s="201"/>
      <c r="AW59" s="201"/>
      <c r="AX59" s="201"/>
      <c r="AY59" s="201"/>
      <c r="AZ59" s="201"/>
      <c r="BA59" s="201"/>
      <c r="BB59" s="201"/>
      <c r="BC59" s="201"/>
      <c r="BD59" s="201"/>
      <c r="BE59" s="201"/>
      <c r="BF59" s="201"/>
      <c r="BG59" s="201"/>
      <c r="BH59" s="201"/>
      <c r="BI59" s="201"/>
      <c r="BJ59" s="201"/>
      <c r="BK59" s="201"/>
      <c r="BL59" s="204"/>
      <c r="BM59" s="201"/>
      <c r="BN59" s="201"/>
      <c r="BO59" s="201"/>
      <c r="BP59" s="204"/>
      <c r="BQ59" s="201"/>
      <c r="BR59" s="201"/>
      <c r="BS59" s="201"/>
      <c r="BT59" s="201"/>
      <c r="BU59" s="201"/>
      <c r="BV59" s="201"/>
      <c r="BW59" s="201"/>
      <c r="BX59" s="201"/>
      <c r="BY59" s="201"/>
      <c r="BZ59" s="201"/>
      <c r="CA59" s="201"/>
      <c r="CB59" s="201"/>
      <c r="CC59" s="201"/>
      <c r="CD59" s="98" t="str">
        <f t="shared" si="37"/>
        <v/>
      </c>
    </row>
    <row r="60" s="123" customFormat="1" ht="21" customHeight="1" spans="1:82">
      <c r="A60" s="93">
        <v>58</v>
      </c>
      <c r="B60" s="334" t="s">
        <v>376</v>
      </c>
      <c r="C60" s="342" t="s">
        <v>377</v>
      </c>
      <c r="D60" s="100" t="str">
        <f t="shared" si="38"/>
        <v>R3AEAB014PO_Q</v>
      </c>
      <c r="E60" s="335" t="s">
        <v>378</v>
      </c>
      <c r="F60" s="100" t="s">
        <v>234</v>
      </c>
      <c r="G60" s="331" t="s">
        <v>367</v>
      </c>
      <c r="H60" s="330" t="s">
        <v>124</v>
      </c>
      <c r="I60" s="98" t="str">
        <f t="shared" si="30"/>
        <v>FF211</v>
      </c>
      <c r="J60" s="98" t="str">
        <f t="shared" si="31"/>
        <v>205FF</v>
      </c>
      <c r="K60" s="100" t="str">
        <f t="shared" si="32"/>
        <v>3AEKC003AR205FF</v>
      </c>
      <c r="L60" s="102">
        <v>2</v>
      </c>
      <c r="M60" s="102">
        <v>5</v>
      </c>
      <c r="N60" s="102">
        <v>2</v>
      </c>
      <c r="O60" s="186">
        <v>1</v>
      </c>
      <c r="P60" s="102">
        <v>13</v>
      </c>
      <c r="Q60" s="98"/>
      <c r="R60" s="98"/>
      <c r="S60" s="98">
        <f t="shared" si="33"/>
        <v>15</v>
      </c>
      <c r="T60" s="98" t="str">
        <f t="shared" si="39"/>
        <v>TB271</v>
      </c>
      <c r="U60" s="98" t="str">
        <f t="shared" si="34"/>
        <v>205_2FI</v>
      </c>
      <c r="V60" s="98" t="str">
        <f t="shared" si="25"/>
        <v>a</v>
      </c>
      <c r="W60" s="98" t="str">
        <f t="shared" si="26"/>
        <v>b</v>
      </c>
      <c r="X60" s="98" t="str">
        <f t="shared" si="27"/>
        <v>IE-BUS</v>
      </c>
      <c r="Y60" s="98" t="str">
        <f t="shared" si="24"/>
        <v>--</v>
      </c>
      <c r="Z60" s="98" t="s">
        <v>368</v>
      </c>
      <c r="AA60" s="100" t="str">
        <f t="shared" si="35"/>
        <v>3AEKC-817BC_1_FS202</v>
      </c>
      <c r="AB60" s="102" t="str">
        <f t="shared" si="28"/>
        <v>13A</v>
      </c>
      <c r="AC60" s="102" t="str">
        <f t="shared" si="29"/>
        <v>13D</v>
      </c>
      <c r="AD60" s="98" t="s">
        <v>235</v>
      </c>
      <c r="AE60" s="98" t="s">
        <v>236</v>
      </c>
      <c r="AF60" s="331" t="s">
        <v>379</v>
      </c>
      <c r="AG60" s="98" t="s">
        <v>322</v>
      </c>
      <c r="AH60" s="98" t="str">
        <f t="shared" si="36"/>
        <v>DCS</v>
      </c>
      <c r="AI60" s="331" t="s">
        <v>380</v>
      </c>
      <c r="AJ60" s="191" t="s">
        <v>371</v>
      </c>
      <c r="AK60" s="102"/>
      <c r="AL60" s="102"/>
      <c r="AM60" s="102"/>
      <c r="AN60" s="199" t="s">
        <v>307</v>
      </c>
      <c r="AO60" s="199"/>
      <c r="AP60" s="102"/>
      <c r="AQ60" s="76" t="s">
        <v>31</v>
      </c>
      <c r="AR60" s="169"/>
      <c r="AS60" s="100"/>
      <c r="AT60" s="100"/>
      <c r="AU60" s="330" t="s">
        <v>245</v>
      </c>
      <c r="AV60" s="201"/>
      <c r="AW60" s="201"/>
      <c r="AX60" s="201"/>
      <c r="AY60" s="201"/>
      <c r="AZ60" s="201"/>
      <c r="BA60" s="201"/>
      <c r="BB60" s="201"/>
      <c r="BC60" s="201"/>
      <c r="BD60" s="201"/>
      <c r="BE60" s="201"/>
      <c r="BF60" s="201"/>
      <c r="BG60" s="201"/>
      <c r="BH60" s="201"/>
      <c r="BI60" s="201"/>
      <c r="BJ60" s="201"/>
      <c r="BK60" s="201"/>
      <c r="BL60" s="204"/>
      <c r="BM60" s="201"/>
      <c r="BN60" s="201"/>
      <c r="BO60" s="201"/>
      <c r="BP60" s="204"/>
      <c r="BQ60" s="201"/>
      <c r="BR60" s="201"/>
      <c r="BS60" s="201"/>
      <c r="BT60" s="201"/>
      <c r="BU60" s="201"/>
      <c r="BV60" s="201"/>
      <c r="BW60" s="201"/>
      <c r="BX60" s="201"/>
      <c r="BY60" s="201"/>
      <c r="BZ60" s="201"/>
      <c r="CA60" s="201"/>
      <c r="CB60" s="201"/>
      <c r="CC60" s="201"/>
      <c r="CD60" s="98" t="str">
        <f t="shared" si="37"/>
        <v/>
      </c>
    </row>
    <row r="61" s="123" customFormat="1" ht="21" customHeight="1" spans="1:82">
      <c r="A61" s="93">
        <v>59</v>
      </c>
      <c r="B61" s="334" t="s">
        <v>376</v>
      </c>
      <c r="C61" s="342" t="s">
        <v>381</v>
      </c>
      <c r="D61" s="100" t="str">
        <f t="shared" si="38"/>
        <v>R3AEAB014PO_T</v>
      </c>
      <c r="E61" s="335" t="s">
        <v>382</v>
      </c>
      <c r="F61" s="100" t="s">
        <v>234</v>
      </c>
      <c r="G61" s="331" t="s">
        <v>367</v>
      </c>
      <c r="H61" s="330" t="s">
        <v>124</v>
      </c>
      <c r="I61" s="98" t="str">
        <f t="shared" si="30"/>
        <v>FF211</v>
      </c>
      <c r="J61" s="98" t="str">
        <f t="shared" si="31"/>
        <v>205FF</v>
      </c>
      <c r="K61" s="100" t="str">
        <f t="shared" si="32"/>
        <v>3AEKC003AR205FF</v>
      </c>
      <c r="L61" s="102">
        <v>2</v>
      </c>
      <c r="M61" s="102">
        <v>5</v>
      </c>
      <c r="N61" s="102">
        <v>2</v>
      </c>
      <c r="O61" s="186">
        <v>1</v>
      </c>
      <c r="P61" s="102">
        <v>14</v>
      </c>
      <c r="Q61" s="98"/>
      <c r="R61" s="98"/>
      <c r="S61" s="98">
        <f t="shared" si="33"/>
        <v>15</v>
      </c>
      <c r="T61" s="98" t="str">
        <f t="shared" si="39"/>
        <v>TB271</v>
      </c>
      <c r="U61" s="98" t="str">
        <f t="shared" si="34"/>
        <v>205_2FI</v>
      </c>
      <c r="V61" s="98" t="str">
        <f t="shared" si="25"/>
        <v>a</v>
      </c>
      <c r="W61" s="98" t="str">
        <f t="shared" si="26"/>
        <v>b</v>
      </c>
      <c r="X61" s="98" t="str">
        <f t="shared" si="27"/>
        <v>IE-BUS</v>
      </c>
      <c r="Y61" s="98" t="str">
        <f t="shared" si="24"/>
        <v>--</v>
      </c>
      <c r="Z61" s="98" t="s">
        <v>368</v>
      </c>
      <c r="AA61" s="100" t="str">
        <f t="shared" si="35"/>
        <v>3AEKC-817BC_1_FS202</v>
      </c>
      <c r="AB61" s="102" t="str">
        <f t="shared" si="28"/>
        <v>14A</v>
      </c>
      <c r="AC61" s="102" t="str">
        <f t="shared" si="29"/>
        <v>14C</v>
      </c>
      <c r="AD61" s="98" t="s">
        <v>235</v>
      </c>
      <c r="AE61" s="98" t="s">
        <v>236</v>
      </c>
      <c r="AF61" s="331" t="s">
        <v>379</v>
      </c>
      <c r="AG61" s="98" t="s">
        <v>322</v>
      </c>
      <c r="AH61" s="98" t="str">
        <f t="shared" si="36"/>
        <v>DCS</v>
      </c>
      <c r="AI61" s="331" t="s">
        <v>380</v>
      </c>
      <c r="AJ61" s="192" t="s">
        <v>383</v>
      </c>
      <c r="AK61" s="102"/>
      <c r="AL61" s="102"/>
      <c r="AM61" s="102"/>
      <c r="AN61" s="199" t="s">
        <v>307</v>
      </c>
      <c r="AO61" s="199"/>
      <c r="AP61" s="102"/>
      <c r="AQ61" s="76" t="s">
        <v>31</v>
      </c>
      <c r="AR61" s="169"/>
      <c r="AS61" s="100"/>
      <c r="AT61" s="100"/>
      <c r="AU61" s="330" t="s">
        <v>245</v>
      </c>
      <c r="AV61" s="201"/>
      <c r="AW61" s="201"/>
      <c r="AX61" s="201"/>
      <c r="AY61" s="201"/>
      <c r="AZ61" s="201"/>
      <c r="BA61" s="201"/>
      <c r="BB61" s="201"/>
      <c r="BC61" s="201"/>
      <c r="BD61" s="201"/>
      <c r="BE61" s="201"/>
      <c r="BF61" s="201"/>
      <c r="BG61" s="201"/>
      <c r="BH61" s="201"/>
      <c r="BI61" s="201"/>
      <c r="BJ61" s="201"/>
      <c r="BK61" s="201"/>
      <c r="BL61" s="204"/>
      <c r="BM61" s="201"/>
      <c r="BN61" s="201"/>
      <c r="BO61" s="201"/>
      <c r="BP61" s="204"/>
      <c r="BQ61" s="201"/>
      <c r="BR61" s="201"/>
      <c r="BS61" s="201"/>
      <c r="BT61" s="201"/>
      <c r="BU61" s="201"/>
      <c r="BV61" s="201"/>
      <c r="BW61" s="201"/>
      <c r="BX61" s="201"/>
      <c r="BY61" s="201"/>
      <c r="BZ61" s="201"/>
      <c r="CA61" s="201"/>
      <c r="CB61" s="201"/>
      <c r="CC61" s="201"/>
      <c r="CD61" s="98" t="str">
        <f t="shared" si="37"/>
        <v/>
      </c>
    </row>
    <row r="62" s="123" customFormat="1" ht="21" customHeight="1" spans="1:82">
      <c r="A62" s="171">
        <v>60</v>
      </c>
      <c r="B62" s="337" t="s">
        <v>384</v>
      </c>
      <c r="C62" s="341" t="s">
        <v>385</v>
      </c>
      <c r="D62" s="173" t="str">
        <f t="shared" si="38"/>
        <v>R3AEAB003PO_Z</v>
      </c>
      <c r="E62" s="338" t="s">
        <v>386</v>
      </c>
      <c r="F62" s="173" t="s">
        <v>234</v>
      </c>
      <c r="G62" s="339" t="s">
        <v>387</v>
      </c>
      <c r="H62" s="322" t="s">
        <v>124</v>
      </c>
      <c r="I62" s="184" t="str">
        <f t="shared" si="30"/>
        <v>FF211</v>
      </c>
      <c r="J62" s="184" t="str">
        <f t="shared" si="31"/>
        <v>205FF</v>
      </c>
      <c r="K62" s="173" t="str">
        <f t="shared" si="32"/>
        <v>3AEKC003AR205FF</v>
      </c>
      <c r="L62" s="175">
        <v>2</v>
      </c>
      <c r="M62" s="175">
        <v>5</v>
      </c>
      <c r="N62" s="175">
        <v>2</v>
      </c>
      <c r="O62" s="185">
        <v>2</v>
      </c>
      <c r="P62" s="175">
        <v>1</v>
      </c>
      <c r="Q62" s="184"/>
      <c r="R62" s="184"/>
      <c r="S62" s="184">
        <f t="shared" si="33"/>
        <v>15</v>
      </c>
      <c r="T62" s="184" t="str">
        <f t="shared" si="39"/>
        <v>TB271</v>
      </c>
      <c r="U62" s="184" t="str">
        <f t="shared" si="34"/>
        <v>205_2FI</v>
      </c>
      <c r="V62" s="184" t="str">
        <f t="shared" si="25"/>
        <v>a</v>
      </c>
      <c r="W62" s="184" t="str">
        <f t="shared" si="26"/>
        <v>b</v>
      </c>
      <c r="X62" s="184" t="str">
        <f t="shared" si="27"/>
        <v>IE-BUS</v>
      </c>
      <c r="Y62" s="184" t="str">
        <f t="shared" si="24"/>
        <v>--</v>
      </c>
      <c r="Z62" s="184" t="s">
        <v>388</v>
      </c>
      <c r="AA62" s="173" t="str">
        <f t="shared" ref="AA62:AA75" si="40">IF(IFERROR(SEARCH("FS",Z62),-1)&gt;0,G62&amp;"_"&amp;O62&amp;"_"&amp;Z62,"--")</f>
        <v>3AEKC-834BC_2_FS201</v>
      </c>
      <c r="AB62" s="175" t="str">
        <f t="shared" si="28"/>
        <v>1B</v>
      </c>
      <c r="AC62" s="175" t="str">
        <f t="shared" si="29"/>
        <v>1A</v>
      </c>
      <c r="AD62" s="184" t="s">
        <v>235</v>
      </c>
      <c r="AE62" s="184" t="s">
        <v>236</v>
      </c>
      <c r="AF62" s="339" t="s">
        <v>321</v>
      </c>
      <c r="AG62" s="184" t="s">
        <v>322</v>
      </c>
      <c r="AH62" s="184" t="str">
        <f t="shared" si="36"/>
        <v>DCS</v>
      </c>
      <c r="AI62" s="339" t="s">
        <v>323</v>
      </c>
      <c r="AJ62" s="197" t="s">
        <v>371</v>
      </c>
      <c r="AK62" s="175"/>
      <c r="AL62" s="175"/>
      <c r="AM62" s="175"/>
      <c r="AN62" s="198"/>
      <c r="AO62" s="198"/>
      <c r="AP62" s="175"/>
      <c r="AQ62" s="198" t="s">
        <v>31</v>
      </c>
      <c r="AR62" s="174" t="s">
        <v>389</v>
      </c>
      <c r="AS62" s="173"/>
      <c r="AT62" s="173"/>
      <c r="AU62" s="322" t="s">
        <v>245</v>
      </c>
      <c r="AV62" s="202"/>
      <c r="AW62" s="202"/>
      <c r="AX62" s="202"/>
      <c r="AY62" s="202"/>
      <c r="AZ62" s="202"/>
      <c r="BA62" s="202"/>
      <c r="BB62" s="202"/>
      <c r="BC62" s="202"/>
      <c r="BD62" s="202"/>
      <c r="BE62" s="202"/>
      <c r="BF62" s="202"/>
      <c r="BG62" s="202"/>
      <c r="BH62" s="202"/>
      <c r="BI62" s="202"/>
      <c r="BJ62" s="202"/>
      <c r="BK62" s="202"/>
      <c r="BL62" s="205"/>
      <c r="BM62" s="202"/>
      <c r="BN62" s="202"/>
      <c r="BO62" s="202"/>
      <c r="BP62" s="205"/>
      <c r="BQ62" s="202"/>
      <c r="BR62" s="202"/>
      <c r="BS62" s="202"/>
      <c r="BT62" s="202"/>
      <c r="BU62" s="202"/>
      <c r="BV62" s="202"/>
      <c r="BW62" s="202"/>
      <c r="BX62" s="202"/>
      <c r="BY62" s="202"/>
      <c r="BZ62" s="202"/>
      <c r="CA62" s="202"/>
      <c r="CB62" s="202"/>
      <c r="CC62" s="202"/>
      <c r="CD62" s="184" t="str">
        <f t="shared" si="37"/>
        <v/>
      </c>
    </row>
    <row r="63" s="123" customFormat="1" ht="21" customHeight="1" spans="1:82">
      <c r="A63" s="93">
        <v>61</v>
      </c>
      <c r="B63" s="334" t="s">
        <v>390</v>
      </c>
      <c r="C63" s="342" t="s">
        <v>385</v>
      </c>
      <c r="D63" s="100" t="str">
        <f t="shared" si="38"/>
        <v>R3AEAB004PO_Z</v>
      </c>
      <c r="E63" s="335" t="s">
        <v>386</v>
      </c>
      <c r="F63" s="100" t="s">
        <v>234</v>
      </c>
      <c r="G63" s="331" t="s">
        <v>387</v>
      </c>
      <c r="H63" s="330" t="s">
        <v>124</v>
      </c>
      <c r="I63" s="98" t="str">
        <f t="shared" si="30"/>
        <v>FF211</v>
      </c>
      <c r="J63" s="98" t="str">
        <f t="shared" si="31"/>
        <v>205FF</v>
      </c>
      <c r="K63" s="100" t="str">
        <f t="shared" si="32"/>
        <v>3AEKC003AR205FF</v>
      </c>
      <c r="L63" s="102">
        <v>2</v>
      </c>
      <c r="M63" s="102">
        <v>5</v>
      </c>
      <c r="N63" s="102">
        <v>2</v>
      </c>
      <c r="O63" s="186">
        <v>2</v>
      </c>
      <c r="P63" s="102">
        <v>2</v>
      </c>
      <c r="Q63" s="98"/>
      <c r="R63" s="98"/>
      <c r="S63" s="98">
        <f t="shared" si="33"/>
        <v>15</v>
      </c>
      <c r="T63" s="98" t="str">
        <f t="shared" si="39"/>
        <v>TB271</v>
      </c>
      <c r="U63" s="98" t="str">
        <f t="shared" si="34"/>
        <v>205_2FI</v>
      </c>
      <c r="V63" s="98" t="str">
        <f t="shared" si="25"/>
        <v>a</v>
      </c>
      <c r="W63" s="98" t="str">
        <f t="shared" si="26"/>
        <v>b</v>
      </c>
      <c r="X63" s="98" t="str">
        <f t="shared" si="27"/>
        <v>IE-BUS</v>
      </c>
      <c r="Y63" s="98" t="str">
        <f t="shared" si="24"/>
        <v>--</v>
      </c>
      <c r="Z63" s="98" t="s">
        <v>388</v>
      </c>
      <c r="AA63" s="100" t="str">
        <f t="shared" si="40"/>
        <v>3AEKC-834BC_2_FS201</v>
      </c>
      <c r="AB63" s="102" t="str">
        <f t="shared" si="28"/>
        <v>2A</v>
      </c>
      <c r="AC63" s="102" t="str">
        <f t="shared" si="29"/>
        <v>2C</v>
      </c>
      <c r="AD63" s="98" t="s">
        <v>235</v>
      </c>
      <c r="AE63" s="98" t="s">
        <v>236</v>
      </c>
      <c r="AF63" s="331" t="s">
        <v>321</v>
      </c>
      <c r="AG63" s="98" t="s">
        <v>322</v>
      </c>
      <c r="AH63" s="98" t="str">
        <f t="shared" si="36"/>
        <v>DCS</v>
      </c>
      <c r="AI63" s="331" t="s">
        <v>323</v>
      </c>
      <c r="AJ63" s="192" t="s">
        <v>391</v>
      </c>
      <c r="AK63" s="102"/>
      <c r="AL63" s="102"/>
      <c r="AM63" s="102"/>
      <c r="AN63" s="76"/>
      <c r="AO63" s="76"/>
      <c r="AP63" s="102"/>
      <c r="AQ63" s="76" t="s">
        <v>31</v>
      </c>
      <c r="AR63" s="169" t="s">
        <v>389</v>
      </c>
      <c r="AS63" s="100"/>
      <c r="AT63" s="100"/>
      <c r="AU63" s="330" t="s">
        <v>245</v>
      </c>
      <c r="AV63" s="201"/>
      <c r="AW63" s="201"/>
      <c r="AX63" s="201"/>
      <c r="AY63" s="201"/>
      <c r="AZ63" s="201"/>
      <c r="BA63" s="201"/>
      <c r="BB63" s="201"/>
      <c r="BC63" s="201"/>
      <c r="BD63" s="201"/>
      <c r="BE63" s="201"/>
      <c r="BF63" s="201"/>
      <c r="BG63" s="201"/>
      <c r="BH63" s="201"/>
      <c r="BI63" s="201"/>
      <c r="BJ63" s="201"/>
      <c r="BK63" s="201"/>
      <c r="BL63" s="204"/>
      <c r="BM63" s="201"/>
      <c r="BN63" s="201"/>
      <c r="BO63" s="201"/>
      <c r="BP63" s="204"/>
      <c r="BQ63" s="201"/>
      <c r="BR63" s="201"/>
      <c r="BS63" s="201"/>
      <c r="BT63" s="201"/>
      <c r="BU63" s="201"/>
      <c r="BV63" s="201"/>
      <c r="BW63" s="201"/>
      <c r="BX63" s="201"/>
      <c r="BY63" s="201"/>
      <c r="BZ63" s="201"/>
      <c r="CA63" s="201"/>
      <c r="CB63" s="201"/>
      <c r="CC63" s="201"/>
      <c r="CD63" s="98" t="str">
        <f t="shared" si="37"/>
        <v/>
      </c>
    </row>
    <row r="64" s="123" customFormat="1" ht="21" customHeight="1" spans="1:82">
      <c r="A64" s="93">
        <v>62</v>
      </c>
      <c r="B64" s="334" t="s">
        <v>384</v>
      </c>
      <c r="C64" s="342" t="s">
        <v>392</v>
      </c>
      <c r="D64" s="100" t="str">
        <f t="shared" si="38"/>
        <v>R3AEAB003PO_PK</v>
      </c>
      <c r="E64" s="335" t="s">
        <v>393</v>
      </c>
      <c r="F64" s="100" t="s">
        <v>234</v>
      </c>
      <c r="G64" s="331" t="s">
        <v>387</v>
      </c>
      <c r="H64" s="330" t="s">
        <v>124</v>
      </c>
      <c r="I64" s="98" t="str">
        <f t="shared" si="30"/>
        <v>FF211</v>
      </c>
      <c r="J64" s="98" t="str">
        <f t="shared" si="31"/>
        <v>205FF</v>
      </c>
      <c r="K64" s="100" t="str">
        <f t="shared" si="32"/>
        <v>3AEKC003AR205FF</v>
      </c>
      <c r="L64" s="102">
        <v>2</v>
      </c>
      <c r="M64" s="102">
        <v>5</v>
      </c>
      <c r="N64" s="102">
        <v>2</v>
      </c>
      <c r="O64" s="186">
        <v>2</v>
      </c>
      <c r="P64" s="102">
        <v>3</v>
      </c>
      <c r="Q64" s="98"/>
      <c r="R64" s="98"/>
      <c r="S64" s="98">
        <f t="shared" si="33"/>
        <v>15</v>
      </c>
      <c r="T64" s="98" t="str">
        <f t="shared" si="39"/>
        <v>TB271</v>
      </c>
      <c r="U64" s="98" t="str">
        <f t="shared" si="34"/>
        <v>205_2FI</v>
      </c>
      <c r="V64" s="98" t="str">
        <f t="shared" si="25"/>
        <v>a</v>
      </c>
      <c r="W64" s="98" t="str">
        <f t="shared" si="26"/>
        <v>b</v>
      </c>
      <c r="X64" s="98" t="str">
        <f t="shared" si="27"/>
        <v>IE-BUS</v>
      </c>
      <c r="Y64" s="98" t="str">
        <f t="shared" si="24"/>
        <v>--</v>
      </c>
      <c r="Z64" s="98" t="s">
        <v>388</v>
      </c>
      <c r="AA64" s="100" t="str">
        <f t="shared" si="40"/>
        <v>3AEKC-834BC_2_FS201</v>
      </c>
      <c r="AB64" s="102" t="str">
        <f t="shared" si="28"/>
        <v>3C</v>
      </c>
      <c r="AC64" s="102" t="str">
        <f t="shared" si="29"/>
        <v>3B</v>
      </c>
      <c r="AD64" s="98" t="s">
        <v>235</v>
      </c>
      <c r="AE64" s="98" t="s">
        <v>236</v>
      </c>
      <c r="AF64" s="331" t="s">
        <v>352</v>
      </c>
      <c r="AG64" s="98" t="s">
        <v>322</v>
      </c>
      <c r="AH64" s="98" t="str">
        <f t="shared" si="36"/>
        <v>DCS</v>
      </c>
      <c r="AI64" s="331" t="s">
        <v>353</v>
      </c>
      <c r="AJ64" s="191" t="s">
        <v>371</v>
      </c>
      <c r="AK64" s="102"/>
      <c r="AL64" s="102"/>
      <c r="AM64" s="102"/>
      <c r="AN64" s="76"/>
      <c r="AO64" s="76"/>
      <c r="AP64" s="102"/>
      <c r="AQ64" s="76" t="s">
        <v>31</v>
      </c>
      <c r="AR64" s="169" t="s">
        <v>389</v>
      </c>
      <c r="AS64" s="100"/>
      <c r="AT64" s="100"/>
      <c r="AU64" s="330" t="s">
        <v>245</v>
      </c>
      <c r="AV64" s="201"/>
      <c r="AW64" s="201"/>
      <c r="AX64" s="201"/>
      <c r="AY64" s="201"/>
      <c r="AZ64" s="201"/>
      <c r="BA64" s="201"/>
      <c r="BB64" s="201"/>
      <c r="BC64" s="201"/>
      <c r="BD64" s="201"/>
      <c r="BE64" s="201"/>
      <c r="BF64" s="201"/>
      <c r="BG64" s="201"/>
      <c r="BH64" s="201"/>
      <c r="BI64" s="201"/>
      <c r="BJ64" s="201"/>
      <c r="BK64" s="201"/>
      <c r="BL64" s="204"/>
      <c r="BM64" s="201"/>
      <c r="BN64" s="201"/>
      <c r="BO64" s="201"/>
      <c r="BP64" s="204"/>
      <c r="BQ64" s="201"/>
      <c r="BR64" s="201"/>
      <c r="BS64" s="201"/>
      <c r="BT64" s="201"/>
      <c r="BU64" s="201"/>
      <c r="BV64" s="201"/>
      <c r="BW64" s="201"/>
      <c r="BX64" s="201"/>
      <c r="BY64" s="201"/>
      <c r="BZ64" s="201"/>
      <c r="CA64" s="201"/>
      <c r="CB64" s="201"/>
      <c r="CC64" s="201"/>
      <c r="CD64" s="98" t="str">
        <f t="shared" si="37"/>
        <v/>
      </c>
    </row>
    <row r="65" s="123" customFormat="1" ht="21" customHeight="1" spans="1:82">
      <c r="A65" s="93">
        <v>63</v>
      </c>
      <c r="B65" s="334" t="s">
        <v>390</v>
      </c>
      <c r="C65" s="342" t="s">
        <v>392</v>
      </c>
      <c r="D65" s="100" t="str">
        <f t="shared" si="38"/>
        <v>R3AEAB004PO_PK</v>
      </c>
      <c r="E65" s="335" t="s">
        <v>393</v>
      </c>
      <c r="F65" s="100" t="s">
        <v>234</v>
      </c>
      <c r="G65" s="331" t="s">
        <v>387</v>
      </c>
      <c r="H65" s="330" t="s">
        <v>124</v>
      </c>
      <c r="I65" s="98" t="str">
        <f t="shared" si="30"/>
        <v>FF211</v>
      </c>
      <c r="J65" s="98" t="str">
        <f t="shared" si="31"/>
        <v>205FF</v>
      </c>
      <c r="K65" s="100" t="str">
        <f t="shared" si="32"/>
        <v>3AEKC003AR205FF</v>
      </c>
      <c r="L65" s="102">
        <v>2</v>
      </c>
      <c r="M65" s="102">
        <v>5</v>
      </c>
      <c r="N65" s="102">
        <v>2</v>
      </c>
      <c r="O65" s="186">
        <v>2</v>
      </c>
      <c r="P65" s="102">
        <v>4</v>
      </c>
      <c r="Q65" s="98"/>
      <c r="R65" s="98"/>
      <c r="S65" s="98">
        <f t="shared" si="33"/>
        <v>15</v>
      </c>
      <c r="T65" s="98" t="str">
        <f t="shared" si="39"/>
        <v>TB271</v>
      </c>
      <c r="U65" s="98" t="str">
        <f t="shared" si="34"/>
        <v>205_2FI</v>
      </c>
      <c r="V65" s="98" t="str">
        <f t="shared" si="25"/>
        <v>a</v>
      </c>
      <c r="W65" s="98" t="str">
        <f t="shared" si="26"/>
        <v>b</v>
      </c>
      <c r="X65" s="98" t="str">
        <f t="shared" si="27"/>
        <v>IE-BUS</v>
      </c>
      <c r="Y65" s="98" t="str">
        <f t="shared" si="24"/>
        <v>--</v>
      </c>
      <c r="Z65" s="98" t="s">
        <v>388</v>
      </c>
      <c r="AA65" s="100" t="str">
        <f t="shared" si="40"/>
        <v>3AEKC-834BC_2_FS201</v>
      </c>
      <c r="AB65" s="102" t="str">
        <f t="shared" si="28"/>
        <v>4A</v>
      </c>
      <c r="AC65" s="102" t="str">
        <f t="shared" si="29"/>
        <v>4C</v>
      </c>
      <c r="AD65" s="98" t="s">
        <v>235</v>
      </c>
      <c r="AE65" s="98" t="s">
        <v>236</v>
      </c>
      <c r="AF65" s="331" t="s">
        <v>352</v>
      </c>
      <c r="AG65" s="98" t="s">
        <v>322</v>
      </c>
      <c r="AH65" s="98" t="str">
        <f t="shared" si="36"/>
        <v>DCS</v>
      </c>
      <c r="AI65" s="331" t="s">
        <v>353</v>
      </c>
      <c r="AJ65" s="192" t="s">
        <v>391</v>
      </c>
      <c r="AK65" s="102"/>
      <c r="AL65" s="102"/>
      <c r="AM65" s="102"/>
      <c r="AN65" s="76"/>
      <c r="AO65" s="76"/>
      <c r="AP65" s="102"/>
      <c r="AQ65" s="76" t="s">
        <v>31</v>
      </c>
      <c r="AR65" s="169" t="s">
        <v>389</v>
      </c>
      <c r="AS65" s="100"/>
      <c r="AT65" s="100"/>
      <c r="AU65" s="330" t="s">
        <v>245</v>
      </c>
      <c r="AV65" s="201"/>
      <c r="AW65" s="201"/>
      <c r="AX65" s="201"/>
      <c r="AY65" s="201"/>
      <c r="AZ65" s="201"/>
      <c r="BA65" s="201"/>
      <c r="BB65" s="201"/>
      <c r="BC65" s="201"/>
      <c r="BD65" s="201"/>
      <c r="BE65" s="201"/>
      <c r="BF65" s="201"/>
      <c r="BG65" s="201"/>
      <c r="BH65" s="201"/>
      <c r="BI65" s="201"/>
      <c r="BJ65" s="201"/>
      <c r="BK65" s="201"/>
      <c r="BL65" s="204"/>
      <c r="BM65" s="201"/>
      <c r="BN65" s="201"/>
      <c r="BO65" s="201"/>
      <c r="BP65" s="204"/>
      <c r="BQ65" s="201"/>
      <c r="BR65" s="201"/>
      <c r="BS65" s="201"/>
      <c r="BT65" s="201"/>
      <c r="BU65" s="201"/>
      <c r="BV65" s="201"/>
      <c r="BW65" s="201"/>
      <c r="BX65" s="201"/>
      <c r="BY65" s="201"/>
      <c r="BZ65" s="201"/>
      <c r="CA65" s="201"/>
      <c r="CB65" s="201"/>
      <c r="CC65" s="201"/>
      <c r="CD65" s="98" t="str">
        <f t="shared" si="37"/>
        <v/>
      </c>
    </row>
    <row r="66" s="123" customFormat="1" ht="21" customHeight="1" spans="1:82">
      <c r="A66" s="93">
        <v>64</v>
      </c>
      <c r="B66" s="334" t="s">
        <v>384</v>
      </c>
      <c r="C66" s="342" t="s">
        <v>365</v>
      </c>
      <c r="D66" s="100" t="str">
        <f t="shared" si="38"/>
        <v>R3AEAB003PO_QF</v>
      </c>
      <c r="E66" s="335" t="s">
        <v>394</v>
      </c>
      <c r="F66" s="100" t="s">
        <v>234</v>
      </c>
      <c r="G66" s="331" t="s">
        <v>387</v>
      </c>
      <c r="H66" s="330" t="s">
        <v>124</v>
      </c>
      <c r="I66" s="98" t="str">
        <f t="shared" si="30"/>
        <v>FF211</v>
      </c>
      <c r="J66" s="98" t="str">
        <f t="shared" si="31"/>
        <v>205FF</v>
      </c>
      <c r="K66" s="100" t="str">
        <f t="shared" si="32"/>
        <v>3AEKC003AR205FF</v>
      </c>
      <c r="L66" s="102">
        <v>2</v>
      </c>
      <c r="M66" s="102">
        <v>5</v>
      </c>
      <c r="N66" s="102">
        <v>2</v>
      </c>
      <c r="O66" s="186">
        <v>2</v>
      </c>
      <c r="P66" s="102">
        <v>5</v>
      </c>
      <c r="Q66" s="98"/>
      <c r="R66" s="98"/>
      <c r="S66" s="98">
        <f t="shared" si="33"/>
        <v>15</v>
      </c>
      <c r="T66" s="98" t="str">
        <f t="shared" si="39"/>
        <v>TB271</v>
      </c>
      <c r="U66" s="98" t="str">
        <f t="shared" si="34"/>
        <v>205_2FI</v>
      </c>
      <c r="V66" s="98" t="str">
        <f t="shared" si="25"/>
        <v>a</v>
      </c>
      <c r="W66" s="98" t="str">
        <f t="shared" si="26"/>
        <v>b</v>
      </c>
      <c r="X66" s="98" t="str">
        <f t="shared" si="27"/>
        <v>IE-BUS</v>
      </c>
      <c r="Y66" s="98" t="str">
        <f t="shared" si="24"/>
        <v>--</v>
      </c>
      <c r="Z66" s="98" t="s">
        <v>388</v>
      </c>
      <c r="AA66" s="100" t="str">
        <f t="shared" si="40"/>
        <v>3AEKC-834BC_2_FS201</v>
      </c>
      <c r="AB66" s="102" t="str">
        <f t="shared" si="28"/>
        <v>5A</v>
      </c>
      <c r="AC66" s="102" t="str">
        <f t="shared" si="29"/>
        <v>5B</v>
      </c>
      <c r="AD66" s="98" t="s">
        <v>235</v>
      </c>
      <c r="AE66" s="98" t="s">
        <v>236</v>
      </c>
      <c r="AF66" s="331" t="s">
        <v>369</v>
      </c>
      <c r="AG66" s="98" t="s">
        <v>322</v>
      </c>
      <c r="AH66" s="98" t="str">
        <f t="shared" si="36"/>
        <v>DCS</v>
      </c>
      <c r="AI66" s="331" t="s">
        <v>370</v>
      </c>
      <c r="AJ66" s="191" t="s">
        <v>371</v>
      </c>
      <c r="AK66" s="102"/>
      <c r="AL66" s="102"/>
      <c r="AM66" s="102"/>
      <c r="AN66" s="76"/>
      <c r="AO66" s="76"/>
      <c r="AP66" s="102"/>
      <c r="AQ66" s="76" t="s">
        <v>31</v>
      </c>
      <c r="AR66" s="169" t="s">
        <v>389</v>
      </c>
      <c r="AS66" s="100"/>
      <c r="AT66" s="100"/>
      <c r="AU66" s="330" t="s">
        <v>245</v>
      </c>
      <c r="AV66" s="201"/>
      <c r="AW66" s="201"/>
      <c r="AX66" s="201"/>
      <c r="AY66" s="201"/>
      <c r="AZ66" s="201"/>
      <c r="BA66" s="201"/>
      <c r="BB66" s="201"/>
      <c r="BC66" s="201"/>
      <c r="BD66" s="201"/>
      <c r="BE66" s="201"/>
      <c r="BF66" s="201"/>
      <c r="BG66" s="201"/>
      <c r="BH66" s="201"/>
      <c r="BI66" s="201"/>
      <c r="BJ66" s="201"/>
      <c r="BK66" s="201"/>
      <c r="BL66" s="204"/>
      <c r="BM66" s="201"/>
      <c r="BN66" s="201"/>
      <c r="BO66" s="201"/>
      <c r="BP66" s="204"/>
      <c r="BQ66" s="201"/>
      <c r="BR66" s="201"/>
      <c r="BS66" s="201"/>
      <c r="BT66" s="201"/>
      <c r="BU66" s="201"/>
      <c r="BV66" s="201"/>
      <c r="BW66" s="201"/>
      <c r="BX66" s="201"/>
      <c r="BY66" s="201"/>
      <c r="BZ66" s="201"/>
      <c r="CA66" s="201"/>
      <c r="CB66" s="201"/>
      <c r="CC66" s="201"/>
      <c r="CD66" s="98" t="str">
        <f t="shared" si="37"/>
        <v/>
      </c>
    </row>
    <row r="67" s="123" customFormat="1" ht="21" customHeight="1" spans="1:82">
      <c r="A67" s="93">
        <v>65</v>
      </c>
      <c r="B67" s="334" t="s">
        <v>384</v>
      </c>
      <c r="C67" s="342" t="s">
        <v>372</v>
      </c>
      <c r="D67" s="100" t="str">
        <f t="shared" si="38"/>
        <v>R3AEAB003PO_TF</v>
      </c>
      <c r="E67" s="335" t="s">
        <v>395</v>
      </c>
      <c r="F67" s="100" t="s">
        <v>234</v>
      </c>
      <c r="G67" s="331" t="s">
        <v>387</v>
      </c>
      <c r="H67" s="330" t="s">
        <v>124</v>
      </c>
      <c r="I67" s="98" t="str">
        <f t="shared" si="30"/>
        <v>FF211</v>
      </c>
      <c r="J67" s="98" t="str">
        <f t="shared" si="31"/>
        <v>205FF</v>
      </c>
      <c r="K67" s="100" t="str">
        <f t="shared" si="32"/>
        <v>3AEKC003AR205FF</v>
      </c>
      <c r="L67" s="102">
        <v>2</v>
      </c>
      <c r="M67" s="102">
        <v>5</v>
      </c>
      <c r="N67" s="102">
        <v>2</v>
      </c>
      <c r="O67" s="186">
        <v>2</v>
      </c>
      <c r="P67" s="102">
        <v>6</v>
      </c>
      <c r="Q67" s="98"/>
      <c r="R67" s="98"/>
      <c r="S67" s="98">
        <f t="shared" si="33"/>
        <v>15</v>
      </c>
      <c r="T67" s="98" t="str">
        <f t="shared" si="39"/>
        <v>TB271</v>
      </c>
      <c r="U67" s="98" t="str">
        <f t="shared" si="34"/>
        <v>205_2FI</v>
      </c>
      <c r="V67" s="98" t="str">
        <f t="shared" si="25"/>
        <v>a</v>
      </c>
      <c r="W67" s="98" t="str">
        <f t="shared" si="26"/>
        <v>b</v>
      </c>
      <c r="X67" s="98" t="str">
        <f t="shared" si="27"/>
        <v>IE-BUS</v>
      </c>
      <c r="Y67" s="98" t="str">
        <f t="shared" si="24"/>
        <v>--</v>
      </c>
      <c r="Z67" s="98" t="s">
        <v>388</v>
      </c>
      <c r="AA67" s="100" t="str">
        <f t="shared" si="40"/>
        <v>3AEKC-834BC_2_FS201</v>
      </c>
      <c r="AB67" s="102" t="str">
        <f t="shared" si="28"/>
        <v>6A</v>
      </c>
      <c r="AC67" s="102" t="str">
        <f t="shared" si="29"/>
        <v>6B</v>
      </c>
      <c r="AD67" s="98" t="s">
        <v>235</v>
      </c>
      <c r="AE67" s="98" t="s">
        <v>236</v>
      </c>
      <c r="AF67" s="331" t="s">
        <v>369</v>
      </c>
      <c r="AG67" s="98" t="s">
        <v>322</v>
      </c>
      <c r="AH67" s="98" t="str">
        <f t="shared" si="36"/>
        <v>DCS</v>
      </c>
      <c r="AI67" s="331" t="s">
        <v>370</v>
      </c>
      <c r="AJ67" s="191" t="s">
        <v>371</v>
      </c>
      <c r="AK67" s="102"/>
      <c r="AL67" s="102"/>
      <c r="AM67" s="102"/>
      <c r="AN67" s="76"/>
      <c r="AO67" s="76"/>
      <c r="AP67" s="102"/>
      <c r="AQ67" s="76" t="s">
        <v>31</v>
      </c>
      <c r="AR67" s="169" t="s">
        <v>389</v>
      </c>
      <c r="AS67" s="100"/>
      <c r="AT67" s="100"/>
      <c r="AU67" s="330" t="s">
        <v>245</v>
      </c>
      <c r="AV67" s="201"/>
      <c r="AW67" s="201"/>
      <c r="AX67" s="201"/>
      <c r="AY67" s="201"/>
      <c r="AZ67" s="201"/>
      <c r="BA67" s="201"/>
      <c r="BB67" s="201"/>
      <c r="BC67" s="201"/>
      <c r="BD67" s="201"/>
      <c r="BE67" s="201"/>
      <c r="BF67" s="201"/>
      <c r="BG67" s="201"/>
      <c r="BH67" s="201"/>
      <c r="BI67" s="201"/>
      <c r="BJ67" s="201"/>
      <c r="BK67" s="201"/>
      <c r="BL67" s="204"/>
      <c r="BM67" s="201"/>
      <c r="BN67" s="201"/>
      <c r="BO67" s="201"/>
      <c r="BP67" s="204"/>
      <c r="BQ67" s="201"/>
      <c r="BR67" s="201"/>
      <c r="BS67" s="201"/>
      <c r="BT67" s="201"/>
      <c r="BU67" s="201"/>
      <c r="BV67" s="201"/>
      <c r="BW67" s="201"/>
      <c r="BX67" s="201"/>
      <c r="BY67" s="201"/>
      <c r="BZ67" s="201"/>
      <c r="CA67" s="201"/>
      <c r="CB67" s="201"/>
      <c r="CC67" s="201"/>
      <c r="CD67" s="98" t="str">
        <f t="shared" si="37"/>
        <v/>
      </c>
    </row>
    <row r="68" s="123" customFormat="1" ht="21" customHeight="1" spans="1:82">
      <c r="A68" s="93">
        <v>66</v>
      </c>
      <c r="B68" s="334" t="s">
        <v>384</v>
      </c>
      <c r="C68" s="342" t="s">
        <v>374</v>
      </c>
      <c r="D68" s="100" t="str">
        <f t="shared" si="38"/>
        <v>R3AEAB003PO_GZ</v>
      </c>
      <c r="E68" s="335" t="s">
        <v>396</v>
      </c>
      <c r="F68" s="100" t="s">
        <v>234</v>
      </c>
      <c r="G68" s="331" t="s">
        <v>387</v>
      </c>
      <c r="H68" s="330" t="s">
        <v>124</v>
      </c>
      <c r="I68" s="98" t="str">
        <f t="shared" si="30"/>
        <v>FF211</v>
      </c>
      <c r="J68" s="98" t="str">
        <f t="shared" si="31"/>
        <v>205FF</v>
      </c>
      <c r="K68" s="100" t="str">
        <f t="shared" si="32"/>
        <v>3AEKC003AR205FF</v>
      </c>
      <c r="L68" s="102">
        <v>2</v>
      </c>
      <c r="M68" s="102">
        <v>5</v>
      </c>
      <c r="N68" s="102">
        <v>2</v>
      </c>
      <c r="O68" s="186">
        <v>2</v>
      </c>
      <c r="P68" s="102">
        <v>7</v>
      </c>
      <c r="Q68" s="98"/>
      <c r="R68" s="98"/>
      <c r="S68" s="98">
        <f t="shared" si="33"/>
        <v>15</v>
      </c>
      <c r="T68" s="98" t="str">
        <f t="shared" si="39"/>
        <v>TB271</v>
      </c>
      <c r="U68" s="98" t="str">
        <f t="shared" si="34"/>
        <v>205_2FI</v>
      </c>
      <c r="V68" s="98" t="str">
        <f t="shared" ref="V68:V99" si="41">IF(OR(T68="TB221",T68="TB222",T68="TB242",T68="TB243",T68="TB246"),N68&amp;"A",IF(AND(OR(T68="TB231",T68="TB232",T68="TB233"),OR(AN68="",AN68="NO")),N68&amp;"B",IF(AND(OR(T68="TB231",T68="TB232",T68="TB233"),AN68="NC"),N68&amp;"A",IF(AND(T68="TB241",OR(I68="AI212",I68="AI216")),N68&amp;CHOOSE(MID(AI68,3,1),"B","A","A","A","A","B"),IF(AND(T68="TB244",I68="AO215"),N68*2+22,IF(AND(T68="TB244",I68="PI211"),(N68-1)*4+2,IF(AND(T68="TB244",I68="MD211"),CHOOSE(N68,"8","28"),IF(T68="TB271","a",IF(OR(T68="TB272",T68="TB271"),"--",IF(T68="TB251",N68&amp;"B",IF(T68="--","--","Err")))))))))))</f>
        <v>a</v>
      </c>
      <c r="W68" s="98" t="str">
        <f t="shared" ref="W68:W99" si="42">IF(OR(T68="TB221",T68="TB222",T68="TB242",T68="TB246"),N68&amp;"B",IF(OR(T68="TB231",T68="TB233",T68="TB251"),N68&amp;"C",IF(AND(T68="TB241",OR(I68="AI212",I68="AI216")),N68&amp;CHOOSE(MID(AI68,3,1),"A","C","C","C","C","A"),IF(AND(T68="TB244",I68="AO215"),N68*2+19,IF(AND(T68="TB244",I68="PI211"),N68*4,IF(AND(T68="TB244",I68="MD211"),CHOOSE(N68,"12","32"),IF(T68="TB271","b",IF(OR(T68="TB272",T68="TB271"),"--",IF(T68="--","--","Err")))))))))</f>
        <v>b</v>
      </c>
      <c r="X68" s="98" t="str">
        <f t="shared" ref="X68:X99" si="43">IF(T68="TB271","IE-BUS",IF(OR(AI68="AI7",AI68="AI8",AI68="AI9"),N68&amp;"C",IF(AND(T68="TB244",I68="MD211"),"GND:"&amp;CHOOSE(N68,"10","30"),"--")))</f>
        <v>IE-BUS</v>
      </c>
      <c r="Y68" s="98" t="str">
        <f t="shared" si="24"/>
        <v>--</v>
      </c>
      <c r="Z68" s="98" t="s">
        <v>388</v>
      </c>
      <c r="AA68" s="100" t="str">
        <f t="shared" si="40"/>
        <v>3AEKC-834BC_2_FS201</v>
      </c>
      <c r="AB68" s="102" t="str">
        <f t="shared" ref="AB68:AB99" si="44">IF(IFERROR(SEARCH("FS",Z68),-1)&gt;0,IF(AND(IFERROR(SEARCH("A",AF68),-1)&gt;0,IFERROR(SEARCH("四",AJ68),-1)&gt;0),P68&amp;"A",IF(IFERROR(SEARCH("AI",AF68),-1)&gt;0,P68&amp;"B",IF(IFERROR(SEARCH("AO",AF68),-1)&gt;0,P68&amp;"C",IF(IFERROR(SEARCH("DI",AF68),-1)&gt;0,P68&amp;"A",IF(AND(IFERROR(SEARCH("DO",AF68),-1)&gt;0,IFERROR(SEARCH("NC",AN68),-1)&gt;0),P68&amp;"A",IF(IFERROR(SEARCH("DO",AF68),-1)&gt;0,P68&amp;"B","--")))))),"--")</f>
        <v>7A</v>
      </c>
      <c r="AC68" s="102" t="str">
        <f t="shared" ref="AC68:AC99" si="45">IF(IFERROR(SEARCH("FS",Z68),-1)&gt;0,IF(AND(IFERROR(SEARCH("A",AF68),-1)&gt;0,IFERROR(SEARCH("四",AJ68),-1)&gt;0),P68&amp;"C",IF(IFERROR(SEARCH("AI",AF68),-1)&gt;0,P68&amp;"A",IF(IFERROR(SEARCH("AO",AF68),-1)&gt;0,P68&amp;"B",IF(IFERROR(SEARCH("DI",AF68),-1)&gt;0,P68&amp;"B",IF(AND(IFERROR(SEARCH("DO",AF68),-1)&gt;0,IFERROR(SEARCH("无源",AJ68),-1)&gt;0),P68&amp;"C",IF(IFERROR(SEARCH("DO",AF68),-1)&gt;0,P68&amp;"D","--")))))),"--")</f>
        <v>7B</v>
      </c>
      <c r="AD68" s="98" t="s">
        <v>235</v>
      </c>
      <c r="AE68" s="98" t="s">
        <v>236</v>
      </c>
      <c r="AF68" s="331" t="s">
        <v>369</v>
      </c>
      <c r="AG68" s="98" t="s">
        <v>322</v>
      </c>
      <c r="AH68" s="98" t="str">
        <f t="shared" si="36"/>
        <v>DCS</v>
      </c>
      <c r="AI68" s="331" t="s">
        <v>370</v>
      </c>
      <c r="AJ68" s="191" t="s">
        <v>371</v>
      </c>
      <c r="AK68" s="102"/>
      <c r="AL68" s="102"/>
      <c r="AM68" s="102"/>
      <c r="AN68" s="76"/>
      <c r="AO68" s="76"/>
      <c r="AP68" s="102"/>
      <c r="AQ68" s="76" t="s">
        <v>31</v>
      </c>
      <c r="AR68" s="169" t="s">
        <v>389</v>
      </c>
      <c r="AS68" s="100"/>
      <c r="AT68" s="100"/>
      <c r="AU68" s="330" t="s">
        <v>245</v>
      </c>
      <c r="AV68" s="201"/>
      <c r="AW68" s="201"/>
      <c r="AX68" s="201"/>
      <c r="AY68" s="201"/>
      <c r="AZ68" s="201"/>
      <c r="BA68" s="201"/>
      <c r="BB68" s="201"/>
      <c r="BC68" s="201"/>
      <c r="BD68" s="201"/>
      <c r="BE68" s="201"/>
      <c r="BF68" s="201"/>
      <c r="BG68" s="201"/>
      <c r="BH68" s="201"/>
      <c r="BI68" s="201"/>
      <c r="BJ68" s="201"/>
      <c r="BK68" s="201"/>
      <c r="BL68" s="204"/>
      <c r="BM68" s="201"/>
      <c r="BN68" s="201"/>
      <c r="BO68" s="201"/>
      <c r="BP68" s="204"/>
      <c r="BQ68" s="201"/>
      <c r="BR68" s="201"/>
      <c r="BS68" s="201"/>
      <c r="BT68" s="201"/>
      <c r="BU68" s="201"/>
      <c r="BV68" s="201"/>
      <c r="BW68" s="201"/>
      <c r="BX68" s="201"/>
      <c r="BY68" s="201"/>
      <c r="BZ68" s="201"/>
      <c r="CA68" s="201"/>
      <c r="CB68" s="201"/>
      <c r="CC68" s="201"/>
      <c r="CD68" s="98" t="str">
        <f t="shared" si="37"/>
        <v/>
      </c>
    </row>
    <row r="69" s="123" customFormat="1" ht="21" customHeight="1" spans="1:82">
      <c r="A69" s="93">
        <v>67</v>
      </c>
      <c r="B69" s="334" t="s">
        <v>390</v>
      </c>
      <c r="C69" s="342" t="s">
        <v>365</v>
      </c>
      <c r="D69" s="100" t="str">
        <f t="shared" si="38"/>
        <v>R3AEAB004PO_QF</v>
      </c>
      <c r="E69" s="335" t="s">
        <v>394</v>
      </c>
      <c r="F69" s="100" t="s">
        <v>234</v>
      </c>
      <c r="G69" s="331" t="s">
        <v>387</v>
      </c>
      <c r="H69" s="330" t="s">
        <v>124</v>
      </c>
      <c r="I69" s="98" t="str">
        <f t="shared" ref="I69:I100" si="46">IF(IFERROR(SEARCH("TCP",AG69),-1)&gt;0,"MD216",IF(IFERROR(SEARCH("RTU",AG69),-1)&gt;0,"MD211",IF(OR(IFERROR(SEARCH("DP",AG69),-1)&gt;0,IFERROR(SEARCH("PROFIBUS",AG69),-1)&gt;0),"DP211",IF(IFERROR(SEARCH("FF",AG69),-1)&gt;0,"FF211",IF(AND(AF69="AI",IFERROR(SEARCH("NH",AI69),-1)&gt;0),"AI212",IF(AND(AF69="AI",IFERROR(SEARCH("4*20mA",AG69),-1)&gt;0),"AI216",IF(AND(AF69="AI",IFERROR(SEARCH("TC",AG69),-1)&gt;0),"AI221",IF(AND(AF69="AI",IFERROR(SEARCH("PT",AG69),-1)&gt;0),"AI232",IF(AND(AF69="AO",OR(AI69="AO1",AI69="AO2")),"AO211",IF(AND(AF69="AO",AI69="AOH"),"AO215",IF(OR(AF69="PI",AE69="P"),"PI211",IF(AF69="DI","DI211",IF(AF69="DO","DO211",IF(IFERROR(SEARCH("OPC",AG69),-1)&gt;0,"--","未知板卡"))))))))))))))</f>
        <v>FF211</v>
      </c>
      <c r="J69" s="98" t="str">
        <f t="shared" ref="J69:J100" si="47">IF(I69="--","--",L69&amp;TEXT(M69,"00")&amp;IF(I69="AI232","RTD",IF(I69="AI221","TC",LEFT(I69,2))))</f>
        <v>205FF</v>
      </c>
      <c r="K69" s="100" t="str">
        <f t="shared" ref="K69:K100" si="48">IF(I69="--","--",H69&amp;J69)</f>
        <v>3AEKC003AR205FF</v>
      </c>
      <c r="L69" s="102">
        <v>2</v>
      </c>
      <c r="M69" s="102">
        <v>5</v>
      </c>
      <c r="N69" s="102">
        <v>2</v>
      </c>
      <c r="O69" s="186">
        <v>2</v>
      </c>
      <c r="P69" s="102">
        <v>8</v>
      </c>
      <c r="Q69" s="98"/>
      <c r="R69" s="98"/>
      <c r="S69" s="98">
        <f t="shared" ref="S69:S100" si="49">IF(I69="--","--",(L69-1)*10+M69)</f>
        <v>15</v>
      </c>
      <c r="T69" s="98" t="str">
        <f t="shared" si="39"/>
        <v>TB271</v>
      </c>
      <c r="U69" s="98" t="str">
        <f t="shared" ref="U69:U100" si="50">IF(I69="FF211",L69&amp;TEXT(M69,"00")&amp;"_"&amp;N69&amp;"FI",IF(OR(I69="MD216",I69="--"),"--",L69&amp;TEXT(M69,"00")&amp;"BN"))</f>
        <v>205_2FI</v>
      </c>
      <c r="V69" s="98" t="str">
        <f t="shared" si="41"/>
        <v>a</v>
      </c>
      <c r="W69" s="98" t="str">
        <f t="shared" si="42"/>
        <v>b</v>
      </c>
      <c r="X69" s="98" t="str">
        <f t="shared" si="43"/>
        <v>IE-BUS</v>
      </c>
      <c r="Y69" s="98" t="str">
        <f t="shared" si="24"/>
        <v>--</v>
      </c>
      <c r="Z69" s="98" t="s">
        <v>388</v>
      </c>
      <c r="AA69" s="100" t="str">
        <f t="shared" si="40"/>
        <v>3AEKC-834BC_2_FS201</v>
      </c>
      <c r="AB69" s="102" t="str">
        <f t="shared" si="44"/>
        <v>8A</v>
      </c>
      <c r="AC69" s="102" t="str">
        <f t="shared" si="45"/>
        <v>8B</v>
      </c>
      <c r="AD69" s="98" t="s">
        <v>235</v>
      </c>
      <c r="AE69" s="98" t="s">
        <v>236</v>
      </c>
      <c r="AF69" s="331" t="s">
        <v>369</v>
      </c>
      <c r="AG69" s="98" t="s">
        <v>322</v>
      </c>
      <c r="AH69" s="98" t="str">
        <f t="shared" ref="AH69:AH100" si="51">IF(OR(IFERROR(SEARCH("TCP",AG69),-1)&gt;0,IFERROR(SEARCH("RTU",AG69),-1)&gt;0),"--",IF(LEFT(AI69,2)="AI",CHOOSE(MID(AI69,3,IF(IFERROR(SEARCH("NH",AI69),-1)&gt;0,"1",LEN(AI69)-1)),"DCS","DCS(提供24VDC)","DCS(提供220VAC)","USER","USER","DCS(提供220VAC)","DCS","DCS","DCS","DCS"),IF(LEFT(AI69,2)="AO","DCS",IF(LEFT(AI69,1)="P",CHOOSE(MID(AI69,2,LEN(AI69)-1),"DCS(提供24VDC)","DCS(提供220VAC)","USER"),IF(LEFT(AI69,2)="DI",CHOOSE(MID(AI69,3,LEN(AI69)-1),"DCS","DCS(提供24VDC)","DCS(提供220VAC)","USER","USER","DCS(提供24VDC)"),IF(LEFT(AI69,2)="DO",CHOOSE(MID(AI69,3,LEN(AI69)-1),"DCS","DCS(提供24VDC)","DCS(提供220VAC)","USER","USER"),IF(LEFT(AI69,2)="FF",CHOOSE(MID(AI69,3,LEN(AI69)-1),"DCS","DCS(提供24VDC)","DCS(提供220VAC)","USER","USER","DCS","DCS","DCS"),IF(LEFT(AI69,2)="DP","DCS(提供220VAC)",IF(IFERROR(SEARCH("DP",AG69),-1)&gt;0,"--",IF(IFERROR(SEARCH("OPC",AG69),-1)&gt;0,"--","Err"))))))))))</f>
        <v>DCS</v>
      </c>
      <c r="AI69" s="331" t="s">
        <v>370</v>
      </c>
      <c r="AJ69" s="191" t="s">
        <v>371</v>
      </c>
      <c r="AK69" s="102"/>
      <c r="AL69" s="102"/>
      <c r="AM69" s="102"/>
      <c r="AN69" s="76"/>
      <c r="AO69" s="76"/>
      <c r="AP69" s="102"/>
      <c r="AQ69" s="76" t="s">
        <v>31</v>
      </c>
      <c r="AR69" s="169" t="s">
        <v>389</v>
      </c>
      <c r="AS69" s="100"/>
      <c r="AT69" s="100"/>
      <c r="AU69" s="330" t="s">
        <v>245</v>
      </c>
      <c r="AV69" s="201"/>
      <c r="AW69" s="201"/>
      <c r="AX69" s="201"/>
      <c r="AY69" s="201"/>
      <c r="AZ69" s="201"/>
      <c r="BA69" s="201"/>
      <c r="BB69" s="201"/>
      <c r="BC69" s="201"/>
      <c r="BD69" s="201"/>
      <c r="BE69" s="201"/>
      <c r="BF69" s="201"/>
      <c r="BG69" s="201"/>
      <c r="BH69" s="201"/>
      <c r="BI69" s="201"/>
      <c r="BJ69" s="201"/>
      <c r="BK69" s="201"/>
      <c r="BL69" s="204"/>
      <c r="BM69" s="201"/>
      <c r="BN69" s="201"/>
      <c r="BO69" s="201"/>
      <c r="BP69" s="204"/>
      <c r="BQ69" s="201"/>
      <c r="BR69" s="201"/>
      <c r="BS69" s="201"/>
      <c r="BT69" s="201"/>
      <c r="BU69" s="201"/>
      <c r="BV69" s="201"/>
      <c r="BW69" s="201"/>
      <c r="BX69" s="201"/>
      <c r="BY69" s="201"/>
      <c r="BZ69" s="201"/>
      <c r="CA69" s="201"/>
      <c r="CB69" s="201"/>
      <c r="CC69" s="201"/>
      <c r="CD69" s="98" t="str">
        <f t="shared" ref="CD69:CD100" si="52">IF(AM69="","",IF(AK69="r/min",0,IF(ABS(AM69-AL69)&lt;=10,3,IF(AND((10&lt;ABS(AM69-AL69)),(ABS(AM69-AL69)&lt;=100)),2,IF(100&lt;ABS(AM69-AL69),1,"")))))</f>
        <v/>
      </c>
    </row>
    <row r="70" s="123" customFormat="1" ht="21" customHeight="1" spans="1:82">
      <c r="A70" s="93">
        <v>68</v>
      </c>
      <c r="B70" s="334" t="s">
        <v>390</v>
      </c>
      <c r="C70" s="342" t="s">
        <v>372</v>
      </c>
      <c r="D70" s="100" t="str">
        <f t="shared" ref="D70:D101" si="53">IF(CLEAN(B70)="","","R")&amp;SUBSTITUTE(TRIM(B70),"-","")&amp;IF(CLEAN(C70)="","","_"&amp;C70)</f>
        <v>R3AEAB004PO_TF</v>
      </c>
      <c r="E70" s="335" t="s">
        <v>395</v>
      </c>
      <c r="F70" s="100" t="s">
        <v>234</v>
      </c>
      <c r="G70" s="331" t="s">
        <v>387</v>
      </c>
      <c r="H70" s="330" t="s">
        <v>124</v>
      </c>
      <c r="I70" s="98" t="str">
        <f t="shared" si="46"/>
        <v>FF211</v>
      </c>
      <c r="J70" s="98" t="str">
        <f t="shared" si="47"/>
        <v>205FF</v>
      </c>
      <c r="K70" s="100" t="str">
        <f t="shared" si="48"/>
        <v>3AEKC003AR205FF</v>
      </c>
      <c r="L70" s="102">
        <v>2</v>
      </c>
      <c r="M70" s="102">
        <v>5</v>
      </c>
      <c r="N70" s="102">
        <v>2</v>
      </c>
      <c r="O70" s="186">
        <v>2</v>
      </c>
      <c r="P70" s="102">
        <v>9</v>
      </c>
      <c r="Q70" s="98"/>
      <c r="R70" s="98"/>
      <c r="S70" s="98">
        <f t="shared" si="49"/>
        <v>15</v>
      </c>
      <c r="T70" s="98" t="str">
        <f t="shared" si="39"/>
        <v>TB271</v>
      </c>
      <c r="U70" s="98" t="str">
        <f t="shared" si="50"/>
        <v>205_2FI</v>
      </c>
      <c r="V70" s="98" t="str">
        <f t="shared" si="41"/>
        <v>a</v>
      </c>
      <c r="W70" s="98" t="str">
        <f t="shared" si="42"/>
        <v>b</v>
      </c>
      <c r="X70" s="98" t="str">
        <f t="shared" si="43"/>
        <v>IE-BUS</v>
      </c>
      <c r="Y70" s="98" t="str">
        <f t="shared" si="24"/>
        <v>--</v>
      </c>
      <c r="Z70" s="98" t="s">
        <v>388</v>
      </c>
      <c r="AA70" s="100" t="str">
        <f t="shared" si="40"/>
        <v>3AEKC-834BC_2_FS201</v>
      </c>
      <c r="AB70" s="102" t="str">
        <f t="shared" si="44"/>
        <v>9A</v>
      </c>
      <c r="AC70" s="102" t="str">
        <f t="shared" si="45"/>
        <v>9B</v>
      </c>
      <c r="AD70" s="98" t="s">
        <v>235</v>
      </c>
      <c r="AE70" s="98" t="s">
        <v>236</v>
      </c>
      <c r="AF70" s="331" t="s">
        <v>369</v>
      </c>
      <c r="AG70" s="98" t="s">
        <v>322</v>
      </c>
      <c r="AH70" s="98" t="str">
        <f t="shared" si="51"/>
        <v>DCS</v>
      </c>
      <c r="AI70" s="331" t="s">
        <v>370</v>
      </c>
      <c r="AJ70" s="191" t="s">
        <v>371</v>
      </c>
      <c r="AK70" s="102"/>
      <c r="AL70" s="102"/>
      <c r="AM70" s="102"/>
      <c r="AN70" s="76"/>
      <c r="AO70" s="76"/>
      <c r="AP70" s="102"/>
      <c r="AQ70" s="76" t="s">
        <v>31</v>
      </c>
      <c r="AR70" s="169" t="s">
        <v>389</v>
      </c>
      <c r="AS70" s="100"/>
      <c r="AT70" s="100"/>
      <c r="AU70" s="330" t="s">
        <v>245</v>
      </c>
      <c r="AV70" s="201"/>
      <c r="AW70" s="201"/>
      <c r="AX70" s="201"/>
      <c r="AY70" s="201"/>
      <c r="AZ70" s="201"/>
      <c r="BA70" s="201"/>
      <c r="BB70" s="201"/>
      <c r="BC70" s="201"/>
      <c r="BD70" s="201"/>
      <c r="BE70" s="201"/>
      <c r="BF70" s="201"/>
      <c r="BG70" s="201"/>
      <c r="BH70" s="201"/>
      <c r="BI70" s="201"/>
      <c r="BJ70" s="201"/>
      <c r="BK70" s="201"/>
      <c r="BL70" s="204"/>
      <c r="BM70" s="201"/>
      <c r="BN70" s="201"/>
      <c r="BO70" s="201"/>
      <c r="BP70" s="204"/>
      <c r="BQ70" s="201"/>
      <c r="BR70" s="201"/>
      <c r="BS70" s="201"/>
      <c r="BT70" s="201"/>
      <c r="BU70" s="201"/>
      <c r="BV70" s="201"/>
      <c r="BW70" s="201"/>
      <c r="BX70" s="201"/>
      <c r="BY70" s="201"/>
      <c r="BZ70" s="201"/>
      <c r="CA70" s="201"/>
      <c r="CB70" s="201"/>
      <c r="CC70" s="201"/>
      <c r="CD70" s="98" t="str">
        <f t="shared" si="52"/>
        <v/>
      </c>
    </row>
    <row r="71" s="123" customFormat="1" ht="21" customHeight="1" spans="1:82">
      <c r="A71" s="93">
        <v>69</v>
      </c>
      <c r="B71" s="334" t="s">
        <v>390</v>
      </c>
      <c r="C71" s="342" t="s">
        <v>374</v>
      </c>
      <c r="D71" s="100" t="str">
        <f t="shared" si="53"/>
        <v>R3AEAB004PO_GZ</v>
      </c>
      <c r="E71" s="335" t="s">
        <v>396</v>
      </c>
      <c r="F71" s="100" t="s">
        <v>234</v>
      </c>
      <c r="G71" s="331" t="s">
        <v>387</v>
      </c>
      <c r="H71" s="330" t="s">
        <v>124</v>
      </c>
      <c r="I71" s="98" t="str">
        <f t="shared" si="46"/>
        <v>FF211</v>
      </c>
      <c r="J71" s="98" t="str">
        <f t="shared" si="47"/>
        <v>205FF</v>
      </c>
      <c r="K71" s="100" t="str">
        <f t="shared" si="48"/>
        <v>3AEKC003AR205FF</v>
      </c>
      <c r="L71" s="102">
        <v>2</v>
      </c>
      <c r="M71" s="102">
        <v>5</v>
      </c>
      <c r="N71" s="102">
        <v>2</v>
      </c>
      <c r="O71" s="186">
        <v>2</v>
      </c>
      <c r="P71" s="102">
        <v>10</v>
      </c>
      <c r="Q71" s="98"/>
      <c r="R71" s="98"/>
      <c r="S71" s="98">
        <f t="shared" si="49"/>
        <v>15</v>
      </c>
      <c r="T71" s="98" t="str">
        <f t="shared" si="39"/>
        <v>TB271</v>
      </c>
      <c r="U71" s="98" t="str">
        <f t="shared" si="50"/>
        <v>205_2FI</v>
      </c>
      <c r="V71" s="98" t="str">
        <f t="shared" si="41"/>
        <v>a</v>
      </c>
      <c r="W71" s="98" t="str">
        <f t="shared" si="42"/>
        <v>b</v>
      </c>
      <c r="X71" s="98" t="str">
        <f t="shared" si="43"/>
        <v>IE-BUS</v>
      </c>
      <c r="Y71" s="98" t="str">
        <f t="shared" si="24"/>
        <v>--</v>
      </c>
      <c r="Z71" s="98" t="s">
        <v>388</v>
      </c>
      <c r="AA71" s="100" t="str">
        <f t="shared" si="40"/>
        <v>3AEKC-834BC_2_FS201</v>
      </c>
      <c r="AB71" s="102" t="str">
        <f t="shared" si="44"/>
        <v>10A</v>
      </c>
      <c r="AC71" s="102" t="str">
        <f t="shared" si="45"/>
        <v>10B</v>
      </c>
      <c r="AD71" s="98" t="s">
        <v>235</v>
      </c>
      <c r="AE71" s="98" t="s">
        <v>236</v>
      </c>
      <c r="AF71" s="331" t="s">
        <v>369</v>
      </c>
      <c r="AG71" s="98" t="s">
        <v>322</v>
      </c>
      <c r="AH71" s="98" t="str">
        <f t="shared" si="51"/>
        <v>DCS</v>
      </c>
      <c r="AI71" s="331" t="s">
        <v>370</v>
      </c>
      <c r="AJ71" s="191" t="s">
        <v>371</v>
      </c>
      <c r="AK71" s="102"/>
      <c r="AL71" s="102"/>
      <c r="AM71" s="102"/>
      <c r="AN71" s="76"/>
      <c r="AO71" s="76"/>
      <c r="AP71" s="102"/>
      <c r="AQ71" s="76" t="s">
        <v>31</v>
      </c>
      <c r="AR71" s="169" t="s">
        <v>389</v>
      </c>
      <c r="AS71" s="100"/>
      <c r="AT71" s="100"/>
      <c r="AU71" s="330" t="s">
        <v>245</v>
      </c>
      <c r="AV71" s="201"/>
      <c r="AW71" s="201"/>
      <c r="AX71" s="201"/>
      <c r="AY71" s="201"/>
      <c r="AZ71" s="201"/>
      <c r="BA71" s="201"/>
      <c r="BB71" s="201"/>
      <c r="BC71" s="201"/>
      <c r="BD71" s="201"/>
      <c r="BE71" s="201"/>
      <c r="BF71" s="201"/>
      <c r="BG71" s="201"/>
      <c r="BH71" s="201"/>
      <c r="BI71" s="201"/>
      <c r="BJ71" s="201"/>
      <c r="BK71" s="201"/>
      <c r="BL71" s="204"/>
      <c r="BM71" s="201"/>
      <c r="BN71" s="201"/>
      <c r="BO71" s="201"/>
      <c r="BP71" s="204"/>
      <c r="BQ71" s="201"/>
      <c r="BR71" s="201"/>
      <c r="BS71" s="201"/>
      <c r="BT71" s="201"/>
      <c r="BU71" s="201"/>
      <c r="BV71" s="201"/>
      <c r="BW71" s="201"/>
      <c r="BX71" s="201"/>
      <c r="BY71" s="201"/>
      <c r="BZ71" s="201"/>
      <c r="CA71" s="201"/>
      <c r="CB71" s="201"/>
      <c r="CC71" s="201"/>
      <c r="CD71" s="98" t="str">
        <f t="shared" si="52"/>
        <v/>
      </c>
    </row>
    <row r="72" s="123" customFormat="1" ht="21" customHeight="1" spans="1:82">
      <c r="A72" s="93">
        <v>70</v>
      </c>
      <c r="B72" s="334" t="s">
        <v>384</v>
      </c>
      <c r="C72" s="342" t="s">
        <v>377</v>
      </c>
      <c r="D72" s="100" t="str">
        <f t="shared" si="53"/>
        <v>R3AEAB003PO_Q</v>
      </c>
      <c r="E72" s="335" t="s">
        <v>397</v>
      </c>
      <c r="F72" s="100" t="s">
        <v>234</v>
      </c>
      <c r="G72" s="331" t="s">
        <v>387</v>
      </c>
      <c r="H72" s="330" t="s">
        <v>124</v>
      </c>
      <c r="I72" s="98" t="str">
        <f t="shared" si="46"/>
        <v>FF211</v>
      </c>
      <c r="J72" s="98" t="str">
        <f t="shared" si="47"/>
        <v>205FF</v>
      </c>
      <c r="K72" s="100" t="str">
        <f t="shared" si="48"/>
        <v>3AEKC003AR205FF</v>
      </c>
      <c r="L72" s="102">
        <v>2</v>
      </c>
      <c r="M72" s="102">
        <v>5</v>
      </c>
      <c r="N72" s="102">
        <v>2</v>
      </c>
      <c r="O72" s="186">
        <v>2</v>
      </c>
      <c r="P72" s="102">
        <v>11</v>
      </c>
      <c r="Q72" s="98"/>
      <c r="R72" s="98"/>
      <c r="S72" s="98">
        <f t="shared" si="49"/>
        <v>15</v>
      </c>
      <c r="T72" s="98" t="str">
        <f t="shared" si="39"/>
        <v>TB271</v>
      </c>
      <c r="U72" s="98" t="str">
        <f t="shared" si="50"/>
        <v>205_2FI</v>
      </c>
      <c r="V72" s="98" t="str">
        <f t="shared" si="41"/>
        <v>a</v>
      </c>
      <c r="W72" s="98" t="str">
        <f t="shared" si="42"/>
        <v>b</v>
      </c>
      <c r="X72" s="98" t="str">
        <f t="shared" si="43"/>
        <v>IE-BUS</v>
      </c>
      <c r="Y72" s="98" t="str">
        <f t="shared" si="24"/>
        <v>--</v>
      </c>
      <c r="Z72" s="98" t="s">
        <v>388</v>
      </c>
      <c r="AA72" s="100" t="str">
        <f t="shared" si="40"/>
        <v>3AEKC-834BC_2_FS201</v>
      </c>
      <c r="AB72" s="102" t="str">
        <f t="shared" si="44"/>
        <v>11B</v>
      </c>
      <c r="AC72" s="102" t="str">
        <f t="shared" si="45"/>
        <v>11D</v>
      </c>
      <c r="AD72" s="98" t="s">
        <v>235</v>
      </c>
      <c r="AE72" s="98" t="s">
        <v>236</v>
      </c>
      <c r="AF72" s="331" t="s">
        <v>379</v>
      </c>
      <c r="AG72" s="98" t="s">
        <v>322</v>
      </c>
      <c r="AH72" s="98" t="str">
        <f t="shared" si="51"/>
        <v>DCS</v>
      </c>
      <c r="AI72" s="331" t="s">
        <v>380</v>
      </c>
      <c r="AJ72" s="191" t="s">
        <v>371</v>
      </c>
      <c r="AK72" s="102"/>
      <c r="AL72" s="102"/>
      <c r="AM72" s="102"/>
      <c r="AN72" s="199" t="s">
        <v>305</v>
      </c>
      <c r="AO72" s="199"/>
      <c r="AP72" s="102"/>
      <c r="AQ72" s="76" t="s">
        <v>31</v>
      </c>
      <c r="AR72" s="169" t="s">
        <v>389</v>
      </c>
      <c r="AS72" s="100"/>
      <c r="AT72" s="100"/>
      <c r="AU72" s="330" t="s">
        <v>245</v>
      </c>
      <c r="AV72" s="201"/>
      <c r="AW72" s="201"/>
      <c r="AX72" s="201"/>
      <c r="AY72" s="201"/>
      <c r="AZ72" s="201"/>
      <c r="BA72" s="201"/>
      <c r="BB72" s="201"/>
      <c r="BC72" s="201"/>
      <c r="BD72" s="201"/>
      <c r="BE72" s="201"/>
      <c r="BF72" s="201"/>
      <c r="BG72" s="201"/>
      <c r="BH72" s="201"/>
      <c r="BI72" s="201"/>
      <c r="BJ72" s="201"/>
      <c r="BK72" s="201"/>
      <c r="BL72" s="204"/>
      <c r="BM72" s="201"/>
      <c r="BN72" s="201"/>
      <c r="BO72" s="201"/>
      <c r="BP72" s="204"/>
      <c r="BQ72" s="201"/>
      <c r="BR72" s="201"/>
      <c r="BS72" s="201"/>
      <c r="BT72" s="201"/>
      <c r="BU72" s="201"/>
      <c r="BV72" s="201"/>
      <c r="BW72" s="201"/>
      <c r="BX72" s="201"/>
      <c r="BY72" s="201"/>
      <c r="BZ72" s="201"/>
      <c r="CA72" s="201"/>
      <c r="CB72" s="201"/>
      <c r="CC72" s="201"/>
      <c r="CD72" s="98" t="str">
        <f t="shared" si="52"/>
        <v/>
      </c>
    </row>
    <row r="73" s="123" customFormat="1" ht="21" customHeight="1" spans="1:82">
      <c r="A73" s="93">
        <v>71</v>
      </c>
      <c r="B73" s="334" t="s">
        <v>384</v>
      </c>
      <c r="C73" s="342" t="s">
        <v>381</v>
      </c>
      <c r="D73" s="100" t="str">
        <f t="shared" si="53"/>
        <v>R3AEAB003PO_T</v>
      </c>
      <c r="E73" s="335" t="s">
        <v>398</v>
      </c>
      <c r="F73" s="100" t="s">
        <v>234</v>
      </c>
      <c r="G73" s="331" t="s">
        <v>387</v>
      </c>
      <c r="H73" s="330" t="s">
        <v>124</v>
      </c>
      <c r="I73" s="98" t="str">
        <f t="shared" si="46"/>
        <v>FF211</v>
      </c>
      <c r="J73" s="98" t="str">
        <f t="shared" si="47"/>
        <v>205FF</v>
      </c>
      <c r="K73" s="100" t="str">
        <f t="shared" si="48"/>
        <v>3AEKC003AR205FF</v>
      </c>
      <c r="L73" s="102">
        <v>2</v>
      </c>
      <c r="M73" s="102">
        <v>5</v>
      </c>
      <c r="N73" s="102">
        <v>2</v>
      </c>
      <c r="O73" s="186">
        <v>2</v>
      </c>
      <c r="P73" s="102">
        <v>12</v>
      </c>
      <c r="Q73" s="98"/>
      <c r="R73" s="98"/>
      <c r="S73" s="98">
        <f t="shared" si="49"/>
        <v>15</v>
      </c>
      <c r="T73" s="98" t="str">
        <f t="shared" si="39"/>
        <v>TB271</v>
      </c>
      <c r="U73" s="98" t="str">
        <f t="shared" si="50"/>
        <v>205_2FI</v>
      </c>
      <c r="V73" s="98" t="str">
        <f t="shared" si="41"/>
        <v>a</v>
      </c>
      <c r="W73" s="98" t="str">
        <f t="shared" si="42"/>
        <v>b</v>
      </c>
      <c r="X73" s="98" t="str">
        <f t="shared" si="43"/>
        <v>IE-BUS</v>
      </c>
      <c r="Y73" s="98" t="str">
        <f t="shared" ref="Y73:Y133" si="54">IF(AI73="AI9",N73&amp;"D","--")</f>
        <v>--</v>
      </c>
      <c r="Z73" s="98" t="s">
        <v>388</v>
      </c>
      <c r="AA73" s="100" t="str">
        <f t="shared" si="40"/>
        <v>3AEKC-834BC_2_FS201</v>
      </c>
      <c r="AB73" s="102" t="str">
        <f t="shared" si="44"/>
        <v>12B</v>
      </c>
      <c r="AC73" s="102" t="str">
        <f t="shared" si="45"/>
        <v>12C</v>
      </c>
      <c r="AD73" s="98" t="s">
        <v>235</v>
      </c>
      <c r="AE73" s="98" t="s">
        <v>236</v>
      </c>
      <c r="AF73" s="331" t="s">
        <v>379</v>
      </c>
      <c r="AG73" s="98" t="s">
        <v>322</v>
      </c>
      <c r="AH73" s="98" t="str">
        <f t="shared" si="51"/>
        <v>DCS</v>
      </c>
      <c r="AI73" s="331" t="s">
        <v>380</v>
      </c>
      <c r="AJ73" s="192" t="s">
        <v>383</v>
      </c>
      <c r="AK73" s="102"/>
      <c r="AL73" s="102"/>
      <c r="AM73" s="102"/>
      <c r="AN73" s="199" t="s">
        <v>305</v>
      </c>
      <c r="AO73" s="199"/>
      <c r="AP73" s="102"/>
      <c r="AQ73" s="76" t="s">
        <v>31</v>
      </c>
      <c r="AR73" s="169" t="s">
        <v>389</v>
      </c>
      <c r="AS73" s="100"/>
      <c r="AT73" s="100"/>
      <c r="AU73" s="330" t="s">
        <v>245</v>
      </c>
      <c r="AV73" s="201"/>
      <c r="AW73" s="201"/>
      <c r="AX73" s="201"/>
      <c r="AY73" s="201"/>
      <c r="AZ73" s="201"/>
      <c r="BA73" s="201"/>
      <c r="BB73" s="201"/>
      <c r="BC73" s="201"/>
      <c r="BD73" s="201"/>
      <c r="BE73" s="201"/>
      <c r="BF73" s="201"/>
      <c r="BG73" s="201"/>
      <c r="BH73" s="201"/>
      <c r="BI73" s="201"/>
      <c r="BJ73" s="201"/>
      <c r="BK73" s="201"/>
      <c r="BL73" s="204"/>
      <c r="BM73" s="201"/>
      <c r="BN73" s="201"/>
      <c r="BO73" s="201"/>
      <c r="BP73" s="204"/>
      <c r="BQ73" s="201"/>
      <c r="BR73" s="201"/>
      <c r="BS73" s="201"/>
      <c r="BT73" s="201"/>
      <c r="BU73" s="201"/>
      <c r="BV73" s="201"/>
      <c r="BW73" s="201"/>
      <c r="BX73" s="201"/>
      <c r="BY73" s="201"/>
      <c r="BZ73" s="201"/>
      <c r="CA73" s="201"/>
      <c r="CB73" s="201"/>
      <c r="CC73" s="201"/>
      <c r="CD73" s="98" t="str">
        <f t="shared" si="52"/>
        <v/>
      </c>
    </row>
    <row r="74" s="123" customFormat="1" ht="21" customHeight="1" spans="1:82">
      <c r="A74" s="93">
        <v>72</v>
      </c>
      <c r="B74" s="334" t="s">
        <v>390</v>
      </c>
      <c r="C74" s="342" t="s">
        <v>377</v>
      </c>
      <c r="D74" s="100" t="str">
        <f t="shared" si="53"/>
        <v>R3AEAB004PO_Q</v>
      </c>
      <c r="E74" s="335" t="s">
        <v>397</v>
      </c>
      <c r="F74" s="100" t="s">
        <v>234</v>
      </c>
      <c r="G74" s="331" t="s">
        <v>387</v>
      </c>
      <c r="H74" s="330" t="s">
        <v>124</v>
      </c>
      <c r="I74" s="98" t="str">
        <f t="shared" si="46"/>
        <v>FF211</v>
      </c>
      <c r="J74" s="98" t="str">
        <f t="shared" si="47"/>
        <v>205FF</v>
      </c>
      <c r="K74" s="100" t="str">
        <f t="shared" si="48"/>
        <v>3AEKC003AR205FF</v>
      </c>
      <c r="L74" s="102">
        <v>2</v>
      </c>
      <c r="M74" s="102">
        <v>5</v>
      </c>
      <c r="N74" s="102">
        <v>2</v>
      </c>
      <c r="O74" s="186">
        <v>2</v>
      </c>
      <c r="P74" s="102">
        <v>13</v>
      </c>
      <c r="Q74" s="98"/>
      <c r="R74" s="98"/>
      <c r="S74" s="98">
        <f t="shared" si="49"/>
        <v>15</v>
      </c>
      <c r="T74" s="98" t="str">
        <f t="shared" si="39"/>
        <v>TB271</v>
      </c>
      <c r="U74" s="98" t="str">
        <f t="shared" si="50"/>
        <v>205_2FI</v>
      </c>
      <c r="V74" s="98" t="str">
        <f t="shared" si="41"/>
        <v>a</v>
      </c>
      <c r="W74" s="98" t="str">
        <f t="shared" si="42"/>
        <v>b</v>
      </c>
      <c r="X74" s="98" t="str">
        <f t="shared" si="43"/>
        <v>IE-BUS</v>
      </c>
      <c r="Y74" s="98" t="str">
        <f t="shared" si="54"/>
        <v>--</v>
      </c>
      <c r="Z74" s="98" t="s">
        <v>388</v>
      </c>
      <c r="AA74" s="100" t="str">
        <f t="shared" si="40"/>
        <v>3AEKC-834BC_2_FS201</v>
      </c>
      <c r="AB74" s="102" t="str">
        <f t="shared" si="44"/>
        <v>13A</v>
      </c>
      <c r="AC74" s="102" t="str">
        <f t="shared" si="45"/>
        <v>13D</v>
      </c>
      <c r="AD74" s="98" t="s">
        <v>235</v>
      </c>
      <c r="AE74" s="98" t="s">
        <v>236</v>
      </c>
      <c r="AF74" s="331" t="s">
        <v>379</v>
      </c>
      <c r="AG74" s="98" t="s">
        <v>322</v>
      </c>
      <c r="AH74" s="98" t="str">
        <f t="shared" si="51"/>
        <v>DCS</v>
      </c>
      <c r="AI74" s="331" t="s">
        <v>380</v>
      </c>
      <c r="AJ74" s="191" t="s">
        <v>371</v>
      </c>
      <c r="AK74" s="102"/>
      <c r="AL74" s="102"/>
      <c r="AM74" s="102"/>
      <c r="AN74" s="199" t="s">
        <v>307</v>
      </c>
      <c r="AO74" s="199"/>
      <c r="AP74" s="102"/>
      <c r="AQ74" s="76" t="s">
        <v>31</v>
      </c>
      <c r="AR74" s="169" t="s">
        <v>389</v>
      </c>
      <c r="AS74" s="100"/>
      <c r="AT74" s="100"/>
      <c r="AU74" s="330" t="s">
        <v>245</v>
      </c>
      <c r="AV74" s="201"/>
      <c r="AW74" s="201"/>
      <c r="AX74" s="201"/>
      <c r="AY74" s="201"/>
      <c r="AZ74" s="201"/>
      <c r="BA74" s="201"/>
      <c r="BB74" s="201"/>
      <c r="BC74" s="201"/>
      <c r="BD74" s="201"/>
      <c r="BE74" s="201"/>
      <c r="BF74" s="201"/>
      <c r="BG74" s="201"/>
      <c r="BH74" s="201"/>
      <c r="BI74" s="201"/>
      <c r="BJ74" s="201"/>
      <c r="BK74" s="201"/>
      <c r="BL74" s="204"/>
      <c r="BM74" s="201"/>
      <c r="BN74" s="201"/>
      <c r="BO74" s="201"/>
      <c r="BP74" s="204"/>
      <c r="BQ74" s="201"/>
      <c r="BR74" s="201"/>
      <c r="BS74" s="201"/>
      <c r="BT74" s="201"/>
      <c r="BU74" s="201"/>
      <c r="BV74" s="201"/>
      <c r="BW74" s="201"/>
      <c r="BX74" s="201"/>
      <c r="BY74" s="201"/>
      <c r="BZ74" s="201"/>
      <c r="CA74" s="201"/>
      <c r="CB74" s="201"/>
      <c r="CC74" s="201"/>
      <c r="CD74" s="98" t="str">
        <f t="shared" si="52"/>
        <v/>
      </c>
    </row>
    <row r="75" s="123" customFormat="1" ht="21" customHeight="1" spans="1:82">
      <c r="A75" s="93">
        <v>73</v>
      </c>
      <c r="B75" s="334" t="s">
        <v>390</v>
      </c>
      <c r="C75" s="342" t="s">
        <v>381</v>
      </c>
      <c r="D75" s="100" t="str">
        <f t="shared" si="53"/>
        <v>R3AEAB004PO_T</v>
      </c>
      <c r="E75" s="335" t="s">
        <v>398</v>
      </c>
      <c r="F75" s="100" t="s">
        <v>234</v>
      </c>
      <c r="G75" s="331" t="s">
        <v>387</v>
      </c>
      <c r="H75" s="330" t="s">
        <v>124</v>
      </c>
      <c r="I75" s="98" t="str">
        <f t="shared" si="46"/>
        <v>FF211</v>
      </c>
      <c r="J75" s="98" t="str">
        <f t="shared" si="47"/>
        <v>205FF</v>
      </c>
      <c r="K75" s="100" t="str">
        <f t="shared" si="48"/>
        <v>3AEKC003AR205FF</v>
      </c>
      <c r="L75" s="102">
        <v>2</v>
      </c>
      <c r="M75" s="102">
        <v>5</v>
      </c>
      <c r="N75" s="102">
        <v>2</v>
      </c>
      <c r="O75" s="186">
        <v>2</v>
      </c>
      <c r="P75" s="102">
        <v>14</v>
      </c>
      <c r="Q75" s="98"/>
      <c r="R75" s="98"/>
      <c r="S75" s="98">
        <f t="shared" si="49"/>
        <v>15</v>
      </c>
      <c r="T75" s="98" t="str">
        <f t="shared" ref="T75:T106" si="55">IF(I75="DO211",CHOOSE(MID(AI75,3,LEN(AI75)-1),"TB233","TB233","TB231","TB231","TB231"),IF(AND(I75="DI211",AI75="DI4",IFERROR(SEARCH("继电器",AJ75),-1)&gt;0),"TB222",IF(I75="DI211",CHOOSE(MID(AI75,3,LEN(AI75)-1),"TB222","TB222","TB222","TB221","TB222","TB222"),IF(OR(I75="AI212",I75="AI216"),"TB241",IF(I75="AI221","TB242",IF(I75="AI232","TB246",IF(I75="AO211","TB251",IF(OR(I75="PI211",I75="AO215",I75="MD211"),"TB244",IF(I75="MD216","--",IF(I75="FF211","TB271",IF(I75="DP211","TB272",IF(I75="--","--","ERR"))))))))))))</f>
        <v>TB271</v>
      </c>
      <c r="U75" s="98" t="str">
        <f t="shared" si="50"/>
        <v>205_2FI</v>
      </c>
      <c r="V75" s="98" t="str">
        <f t="shared" si="41"/>
        <v>a</v>
      </c>
      <c r="W75" s="98" t="str">
        <f t="shared" si="42"/>
        <v>b</v>
      </c>
      <c r="X75" s="98" t="str">
        <f t="shared" si="43"/>
        <v>IE-BUS</v>
      </c>
      <c r="Y75" s="98" t="str">
        <f t="shared" si="54"/>
        <v>--</v>
      </c>
      <c r="Z75" s="98" t="s">
        <v>388</v>
      </c>
      <c r="AA75" s="100" t="str">
        <f t="shared" si="40"/>
        <v>3AEKC-834BC_2_FS201</v>
      </c>
      <c r="AB75" s="102" t="str">
        <f t="shared" si="44"/>
        <v>14A</v>
      </c>
      <c r="AC75" s="102" t="str">
        <f t="shared" si="45"/>
        <v>14C</v>
      </c>
      <c r="AD75" s="98" t="s">
        <v>235</v>
      </c>
      <c r="AE75" s="98" t="s">
        <v>236</v>
      </c>
      <c r="AF75" s="331" t="s">
        <v>379</v>
      </c>
      <c r="AG75" s="98" t="s">
        <v>322</v>
      </c>
      <c r="AH75" s="98" t="str">
        <f t="shared" si="51"/>
        <v>DCS</v>
      </c>
      <c r="AI75" s="331" t="s">
        <v>380</v>
      </c>
      <c r="AJ75" s="192" t="s">
        <v>383</v>
      </c>
      <c r="AK75" s="102"/>
      <c r="AL75" s="102"/>
      <c r="AM75" s="102"/>
      <c r="AN75" s="199" t="s">
        <v>307</v>
      </c>
      <c r="AO75" s="199"/>
      <c r="AP75" s="102"/>
      <c r="AQ75" s="76" t="s">
        <v>31</v>
      </c>
      <c r="AR75" s="169" t="s">
        <v>389</v>
      </c>
      <c r="AS75" s="100"/>
      <c r="AT75" s="100"/>
      <c r="AU75" s="330" t="s">
        <v>245</v>
      </c>
      <c r="AV75" s="201"/>
      <c r="AW75" s="201"/>
      <c r="AX75" s="201"/>
      <c r="AY75" s="201"/>
      <c r="AZ75" s="201"/>
      <c r="BA75" s="201"/>
      <c r="BB75" s="201"/>
      <c r="BC75" s="201"/>
      <c r="BD75" s="201"/>
      <c r="BE75" s="201"/>
      <c r="BF75" s="201"/>
      <c r="BG75" s="201"/>
      <c r="BH75" s="201"/>
      <c r="BI75" s="201"/>
      <c r="BJ75" s="201"/>
      <c r="BK75" s="201"/>
      <c r="BL75" s="204"/>
      <c r="BM75" s="201"/>
      <c r="BN75" s="201"/>
      <c r="BO75" s="201"/>
      <c r="BP75" s="204"/>
      <c r="BQ75" s="201"/>
      <c r="BR75" s="201"/>
      <c r="BS75" s="201"/>
      <c r="BT75" s="201"/>
      <c r="BU75" s="201"/>
      <c r="BV75" s="201"/>
      <c r="BW75" s="201"/>
      <c r="BX75" s="201"/>
      <c r="BY75" s="201"/>
      <c r="BZ75" s="201"/>
      <c r="CA75" s="201"/>
      <c r="CB75" s="201"/>
      <c r="CC75" s="201"/>
      <c r="CD75" s="98" t="str">
        <f t="shared" si="52"/>
        <v/>
      </c>
    </row>
    <row r="76" s="123" customFormat="1" ht="21" customHeight="1" spans="1:82">
      <c r="A76" s="164">
        <v>74</v>
      </c>
      <c r="B76" s="332" t="s">
        <v>399</v>
      </c>
      <c r="C76" s="343" t="s">
        <v>365</v>
      </c>
      <c r="D76" s="166" t="str">
        <f t="shared" si="53"/>
        <v>R3AEAB043PO_QF</v>
      </c>
      <c r="E76" s="333" t="s">
        <v>366</v>
      </c>
      <c r="F76" s="166" t="s">
        <v>234</v>
      </c>
      <c r="G76" s="329" t="s">
        <v>400</v>
      </c>
      <c r="H76" s="328" t="s">
        <v>124</v>
      </c>
      <c r="I76" s="181" t="str">
        <f t="shared" si="46"/>
        <v>FF211</v>
      </c>
      <c r="J76" s="181" t="str">
        <f t="shared" si="47"/>
        <v>207FF</v>
      </c>
      <c r="K76" s="166" t="str">
        <f t="shared" si="48"/>
        <v>3AEKC003AR207FF</v>
      </c>
      <c r="L76" s="168">
        <v>2</v>
      </c>
      <c r="M76" s="168">
        <v>7</v>
      </c>
      <c r="N76" s="168">
        <v>1</v>
      </c>
      <c r="O76" s="182">
        <v>1</v>
      </c>
      <c r="P76" s="168">
        <v>1</v>
      </c>
      <c r="Q76" s="181"/>
      <c r="R76" s="181"/>
      <c r="S76" s="181">
        <f t="shared" si="49"/>
        <v>17</v>
      </c>
      <c r="T76" s="181" t="str">
        <f t="shared" si="55"/>
        <v>TB271</v>
      </c>
      <c r="U76" s="181" t="str">
        <f t="shared" si="50"/>
        <v>207_1FI</v>
      </c>
      <c r="V76" s="181" t="str">
        <f t="shared" si="41"/>
        <v>a</v>
      </c>
      <c r="W76" s="181" t="str">
        <f t="shared" si="42"/>
        <v>b</v>
      </c>
      <c r="X76" s="181" t="str">
        <f t="shared" si="43"/>
        <v>IE-BUS</v>
      </c>
      <c r="Y76" s="181" t="str">
        <f t="shared" si="54"/>
        <v>--</v>
      </c>
      <c r="Z76" s="181" t="s">
        <v>368</v>
      </c>
      <c r="AA76" s="166" t="str">
        <f t="shared" ref="AA76:AA88" si="56">IF(IFERROR(SEARCH("FS",Z76),-1)&gt;0,G76&amp;"_"&amp;O76&amp;"_"&amp;Z76,"--")</f>
        <v>3AEKC-820BC_1_FS202</v>
      </c>
      <c r="AB76" s="168" t="str">
        <f t="shared" si="44"/>
        <v>1A</v>
      </c>
      <c r="AC76" s="168" t="str">
        <f t="shared" si="45"/>
        <v>1B</v>
      </c>
      <c r="AD76" s="181" t="s">
        <v>235</v>
      </c>
      <c r="AE76" s="181" t="s">
        <v>236</v>
      </c>
      <c r="AF76" s="329" t="s">
        <v>369</v>
      </c>
      <c r="AG76" s="181" t="s">
        <v>322</v>
      </c>
      <c r="AH76" s="181" t="str">
        <f t="shared" si="51"/>
        <v>DCS</v>
      </c>
      <c r="AI76" s="329" t="s">
        <v>370</v>
      </c>
      <c r="AJ76" s="189" t="s">
        <v>371</v>
      </c>
      <c r="AK76" s="168"/>
      <c r="AL76" s="168"/>
      <c r="AM76" s="168"/>
      <c r="AN76" s="166"/>
      <c r="AO76" s="166"/>
      <c r="AP76" s="168"/>
      <c r="AQ76" s="190" t="s">
        <v>31</v>
      </c>
      <c r="AR76" s="208"/>
      <c r="AS76" s="166"/>
      <c r="AT76" s="168"/>
      <c r="AU76" s="328" t="s">
        <v>245</v>
      </c>
      <c r="AV76" s="166"/>
      <c r="AW76" s="200"/>
      <c r="AX76" s="200"/>
      <c r="AY76" s="200"/>
      <c r="AZ76" s="200"/>
      <c r="BA76" s="200"/>
      <c r="BB76" s="200"/>
      <c r="BC76" s="200"/>
      <c r="BD76" s="200"/>
      <c r="BE76" s="200"/>
      <c r="BF76" s="200"/>
      <c r="BG76" s="200"/>
      <c r="BH76" s="200"/>
      <c r="BI76" s="200"/>
      <c r="BJ76" s="200"/>
      <c r="BK76" s="200"/>
      <c r="BL76" s="200"/>
      <c r="BM76" s="200"/>
      <c r="BN76" s="200"/>
      <c r="BO76" s="200"/>
      <c r="BP76" s="200"/>
      <c r="BQ76" s="200"/>
      <c r="BR76" s="200"/>
      <c r="BS76" s="200"/>
      <c r="BT76" s="200"/>
      <c r="BU76" s="200"/>
      <c r="BV76" s="200"/>
      <c r="BW76" s="200"/>
      <c r="BX76" s="200"/>
      <c r="BY76" s="200"/>
      <c r="BZ76" s="200"/>
      <c r="CA76" s="200"/>
      <c r="CB76" s="200"/>
      <c r="CC76" s="200"/>
      <c r="CD76" s="181" t="str">
        <f t="shared" si="52"/>
        <v/>
      </c>
    </row>
    <row r="77" s="123" customFormat="1" ht="21" customHeight="1" spans="1:82">
      <c r="A77" s="93">
        <v>75</v>
      </c>
      <c r="B77" s="334" t="s">
        <v>399</v>
      </c>
      <c r="C77" s="342" t="s">
        <v>372</v>
      </c>
      <c r="D77" s="100" t="str">
        <f t="shared" si="53"/>
        <v>R3AEAB043PO_TF</v>
      </c>
      <c r="E77" s="335" t="s">
        <v>373</v>
      </c>
      <c r="F77" s="100" t="s">
        <v>234</v>
      </c>
      <c r="G77" s="331" t="s">
        <v>400</v>
      </c>
      <c r="H77" s="330" t="s">
        <v>124</v>
      </c>
      <c r="I77" s="98" t="str">
        <f t="shared" si="46"/>
        <v>FF211</v>
      </c>
      <c r="J77" s="98" t="str">
        <f t="shared" si="47"/>
        <v>207FF</v>
      </c>
      <c r="K77" s="100" t="str">
        <f t="shared" si="48"/>
        <v>3AEKC003AR207FF</v>
      </c>
      <c r="L77" s="102">
        <v>2</v>
      </c>
      <c r="M77" s="102">
        <v>7</v>
      </c>
      <c r="N77" s="102">
        <v>1</v>
      </c>
      <c r="O77" s="183">
        <v>1</v>
      </c>
      <c r="P77" s="102">
        <v>2</v>
      </c>
      <c r="Q77" s="98"/>
      <c r="R77" s="98"/>
      <c r="S77" s="98">
        <f t="shared" si="49"/>
        <v>17</v>
      </c>
      <c r="T77" s="98" t="str">
        <f t="shared" si="55"/>
        <v>TB271</v>
      </c>
      <c r="U77" s="98" t="str">
        <f t="shared" si="50"/>
        <v>207_1FI</v>
      </c>
      <c r="V77" s="98" t="str">
        <f t="shared" si="41"/>
        <v>a</v>
      </c>
      <c r="W77" s="98" t="str">
        <f t="shared" si="42"/>
        <v>b</v>
      </c>
      <c r="X77" s="98" t="str">
        <f t="shared" si="43"/>
        <v>IE-BUS</v>
      </c>
      <c r="Y77" s="98" t="str">
        <f t="shared" si="54"/>
        <v>--</v>
      </c>
      <c r="Z77" s="98" t="s">
        <v>368</v>
      </c>
      <c r="AA77" s="100" t="str">
        <f t="shared" si="56"/>
        <v>3AEKC-820BC_1_FS202</v>
      </c>
      <c r="AB77" s="102" t="str">
        <f t="shared" si="44"/>
        <v>2A</v>
      </c>
      <c r="AC77" s="102" t="str">
        <f t="shared" si="45"/>
        <v>2B</v>
      </c>
      <c r="AD77" s="98" t="s">
        <v>235</v>
      </c>
      <c r="AE77" s="98" t="s">
        <v>236</v>
      </c>
      <c r="AF77" s="331" t="s">
        <v>369</v>
      </c>
      <c r="AG77" s="98" t="s">
        <v>322</v>
      </c>
      <c r="AH77" s="98" t="str">
        <f t="shared" si="51"/>
        <v>DCS</v>
      </c>
      <c r="AI77" s="331" t="s">
        <v>370</v>
      </c>
      <c r="AJ77" s="191" t="s">
        <v>371</v>
      </c>
      <c r="AK77" s="102"/>
      <c r="AL77" s="102"/>
      <c r="AM77" s="102"/>
      <c r="AN77" s="100"/>
      <c r="AO77" s="100"/>
      <c r="AP77" s="102"/>
      <c r="AQ77" s="76" t="s">
        <v>31</v>
      </c>
      <c r="AR77" s="176"/>
      <c r="AS77" s="100"/>
      <c r="AT77" s="102"/>
      <c r="AU77" s="330" t="s">
        <v>245</v>
      </c>
      <c r="AV77" s="100"/>
      <c r="AW77" s="201"/>
      <c r="AX77" s="201"/>
      <c r="AY77" s="201"/>
      <c r="AZ77" s="201"/>
      <c r="BA77" s="201"/>
      <c r="BB77" s="201"/>
      <c r="BC77" s="201"/>
      <c r="BD77" s="201"/>
      <c r="BE77" s="201"/>
      <c r="BF77" s="201"/>
      <c r="BG77" s="201"/>
      <c r="BH77" s="201"/>
      <c r="BI77" s="201"/>
      <c r="BJ77" s="201"/>
      <c r="BK77" s="201"/>
      <c r="BL77" s="201"/>
      <c r="BM77" s="201"/>
      <c r="BN77" s="201"/>
      <c r="BO77" s="201"/>
      <c r="BP77" s="201"/>
      <c r="BQ77" s="201"/>
      <c r="BR77" s="201"/>
      <c r="BS77" s="201"/>
      <c r="BT77" s="201"/>
      <c r="BU77" s="201"/>
      <c r="BV77" s="201"/>
      <c r="BW77" s="201"/>
      <c r="BX77" s="201"/>
      <c r="BY77" s="201"/>
      <c r="BZ77" s="201"/>
      <c r="CA77" s="201"/>
      <c r="CB77" s="201"/>
      <c r="CC77" s="201"/>
      <c r="CD77" s="98" t="str">
        <f t="shared" si="52"/>
        <v/>
      </c>
    </row>
    <row r="78" s="123" customFormat="1" ht="21" customHeight="1" spans="1:82">
      <c r="A78" s="93">
        <v>76</v>
      </c>
      <c r="B78" s="334" t="s">
        <v>399</v>
      </c>
      <c r="C78" s="342" t="s">
        <v>374</v>
      </c>
      <c r="D78" s="100" t="str">
        <f t="shared" si="53"/>
        <v>R3AEAB043PO_GZ</v>
      </c>
      <c r="E78" s="335" t="s">
        <v>375</v>
      </c>
      <c r="F78" s="100" t="s">
        <v>234</v>
      </c>
      <c r="G78" s="331" t="s">
        <v>400</v>
      </c>
      <c r="H78" s="330" t="s">
        <v>124</v>
      </c>
      <c r="I78" s="98" t="str">
        <f t="shared" si="46"/>
        <v>FF211</v>
      </c>
      <c r="J78" s="98" t="str">
        <f t="shared" si="47"/>
        <v>207FF</v>
      </c>
      <c r="K78" s="100" t="str">
        <f t="shared" si="48"/>
        <v>3AEKC003AR207FF</v>
      </c>
      <c r="L78" s="102">
        <v>2</v>
      </c>
      <c r="M78" s="102">
        <v>7</v>
      </c>
      <c r="N78" s="102">
        <v>1</v>
      </c>
      <c r="O78" s="183">
        <v>1</v>
      </c>
      <c r="P78" s="102">
        <v>3</v>
      </c>
      <c r="Q78" s="98"/>
      <c r="R78" s="98"/>
      <c r="S78" s="98">
        <f t="shared" si="49"/>
        <v>17</v>
      </c>
      <c r="T78" s="98" t="str">
        <f t="shared" si="55"/>
        <v>TB271</v>
      </c>
      <c r="U78" s="98" t="str">
        <f t="shared" si="50"/>
        <v>207_1FI</v>
      </c>
      <c r="V78" s="98" t="str">
        <f t="shared" si="41"/>
        <v>a</v>
      </c>
      <c r="W78" s="98" t="str">
        <f t="shared" si="42"/>
        <v>b</v>
      </c>
      <c r="X78" s="98" t="str">
        <f t="shared" si="43"/>
        <v>IE-BUS</v>
      </c>
      <c r="Y78" s="98" t="str">
        <f t="shared" si="54"/>
        <v>--</v>
      </c>
      <c r="Z78" s="98" t="s">
        <v>368</v>
      </c>
      <c r="AA78" s="100" t="str">
        <f t="shared" si="56"/>
        <v>3AEKC-820BC_1_FS202</v>
      </c>
      <c r="AB78" s="102" t="str">
        <f t="shared" si="44"/>
        <v>3A</v>
      </c>
      <c r="AC78" s="102" t="str">
        <f t="shared" si="45"/>
        <v>3B</v>
      </c>
      <c r="AD78" s="98" t="s">
        <v>235</v>
      </c>
      <c r="AE78" s="98" t="s">
        <v>236</v>
      </c>
      <c r="AF78" s="331" t="s">
        <v>369</v>
      </c>
      <c r="AG78" s="98" t="s">
        <v>322</v>
      </c>
      <c r="AH78" s="98" t="str">
        <f t="shared" si="51"/>
        <v>DCS</v>
      </c>
      <c r="AI78" s="331" t="s">
        <v>370</v>
      </c>
      <c r="AJ78" s="191" t="s">
        <v>371</v>
      </c>
      <c r="AK78" s="102"/>
      <c r="AL78" s="102"/>
      <c r="AM78" s="102"/>
      <c r="AN78" s="100"/>
      <c r="AO78" s="100"/>
      <c r="AP78" s="102"/>
      <c r="AQ78" s="76" t="s">
        <v>31</v>
      </c>
      <c r="AR78" s="176"/>
      <c r="AS78" s="100"/>
      <c r="AT78" s="102"/>
      <c r="AU78" s="330" t="s">
        <v>245</v>
      </c>
      <c r="AV78" s="100"/>
      <c r="AW78" s="201"/>
      <c r="AX78" s="201"/>
      <c r="AY78" s="201"/>
      <c r="AZ78" s="201"/>
      <c r="BA78" s="201"/>
      <c r="BB78" s="201"/>
      <c r="BC78" s="201"/>
      <c r="BD78" s="201"/>
      <c r="BE78" s="201"/>
      <c r="BF78" s="201"/>
      <c r="BG78" s="201"/>
      <c r="BH78" s="201"/>
      <c r="BI78" s="201"/>
      <c r="BJ78" s="201"/>
      <c r="BK78" s="201"/>
      <c r="BL78" s="201"/>
      <c r="BM78" s="201"/>
      <c r="BN78" s="201"/>
      <c r="BO78" s="201"/>
      <c r="BP78" s="201"/>
      <c r="BQ78" s="201"/>
      <c r="BR78" s="201"/>
      <c r="BS78" s="201"/>
      <c r="BT78" s="201"/>
      <c r="BU78" s="201"/>
      <c r="BV78" s="201"/>
      <c r="BW78" s="201"/>
      <c r="BX78" s="201"/>
      <c r="BY78" s="201"/>
      <c r="BZ78" s="201"/>
      <c r="CA78" s="201"/>
      <c r="CB78" s="201"/>
      <c r="CC78" s="201"/>
      <c r="CD78" s="98" t="str">
        <f t="shared" si="52"/>
        <v/>
      </c>
    </row>
    <row r="79" s="123" customFormat="1" ht="21" customHeight="1" spans="1:82">
      <c r="A79" s="93">
        <v>77</v>
      </c>
      <c r="B79" s="334" t="s">
        <v>401</v>
      </c>
      <c r="C79" s="342" t="s">
        <v>365</v>
      </c>
      <c r="D79" s="100" t="str">
        <f t="shared" si="53"/>
        <v>R3AEAB044PO_QF</v>
      </c>
      <c r="E79" s="335" t="s">
        <v>366</v>
      </c>
      <c r="F79" s="100" t="s">
        <v>234</v>
      </c>
      <c r="G79" s="331" t="s">
        <v>400</v>
      </c>
      <c r="H79" s="330" t="s">
        <v>124</v>
      </c>
      <c r="I79" s="98" t="str">
        <f t="shared" si="46"/>
        <v>FF211</v>
      </c>
      <c r="J79" s="98" t="str">
        <f t="shared" si="47"/>
        <v>207FF</v>
      </c>
      <c r="K79" s="100" t="str">
        <f t="shared" si="48"/>
        <v>3AEKC003AR207FF</v>
      </c>
      <c r="L79" s="102">
        <v>2</v>
      </c>
      <c r="M79" s="102">
        <v>7</v>
      </c>
      <c r="N79" s="102">
        <v>1</v>
      </c>
      <c r="O79" s="183">
        <v>1</v>
      </c>
      <c r="P79" s="102">
        <v>4</v>
      </c>
      <c r="Q79" s="98"/>
      <c r="R79" s="98"/>
      <c r="S79" s="98">
        <f t="shared" si="49"/>
        <v>17</v>
      </c>
      <c r="T79" s="98" t="str">
        <f t="shared" si="55"/>
        <v>TB271</v>
      </c>
      <c r="U79" s="98" t="str">
        <f t="shared" si="50"/>
        <v>207_1FI</v>
      </c>
      <c r="V79" s="98" t="str">
        <f t="shared" si="41"/>
        <v>a</v>
      </c>
      <c r="W79" s="98" t="str">
        <f t="shared" si="42"/>
        <v>b</v>
      </c>
      <c r="X79" s="98" t="str">
        <f t="shared" si="43"/>
        <v>IE-BUS</v>
      </c>
      <c r="Y79" s="98" t="str">
        <f t="shared" si="54"/>
        <v>--</v>
      </c>
      <c r="Z79" s="98" t="s">
        <v>368</v>
      </c>
      <c r="AA79" s="100" t="str">
        <f t="shared" si="56"/>
        <v>3AEKC-820BC_1_FS202</v>
      </c>
      <c r="AB79" s="102" t="str">
        <f t="shared" si="44"/>
        <v>4A</v>
      </c>
      <c r="AC79" s="102" t="str">
        <f t="shared" si="45"/>
        <v>4B</v>
      </c>
      <c r="AD79" s="98" t="s">
        <v>235</v>
      </c>
      <c r="AE79" s="98" t="s">
        <v>236</v>
      </c>
      <c r="AF79" s="331" t="s">
        <v>369</v>
      </c>
      <c r="AG79" s="98" t="s">
        <v>322</v>
      </c>
      <c r="AH79" s="98" t="str">
        <f t="shared" si="51"/>
        <v>DCS</v>
      </c>
      <c r="AI79" s="331" t="s">
        <v>370</v>
      </c>
      <c r="AJ79" s="191" t="s">
        <v>371</v>
      </c>
      <c r="AK79" s="102"/>
      <c r="AL79" s="102"/>
      <c r="AM79" s="102"/>
      <c r="AN79" s="100"/>
      <c r="AO79" s="100"/>
      <c r="AP79" s="102"/>
      <c r="AQ79" s="76" t="s">
        <v>31</v>
      </c>
      <c r="AR79" s="176"/>
      <c r="AS79" s="100"/>
      <c r="AT79" s="102"/>
      <c r="AU79" s="330" t="s">
        <v>245</v>
      </c>
      <c r="AV79" s="100"/>
      <c r="AW79" s="201"/>
      <c r="AX79" s="201"/>
      <c r="AY79" s="201"/>
      <c r="AZ79" s="201"/>
      <c r="BA79" s="201"/>
      <c r="BB79" s="201"/>
      <c r="BC79" s="201"/>
      <c r="BD79" s="201"/>
      <c r="BE79" s="201"/>
      <c r="BF79" s="201"/>
      <c r="BG79" s="201"/>
      <c r="BH79" s="201"/>
      <c r="BI79" s="201"/>
      <c r="BJ79" s="201"/>
      <c r="BK79" s="201"/>
      <c r="BL79" s="201"/>
      <c r="BM79" s="201"/>
      <c r="BN79" s="201"/>
      <c r="BO79" s="201"/>
      <c r="BP79" s="201"/>
      <c r="BQ79" s="201"/>
      <c r="BR79" s="201"/>
      <c r="BS79" s="201"/>
      <c r="BT79" s="201"/>
      <c r="BU79" s="201"/>
      <c r="BV79" s="201"/>
      <c r="BW79" s="201"/>
      <c r="BX79" s="201"/>
      <c r="BY79" s="201"/>
      <c r="BZ79" s="201"/>
      <c r="CA79" s="201"/>
      <c r="CB79" s="201"/>
      <c r="CC79" s="201"/>
      <c r="CD79" s="98" t="str">
        <f t="shared" si="52"/>
        <v/>
      </c>
    </row>
    <row r="80" s="123" customFormat="1" ht="21" customHeight="1" spans="1:82">
      <c r="A80" s="93">
        <v>78</v>
      </c>
      <c r="B80" s="334" t="s">
        <v>401</v>
      </c>
      <c r="C80" s="342" t="s">
        <v>372</v>
      </c>
      <c r="D80" s="100" t="str">
        <f t="shared" si="53"/>
        <v>R3AEAB044PO_TF</v>
      </c>
      <c r="E80" s="335" t="s">
        <v>373</v>
      </c>
      <c r="F80" s="100" t="s">
        <v>234</v>
      </c>
      <c r="G80" s="331" t="s">
        <v>400</v>
      </c>
      <c r="H80" s="330" t="s">
        <v>124</v>
      </c>
      <c r="I80" s="98" t="str">
        <f t="shared" si="46"/>
        <v>FF211</v>
      </c>
      <c r="J80" s="98" t="str">
        <f t="shared" si="47"/>
        <v>207FF</v>
      </c>
      <c r="K80" s="100" t="str">
        <f t="shared" si="48"/>
        <v>3AEKC003AR207FF</v>
      </c>
      <c r="L80" s="102">
        <v>2</v>
      </c>
      <c r="M80" s="102">
        <v>7</v>
      </c>
      <c r="N80" s="102">
        <v>1</v>
      </c>
      <c r="O80" s="183">
        <v>1</v>
      </c>
      <c r="P80" s="102">
        <v>5</v>
      </c>
      <c r="Q80" s="98"/>
      <c r="R80" s="98"/>
      <c r="S80" s="98">
        <f t="shared" si="49"/>
        <v>17</v>
      </c>
      <c r="T80" s="98" t="str">
        <f t="shared" si="55"/>
        <v>TB271</v>
      </c>
      <c r="U80" s="98" t="str">
        <f t="shared" si="50"/>
        <v>207_1FI</v>
      </c>
      <c r="V80" s="98" t="str">
        <f t="shared" si="41"/>
        <v>a</v>
      </c>
      <c r="W80" s="98" t="str">
        <f t="shared" si="42"/>
        <v>b</v>
      </c>
      <c r="X80" s="98" t="str">
        <f t="shared" si="43"/>
        <v>IE-BUS</v>
      </c>
      <c r="Y80" s="98" t="str">
        <f t="shared" si="54"/>
        <v>--</v>
      </c>
      <c r="Z80" s="98" t="s">
        <v>368</v>
      </c>
      <c r="AA80" s="100" t="str">
        <f t="shared" si="56"/>
        <v>3AEKC-820BC_1_FS202</v>
      </c>
      <c r="AB80" s="102" t="str">
        <f t="shared" si="44"/>
        <v>5A</v>
      </c>
      <c r="AC80" s="102" t="str">
        <f t="shared" si="45"/>
        <v>5B</v>
      </c>
      <c r="AD80" s="98" t="s">
        <v>235</v>
      </c>
      <c r="AE80" s="98" t="s">
        <v>236</v>
      </c>
      <c r="AF80" s="331" t="s">
        <v>369</v>
      </c>
      <c r="AG80" s="98" t="s">
        <v>322</v>
      </c>
      <c r="AH80" s="98" t="str">
        <f t="shared" si="51"/>
        <v>DCS</v>
      </c>
      <c r="AI80" s="331" t="s">
        <v>370</v>
      </c>
      <c r="AJ80" s="191" t="s">
        <v>371</v>
      </c>
      <c r="AK80" s="102"/>
      <c r="AL80" s="102"/>
      <c r="AM80" s="102"/>
      <c r="AN80" s="100"/>
      <c r="AO80" s="100"/>
      <c r="AP80" s="102"/>
      <c r="AQ80" s="76" t="s">
        <v>31</v>
      </c>
      <c r="AR80" s="176"/>
      <c r="AS80" s="100"/>
      <c r="AT80" s="102"/>
      <c r="AU80" s="330" t="s">
        <v>245</v>
      </c>
      <c r="AV80" s="100"/>
      <c r="AW80" s="201"/>
      <c r="AX80" s="201"/>
      <c r="AY80" s="201"/>
      <c r="AZ80" s="201"/>
      <c r="BA80" s="201"/>
      <c r="BB80" s="201"/>
      <c r="BC80" s="201"/>
      <c r="BD80" s="201"/>
      <c r="BE80" s="201"/>
      <c r="BF80" s="201"/>
      <c r="BG80" s="201"/>
      <c r="BH80" s="201"/>
      <c r="BI80" s="201"/>
      <c r="BJ80" s="201"/>
      <c r="BK80" s="201"/>
      <c r="BL80" s="201"/>
      <c r="BM80" s="201"/>
      <c r="BN80" s="201"/>
      <c r="BO80" s="201"/>
      <c r="BP80" s="201"/>
      <c r="BQ80" s="201"/>
      <c r="BR80" s="201"/>
      <c r="BS80" s="201"/>
      <c r="BT80" s="201"/>
      <c r="BU80" s="201"/>
      <c r="BV80" s="201"/>
      <c r="BW80" s="201"/>
      <c r="BX80" s="201"/>
      <c r="BY80" s="201"/>
      <c r="BZ80" s="201"/>
      <c r="CA80" s="201"/>
      <c r="CB80" s="201"/>
      <c r="CC80" s="201"/>
      <c r="CD80" s="98" t="str">
        <f t="shared" si="52"/>
        <v/>
      </c>
    </row>
    <row r="81" s="123" customFormat="1" ht="21" customHeight="1" spans="1:82">
      <c r="A81" s="93">
        <v>79</v>
      </c>
      <c r="B81" s="334" t="s">
        <v>401</v>
      </c>
      <c r="C81" s="342" t="s">
        <v>374</v>
      </c>
      <c r="D81" s="100" t="str">
        <f t="shared" si="53"/>
        <v>R3AEAB044PO_GZ</v>
      </c>
      <c r="E81" s="335" t="s">
        <v>375</v>
      </c>
      <c r="F81" s="100" t="s">
        <v>234</v>
      </c>
      <c r="G81" s="331" t="s">
        <v>400</v>
      </c>
      <c r="H81" s="330" t="s">
        <v>124</v>
      </c>
      <c r="I81" s="98" t="str">
        <f t="shared" si="46"/>
        <v>FF211</v>
      </c>
      <c r="J81" s="98" t="str">
        <f t="shared" si="47"/>
        <v>207FF</v>
      </c>
      <c r="K81" s="100" t="str">
        <f t="shared" si="48"/>
        <v>3AEKC003AR207FF</v>
      </c>
      <c r="L81" s="102">
        <v>2</v>
      </c>
      <c r="M81" s="102">
        <v>7</v>
      </c>
      <c r="N81" s="102">
        <v>1</v>
      </c>
      <c r="O81" s="183">
        <v>1</v>
      </c>
      <c r="P81" s="102">
        <v>6</v>
      </c>
      <c r="Q81" s="98"/>
      <c r="R81" s="98"/>
      <c r="S81" s="98">
        <f t="shared" si="49"/>
        <v>17</v>
      </c>
      <c r="T81" s="98" t="str">
        <f t="shared" si="55"/>
        <v>TB271</v>
      </c>
      <c r="U81" s="98" t="str">
        <f t="shared" si="50"/>
        <v>207_1FI</v>
      </c>
      <c r="V81" s="98" t="str">
        <f t="shared" si="41"/>
        <v>a</v>
      </c>
      <c r="W81" s="98" t="str">
        <f t="shared" si="42"/>
        <v>b</v>
      </c>
      <c r="X81" s="98" t="str">
        <f t="shared" si="43"/>
        <v>IE-BUS</v>
      </c>
      <c r="Y81" s="98" t="str">
        <f t="shared" si="54"/>
        <v>--</v>
      </c>
      <c r="Z81" s="98" t="s">
        <v>368</v>
      </c>
      <c r="AA81" s="100" t="str">
        <f t="shared" si="56"/>
        <v>3AEKC-820BC_1_FS202</v>
      </c>
      <c r="AB81" s="102" t="str">
        <f t="shared" si="44"/>
        <v>6A</v>
      </c>
      <c r="AC81" s="102" t="str">
        <f t="shared" si="45"/>
        <v>6B</v>
      </c>
      <c r="AD81" s="98" t="s">
        <v>235</v>
      </c>
      <c r="AE81" s="98" t="s">
        <v>236</v>
      </c>
      <c r="AF81" s="331" t="s">
        <v>369</v>
      </c>
      <c r="AG81" s="98" t="s">
        <v>322</v>
      </c>
      <c r="AH81" s="98" t="str">
        <f t="shared" si="51"/>
        <v>DCS</v>
      </c>
      <c r="AI81" s="331" t="s">
        <v>370</v>
      </c>
      <c r="AJ81" s="191" t="s">
        <v>371</v>
      </c>
      <c r="AK81" s="102"/>
      <c r="AL81" s="102"/>
      <c r="AM81" s="102"/>
      <c r="AN81" s="100"/>
      <c r="AO81" s="100"/>
      <c r="AP81" s="102"/>
      <c r="AQ81" s="76" t="s">
        <v>31</v>
      </c>
      <c r="AR81" s="176"/>
      <c r="AS81" s="100"/>
      <c r="AT81" s="102"/>
      <c r="AU81" s="330" t="s">
        <v>245</v>
      </c>
      <c r="AV81" s="100"/>
      <c r="AW81" s="201"/>
      <c r="AX81" s="201"/>
      <c r="AY81" s="201"/>
      <c r="AZ81" s="201"/>
      <c r="BA81" s="201"/>
      <c r="BB81" s="201"/>
      <c r="BC81" s="201"/>
      <c r="BD81" s="201"/>
      <c r="BE81" s="201"/>
      <c r="BF81" s="201"/>
      <c r="BG81" s="201"/>
      <c r="BH81" s="201"/>
      <c r="BI81" s="201"/>
      <c r="BJ81" s="201"/>
      <c r="BK81" s="201"/>
      <c r="BL81" s="201"/>
      <c r="BM81" s="201"/>
      <c r="BN81" s="201"/>
      <c r="BO81" s="201"/>
      <c r="BP81" s="201"/>
      <c r="BQ81" s="201"/>
      <c r="BR81" s="201"/>
      <c r="BS81" s="201"/>
      <c r="BT81" s="201"/>
      <c r="BU81" s="201"/>
      <c r="BV81" s="201"/>
      <c r="BW81" s="201"/>
      <c r="BX81" s="201"/>
      <c r="BY81" s="201"/>
      <c r="BZ81" s="201"/>
      <c r="CA81" s="201"/>
      <c r="CB81" s="201"/>
      <c r="CC81" s="201"/>
      <c r="CD81" s="98" t="str">
        <f t="shared" si="52"/>
        <v/>
      </c>
    </row>
    <row r="82" s="123" customFormat="1" ht="21" customHeight="1" spans="1:82">
      <c r="A82" s="93">
        <v>80</v>
      </c>
      <c r="B82" s="334" t="s">
        <v>402</v>
      </c>
      <c r="C82" s="342" t="s">
        <v>365</v>
      </c>
      <c r="D82" s="100" t="str">
        <f t="shared" si="53"/>
        <v>R3AEAB045PO_QF</v>
      </c>
      <c r="E82" s="335" t="s">
        <v>366</v>
      </c>
      <c r="F82" s="100" t="s">
        <v>234</v>
      </c>
      <c r="G82" s="331" t="s">
        <v>400</v>
      </c>
      <c r="H82" s="330" t="s">
        <v>124</v>
      </c>
      <c r="I82" s="98" t="str">
        <f t="shared" si="46"/>
        <v>FF211</v>
      </c>
      <c r="J82" s="98" t="str">
        <f t="shared" si="47"/>
        <v>207FF</v>
      </c>
      <c r="K82" s="100" t="str">
        <f t="shared" si="48"/>
        <v>3AEKC003AR207FF</v>
      </c>
      <c r="L82" s="102">
        <v>2</v>
      </c>
      <c r="M82" s="102">
        <v>7</v>
      </c>
      <c r="N82" s="102">
        <v>1</v>
      </c>
      <c r="O82" s="183">
        <v>1</v>
      </c>
      <c r="P82" s="102">
        <v>7</v>
      </c>
      <c r="Q82" s="98"/>
      <c r="R82" s="98"/>
      <c r="S82" s="98">
        <f t="shared" si="49"/>
        <v>17</v>
      </c>
      <c r="T82" s="98" t="str">
        <f t="shared" si="55"/>
        <v>TB271</v>
      </c>
      <c r="U82" s="98" t="str">
        <f t="shared" si="50"/>
        <v>207_1FI</v>
      </c>
      <c r="V82" s="98" t="str">
        <f t="shared" si="41"/>
        <v>a</v>
      </c>
      <c r="W82" s="98" t="str">
        <f t="shared" si="42"/>
        <v>b</v>
      </c>
      <c r="X82" s="98" t="str">
        <f t="shared" si="43"/>
        <v>IE-BUS</v>
      </c>
      <c r="Y82" s="98" t="str">
        <f t="shared" si="54"/>
        <v>--</v>
      </c>
      <c r="Z82" s="98" t="s">
        <v>368</v>
      </c>
      <c r="AA82" s="100" t="str">
        <f t="shared" si="56"/>
        <v>3AEKC-820BC_1_FS202</v>
      </c>
      <c r="AB82" s="102" t="str">
        <f t="shared" si="44"/>
        <v>7A</v>
      </c>
      <c r="AC82" s="102" t="str">
        <f t="shared" si="45"/>
        <v>7B</v>
      </c>
      <c r="AD82" s="98" t="s">
        <v>235</v>
      </c>
      <c r="AE82" s="98" t="s">
        <v>236</v>
      </c>
      <c r="AF82" s="331" t="s">
        <v>369</v>
      </c>
      <c r="AG82" s="98" t="s">
        <v>322</v>
      </c>
      <c r="AH82" s="98" t="str">
        <f t="shared" si="51"/>
        <v>DCS</v>
      </c>
      <c r="AI82" s="331" t="s">
        <v>370</v>
      </c>
      <c r="AJ82" s="191" t="s">
        <v>371</v>
      </c>
      <c r="AK82" s="102"/>
      <c r="AL82" s="102"/>
      <c r="AM82" s="102"/>
      <c r="AN82" s="100"/>
      <c r="AO82" s="100"/>
      <c r="AP82" s="102"/>
      <c r="AQ82" s="76" t="s">
        <v>31</v>
      </c>
      <c r="AR82" s="176"/>
      <c r="AS82" s="100"/>
      <c r="AT82" s="102"/>
      <c r="AU82" s="330" t="s">
        <v>245</v>
      </c>
      <c r="AV82" s="100"/>
      <c r="AW82" s="201"/>
      <c r="AX82" s="201"/>
      <c r="AY82" s="201"/>
      <c r="AZ82" s="201"/>
      <c r="BA82" s="201"/>
      <c r="BB82" s="201"/>
      <c r="BC82" s="201"/>
      <c r="BD82" s="201"/>
      <c r="BE82" s="201"/>
      <c r="BF82" s="201"/>
      <c r="BG82" s="201"/>
      <c r="BH82" s="201"/>
      <c r="BI82" s="201"/>
      <c r="BJ82" s="201"/>
      <c r="BK82" s="201"/>
      <c r="BL82" s="201"/>
      <c r="BM82" s="201"/>
      <c r="BN82" s="201"/>
      <c r="BO82" s="201"/>
      <c r="BP82" s="201"/>
      <c r="BQ82" s="201"/>
      <c r="BR82" s="201"/>
      <c r="BS82" s="201"/>
      <c r="BT82" s="201"/>
      <c r="BU82" s="201"/>
      <c r="BV82" s="201"/>
      <c r="BW82" s="201"/>
      <c r="BX82" s="201"/>
      <c r="BY82" s="201"/>
      <c r="BZ82" s="201"/>
      <c r="CA82" s="201"/>
      <c r="CB82" s="201"/>
      <c r="CC82" s="201"/>
      <c r="CD82" s="98" t="str">
        <f t="shared" si="52"/>
        <v/>
      </c>
    </row>
    <row r="83" s="123" customFormat="1" ht="21" customHeight="1" spans="1:82">
      <c r="A83" s="93">
        <v>81</v>
      </c>
      <c r="B83" s="334" t="s">
        <v>402</v>
      </c>
      <c r="C83" s="342" t="s">
        <v>372</v>
      </c>
      <c r="D83" s="100" t="str">
        <f t="shared" si="53"/>
        <v>R3AEAB045PO_TF</v>
      </c>
      <c r="E83" s="335" t="s">
        <v>373</v>
      </c>
      <c r="F83" s="100" t="s">
        <v>234</v>
      </c>
      <c r="G83" s="331" t="s">
        <v>400</v>
      </c>
      <c r="H83" s="330" t="s">
        <v>124</v>
      </c>
      <c r="I83" s="98" t="str">
        <f t="shared" si="46"/>
        <v>FF211</v>
      </c>
      <c r="J83" s="98" t="str">
        <f t="shared" si="47"/>
        <v>207FF</v>
      </c>
      <c r="K83" s="100" t="str">
        <f t="shared" si="48"/>
        <v>3AEKC003AR207FF</v>
      </c>
      <c r="L83" s="102">
        <v>2</v>
      </c>
      <c r="M83" s="102">
        <v>7</v>
      </c>
      <c r="N83" s="102">
        <v>1</v>
      </c>
      <c r="O83" s="183">
        <v>1</v>
      </c>
      <c r="P83" s="102">
        <v>8</v>
      </c>
      <c r="Q83" s="98"/>
      <c r="R83" s="98"/>
      <c r="S83" s="98">
        <f t="shared" si="49"/>
        <v>17</v>
      </c>
      <c r="T83" s="98" t="str">
        <f t="shared" si="55"/>
        <v>TB271</v>
      </c>
      <c r="U83" s="98" t="str">
        <f t="shared" si="50"/>
        <v>207_1FI</v>
      </c>
      <c r="V83" s="98" t="str">
        <f t="shared" si="41"/>
        <v>a</v>
      </c>
      <c r="W83" s="98" t="str">
        <f t="shared" si="42"/>
        <v>b</v>
      </c>
      <c r="X83" s="98" t="str">
        <f t="shared" si="43"/>
        <v>IE-BUS</v>
      </c>
      <c r="Y83" s="98" t="str">
        <f t="shared" si="54"/>
        <v>--</v>
      </c>
      <c r="Z83" s="98" t="s">
        <v>368</v>
      </c>
      <c r="AA83" s="100" t="str">
        <f t="shared" si="56"/>
        <v>3AEKC-820BC_1_FS202</v>
      </c>
      <c r="AB83" s="102" t="str">
        <f t="shared" si="44"/>
        <v>8A</v>
      </c>
      <c r="AC83" s="102" t="str">
        <f t="shared" si="45"/>
        <v>8B</v>
      </c>
      <c r="AD83" s="98" t="s">
        <v>235</v>
      </c>
      <c r="AE83" s="98" t="s">
        <v>236</v>
      </c>
      <c r="AF83" s="331" t="s">
        <v>369</v>
      </c>
      <c r="AG83" s="98" t="s">
        <v>322</v>
      </c>
      <c r="AH83" s="98" t="str">
        <f t="shared" si="51"/>
        <v>DCS</v>
      </c>
      <c r="AI83" s="331" t="s">
        <v>370</v>
      </c>
      <c r="AJ83" s="191" t="s">
        <v>371</v>
      </c>
      <c r="AK83" s="102"/>
      <c r="AL83" s="102"/>
      <c r="AM83" s="102"/>
      <c r="AN83" s="100"/>
      <c r="AO83" s="100"/>
      <c r="AP83" s="102"/>
      <c r="AQ83" s="76" t="s">
        <v>31</v>
      </c>
      <c r="AR83" s="176"/>
      <c r="AS83" s="100"/>
      <c r="AT83" s="102"/>
      <c r="AU83" s="330" t="s">
        <v>245</v>
      </c>
      <c r="AV83" s="100"/>
      <c r="AW83" s="201"/>
      <c r="AX83" s="201"/>
      <c r="AY83" s="201"/>
      <c r="AZ83" s="201"/>
      <c r="BA83" s="201"/>
      <c r="BB83" s="201"/>
      <c r="BC83" s="201"/>
      <c r="BD83" s="201"/>
      <c r="BE83" s="201"/>
      <c r="BF83" s="201"/>
      <c r="BG83" s="201"/>
      <c r="BH83" s="201"/>
      <c r="BI83" s="201"/>
      <c r="BJ83" s="201"/>
      <c r="BK83" s="201"/>
      <c r="BL83" s="201"/>
      <c r="BM83" s="201"/>
      <c r="BN83" s="201"/>
      <c r="BO83" s="201"/>
      <c r="BP83" s="201"/>
      <c r="BQ83" s="201"/>
      <c r="BR83" s="201"/>
      <c r="BS83" s="201"/>
      <c r="BT83" s="201"/>
      <c r="BU83" s="201"/>
      <c r="BV83" s="201"/>
      <c r="BW83" s="201"/>
      <c r="BX83" s="201"/>
      <c r="BY83" s="201"/>
      <c r="BZ83" s="201"/>
      <c r="CA83" s="201"/>
      <c r="CB83" s="201"/>
      <c r="CC83" s="201"/>
      <c r="CD83" s="98" t="str">
        <f t="shared" si="52"/>
        <v/>
      </c>
    </row>
    <row r="84" s="123" customFormat="1" ht="21" customHeight="1" spans="1:82">
      <c r="A84" s="93">
        <v>82</v>
      </c>
      <c r="B84" s="334" t="s">
        <v>402</v>
      </c>
      <c r="C84" s="342" t="s">
        <v>374</v>
      </c>
      <c r="D84" s="100" t="str">
        <f t="shared" si="53"/>
        <v>R3AEAB045PO_GZ</v>
      </c>
      <c r="E84" s="335" t="s">
        <v>375</v>
      </c>
      <c r="F84" s="100" t="s">
        <v>234</v>
      </c>
      <c r="G84" s="331" t="s">
        <v>400</v>
      </c>
      <c r="H84" s="330" t="s">
        <v>124</v>
      </c>
      <c r="I84" s="98" t="str">
        <f t="shared" si="46"/>
        <v>FF211</v>
      </c>
      <c r="J84" s="98" t="str">
        <f t="shared" si="47"/>
        <v>207FF</v>
      </c>
      <c r="K84" s="100" t="str">
        <f t="shared" si="48"/>
        <v>3AEKC003AR207FF</v>
      </c>
      <c r="L84" s="102">
        <v>2</v>
      </c>
      <c r="M84" s="102">
        <v>7</v>
      </c>
      <c r="N84" s="102">
        <v>1</v>
      </c>
      <c r="O84" s="183">
        <v>1</v>
      </c>
      <c r="P84" s="102">
        <v>9</v>
      </c>
      <c r="Q84" s="98"/>
      <c r="R84" s="98"/>
      <c r="S84" s="98">
        <f t="shared" si="49"/>
        <v>17</v>
      </c>
      <c r="T84" s="98" t="str">
        <f t="shared" si="55"/>
        <v>TB271</v>
      </c>
      <c r="U84" s="98" t="str">
        <f t="shared" si="50"/>
        <v>207_1FI</v>
      </c>
      <c r="V84" s="98" t="str">
        <f t="shared" si="41"/>
        <v>a</v>
      </c>
      <c r="W84" s="98" t="str">
        <f t="shared" si="42"/>
        <v>b</v>
      </c>
      <c r="X84" s="98" t="str">
        <f t="shared" si="43"/>
        <v>IE-BUS</v>
      </c>
      <c r="Y84" s="98" t="str">
        <f t="shared" si="54"/>
        <v>--</v>
      </c>
      <c r="Z84" s="98" t="s">
        <v>368</v>
      </c>
      <c r="AA84" s="100" t="str">
        <f t="shared" si="56"/>
        <v>3AEKC-820BC_1_FS202</v>
      </c>
      <c r="AB84" s="102" t="str">
        <f t="shared" si="44"/>
        <v>9A</v>
      </c>
      <c r="AC84" s="102" t="str">
        <f t="shared" si="45"/>
        <v>9B</v>
      </c>
      <c r="AD84" s="98" t="s">
        <v>235</v>
      </c>
      <c r="AE84" s="98" t="s">
        <v>236</v>
      </c>
      <c r="AF84" s="331" t="s">
        <v>369</v>
      </c>
      <c r="AG84" s="98" t="s">
        <v>322</v>
      </c>
      <c r="AH84" s="98" t="str">
        <f t="shared" si="51"/>
        <v>DCS</v>
      </c>
      <c r="AI84" s="331" t="s">
        <v>370</v>
      </c>
      <c r="AJ84" s="191" t="s">
        <v>371</v>
      </c>
      <c r="AK84" s="102"/>
      <c r="AL84" s="102"/>
      <c r="AM84" s="102"/>
      <c r="AN84" s="100"/>
      <c r="AO84" s="100"/>
      <c r="AP84" s="102"/>
      <c r="AQ84" s="76" t="s">
        <v>31</v>
      </c>
      <c r="AR84" s="176"/>
      <c r="AS84" s="100"/>
      <c r="AT84" s="102"/>
      <c r="AU84" s="330" t="s">
        <v>245</v>
      </c>
      <c r="AV84" s="100"/>
      <c r="AW84" s="201"/>
      <c r="AX84" s="201"/>
      <c r="AY84" s="201"/>
      <c r="AZ84" s="201"/>
      <c r="BA84" s="201"/>
      <c r="BB84" s="201"/>
      <c r="BC84" s="201"/>
      <c r="BD84" s="201"/>
      <c r="BE84" s="201"/>
      <c r="BF84" s="201"/>
      <c r="BG84" s="201"/>
      <c r="BH84" s="201"/>
      <c r="BI84" s="201"/>
      <c r="BJ84" s="201"/>
      <c r="BK84" s="201"/>
      <c r="BL84" s="201"/>
      <c r="BM84" s="201"/>
      <c r="BN84" s="201"/>
      <c r="BO84" s="201"/>
      <c r="BP84" s="201"/>
      <c r="BQ84" s="201"/>
      <c r="BR84" s="201"/>
      <c r="BS84" s="201"/>
      <c r="BT84" s="201"/>
      <c r="BU84" s="201"/>
      <c r="BV84" s="201"/>
      <c r="BW84" s="201"/>
      <c r="BX84" s="201"/>
      <c r="BY84" s="201"/>
      <c r="BZ84" s="201"/>
      <c r="CA84" s="201"/>
      <c r="CB84" s="201"/>
      <c r="CC84" s="201"/>
      <c r="CD84" s="98" t="str">
        <f t="shared" si="52"/>
        <v/>
      </c>
    </row>
    <row r="85" s="123" customFormat="1" ht="21" customHeight="1" spans="1:82">
      <c r="A85" s="93">
        <v>83</v>
      </c>
      <c r="B85" s="334" t="s">
        <v>399</v>
      </c>
      <c r="C85" s="342" t="s">
        <v>377</v>
      </c>
      <c r="D85" s="100" t="str">
        <f t="shared" si="53"/>
        <v>R3AEAB043PO_Q</v>
      </c>
      <c r="E85" s="335" t="s">
        <v>378</v>
      </c>
      <c r="F85" s="100" t="s">
        <v>234</v>
      </c>
      <c r="G85" s="331" t="s">
        <v>400</v>
      </c>
      <c r="H85" s="330" t="s">
        <v>124</v>
      </c>
      <c r="I85" s="98" t="str">
        <f t="shared" si="46"/>
        <v>FF211</v>
      </c>
      <c r="J85" s="98" t="str">
        <f t="shared" si="47"/>
        <v>207FF</v>
      </c>
      <c r="K85" s="100" t="str">
        <f t="shared" si="48"/>
        <v>3AEKC003AR207FF</v>
      </c>
      <c r="L85" s="102">
        <v>2</v>
      </c>
      <c r="M85" s="102">
        <v>7</v>
      </c>
      <c r="N85" s="102">
        <v>1</v>
      </c>
      <c r="O85" s="183">
        <v>1</v>
      </c>
      <c r="P85" s="102">
        <v>11</v>
      </c>
      <c r="Q85" s="98"/>
      <c r="R85" s="98"/>
      <c r="S85" s="98">
        <f t="shared" si="49"/>
        <v>17</v>
      </c>
      <c r="T85" s="98" t="str">
        <f t="shared" si="55"/>
        <v>TB271</v>
      </c>
      <c r="U85" s="98" t="str">
        <f t="shared" si="50"/>
        <v>207_1FI</v>
      </c>
      <c r="V85" s="98" t="str">
        <f t="shared" si="41"/>
        <v>a</v>
      </c>
      <c r="W85" s="98" t="str">
        <f t="shared" si="42"/>
        <v>b</v>
      </c>
      <c r="X85" s="98" t="str">
        <f t="shared" si="43"/>
        <v>IE-BUS</v>
      </c>
      <c r="Y85" s="98" t="str">
        <f t="shared" si="54"/>
        <v>--</v>
      </c>
      <c r="Z85" s="98" t="s">
        <v>368</v>
      </c>
      <c r="AA85" s="100" t="str">
        <f t="shared" si="56"/>
        <v>3AEKC-820BC_1_FS202</v>
      </c>
      <c r="AB85" s="102" t="str">
        <f t="shared" si="44"/>
        <v>11B</v>
      </c>
      <c r="AC85" s="102" t="str">
        <f t="shared" si="45"/>
        <v>11D</v>
      </c>
      <c r="AD85" s="98" t="s">
        <v>235</v>
      </c>
      <c r="AE85" s="98" t="s">
        <v>236</v>
      </c>
      <c r="AF85" s="331" t="s">
        <v>379</v>
      </c>
      <c r="AG85" s="98" t="s">
        <v>322</v>
      </c>
      <c r="AH85" s="98" t="str">
        <f t="shared" si="51"/>
        <v>DCS</v>
      </c>
      <c r="AI85" s="331" t="s">
        <v>380</v>
      </c>
      <c r="AJ85" s="191" t="s">
        <v>371</v>
      </c>
      <c r="AK85" s="102"/>
      <c r="AL85" s="102"/>
      <c r="AM85" s="102"/>
      <c r="AN85" s="100"/>
      <c r="AO85" s="100"/>
      <c r="AP85" s="102"/>
      <c r="AQ85" s="76" t="s">
        <v>31</v>
      </c>
      <c r="AR85" s="176"/>
      <c r="AS85" s="100"/>
      <c r="AT85" s="102"/>
      <c r="AU85" s="330" t="s">
        <v>245</v>
      </c>
      <c r="AV85" s="100"/>
      <c r="AW85" s="201"/>
      <c r="AX85" s="201"/>
      <c r="AY85" s="201"/>
      <c r="AZ85" s="201"/>
      <c r="BA85" s="201"/>
      <c r="BB85" s="201"/>
      <c r="BC85" s="201"/>
      <c r="BD85" s="201"/>
      <c r="BE85" s="201"/>
      <c r="BF85" s="201"/>
      <c r="BG85" s="201"/>
      <c r="BH85" s="201"/>
      <c r="BI85" s="201"/>
      <c r="BJ85" s="201"/>
      <c r="BK85" s="201"/>
      <c r="BL85" s="201"/>
      <c r="BM85" s="201"/>
      <c r="BN85" s="201"/>
      <c r="BO85" s="201"/>
      <c r="BP85" s="201"/>
      <c r="BQ85" s="201"/>
      <c r="BR85" s="201"/>
      <c r="BS85" s="201"/>
      <c r="BT85" s="201"/>
      <c r="BU85" s="201"/>
      <c r="BV85" s="201"/>
      <c r="BW85" s="201"/>
      <c r="BX85" s="201"/>
      <c r="BY85" s="201"/>
      <c r="BZ85" s="201"/>
      <c r="CA85" s="201"/>
      <c r="CB85" s="201"/>
      <c r="CC85" s="201"/>
      <c r="CD85" s="98" t="str">
        <f t="shared" si="52"/>
        <v/>
      </c>
    </row>
    <row r="86" s="123" customFormat="1" ht="21" customHeight="1" spans="1:82">
      <c r="A86" s="93">
        <v>84</v>
      </c>
      <c r="B86" s="334" t="s">
        <v>399</v>
      </c>
      <c r="C86" s="342" t="s">
        <v>381</v>
      </c>
      <c r="D86" s="100" t="str">
        <f t="shared" si="53"/>
        <v>R3AEAB043PO_T</v>
      </c>
      <c r="E86" s="335" t="s">
        <v>382</v>
      </c>
      <c r="F86" s="100" t="s">
        <v>234</v>
      </c>
      <c r="G86" s="331" t="s">
        <v>400</v>
      </c>
      <c r="H86" s="330" t="s">
        <v>124</v>
      </c>
      <c r="I86" s="98" t="str">
        <f t="shared" si="46"/>
        <v>FF211</v>
      </c>
      <c r="J86" s="98" t="str">
        <f t="shared" si="47"/>
        <v>207FF</v>
      </c>
      <c r="K86" s="100" t="str">
        <f t="shared" si="48"/>
        <v>3AEKC003AR207FF</v>
      </c>
      <c r="L86" s="102">
        <v>2</v>
      </c>
      <c r="M86" s="102">
        <v>7</v>
      </c>
      <c r="N86" s="102">
        <v>1</v>
      </c>
      <c r="O86" s="183">
        <v>1</v>
      </c>
      <c r="P86" s="102">
        <v>12</v>
      </c>
      <c r="Q86" s="98"/>
      <c r="R86" s="98"/>
      <c r="S86" s="98">
        <f t="shared" si="49"/>
        <v>17</v>
      </c>
      <c r="T86" s="98" t="str">
        <f t="shared" si="55"/>
        <v>TB271</v>
      </c>
      <c r="U86" s="98" t="str">
        <f t="shared" si="50"/>
        <v>207_1FI</v>
      </c>
      <c r="V86" s="98" t="str">
        <f t="shared" si="41"/>
        <v>a</v>
      </c>
      <c r="W86" s="98" t="str">
        <f t="shared" si="42"/>
        <v>b</v>
      </c>
      <c r="X86" s="98" t="str">
        <f t="shared" si="43"/>
        <v>IE-BUS</v>
      </c>
      <c r="Y86" s="98" t="str">
        <f t="shared" si="54"/>
        <v>--</v>
      </c>
      <c r="Z86" s="98" t="s">
        <v>368</v>
      </c>
      <c r="AA86" s="100" t="str">
        <f t="shared" si="56"/>
        <v>3AEKC-820BC_1_FS202</v>
      </c>
      <c r="AB86" s="102" t="str">
        <f t="shared" si="44"/>
        <v>12B</v>
      </c>
      <c r="AC86" s="102" t="str">
        <f t="shared" si="45"/>
        <v>12D</v>
      </c>
      <c r="AD86" s="98" t="s">
        <v>235</v>
      </c>
      <c r="AE86" s="98" t="s">
        <v>236</v>
      </c>
      <c r="AF86" s="331" t="s">
        <v>379</v>
      </c>
      <c r="AG86" s="98" t="s">
        <v>322</v>
      </c>
      <c r="AH86" s="98" t="str">
        <f t="shared" si="51"/>
        <v>DCS</v>
      </c>
      <c r="AI86" s="331" t="s">
        <v>380</v>
      </c>
      <c r="AJ86" s="191" t="s">
        <v>371</v>
      </c>
      <c r="AK86" s="102"/>
      <c r="AL86" s="102"/>
      <c r="AM86" s="102"/>
      <c r="AN86" s="100"/>
      <c r="AO86" s="100"/>
      <c r="AP86" s="102"/>
      <c r="AQ86" s="76" t="s">
        <v>31</v>
      </c>
      <c r="AR86" s="176"/>
      <c r="AS86" s="100"/>
      <c r="AT86" s="102"/>
      <c r="AU86" s="330" t="s">
        <v>245</v>
      </c>
      <c r="AV86" s="100"/>
      <c r="AW86" s="201"/>
      <c r="AX86" s="201"/>
      <c r="AY86" s="201"/>
      <c r="AZ86" s="201"/>
      <c r="BA86" s="201"/>
      <c r="BB86" s="201"/>
      <c r="BC86" s="201"/>
      <c r="BD86" s="201"/>
      <c r="BE86" s="201"/>
      <c r="BF86" s="201"/>
      <c r="BG86" s="201"/>
      <c r="BH86" s="201"/>
      <c r="BI86" s="201"/>
      <c r="BJ86" s="201"/>
      <c r="BK86" s="201"/>
      <c r="BL86" s="201"/>
      <c r="BM86" s="201"/>
      <c r="BN86" s="201"/>
      <c r="BO86" s="201"/>
      <c r="BP86" s="201"/>
      <c r="BQ86" s="201"/>
      <c r="BR86" s="201"/>
      <c r="BS86" s="201"/>
      <c r="BT86" s="201"/>
      <c r="BU86" s="201"/>
      <c r="BV86" s="201"/>
      <c r="BW86" s="201"/>
      <c r="BX86" s="201"/>
      <c r="BY86" s="201"/>
      <c r="BZ86" s="201"/>
      <c r="CA86" s="201"/>
      <c r="CB86" s="201"/>
      <c r="CC86" s="201"/>
      <c r="CD86" s="98" t="str">
        <f t="shared" si="52"/>
        <v/>
      </c>
    </row>
    <row r="87" s="123" customFormat="1" ht="21" customHeight="1" spans="1:82">
      <c r="A87" s="93">
        <v>85</v>
      </c>
      <c r="B87" s="334" t="s">
        <v>401</v>
      </c>
      <c r="C87" s="342" t="s">
        <v>377</v>
      </c>
      <c r="D87" s="100" t="str">
        <f t="shared" si="53"/>
        <v>R3AEAB044PO_Q</v>
      </c>
      <c r="E87" s="335" t="s">
        <v>378</v>
      </c>
      <c r="F87" s="100" t="s">
        <v>234</v>
      </c>
      <c r="G87" s="331" t="s">
        <v>400</v>
      </c>
      <c r="H87" s="330" t="s">
        <v>124</v>
      </c>
      <c r="I87" s="98" t="str">
        <f t="shared" si="46"/>
        <v>FF211</v>
      </c>
      <c r="J87" s="98" t="str">
        <f t="shared" si="47"/>
        <v>207FF</v>
      </c>
      <c r="K87" s="100" t="str">
        <f t="shared" si="48"/>
        <v>3AEKC003AR207FF</v>
      </c>
      <c r="L87" s="102">
        <v>2</v>
      </c>
      <c r="M87" s="102">
        <v>7</v>
      </c>
      <c r="N87" s="102">
        <v>1</v>
      </c>
      <c r="O87" s="183">
        <v>1</v>
      </c>
      <c r="P87" s="102">
        <v>13</v>
      </c>
      <c r="Q87" s="98"/>
      <c r="R87" s="98"/>
      <c r="S87" s="98">
        <f t="shared" si="49"/>
        <v>17</v>
      </c>
      <c r="T87" s="98" t="str">
        <f t="shared" si="55"/>
        <v>TB271</v>
      </c>
      <c r="U87" s="98" t="str">
        <f t="shared" si="50"/>
        <v>207_1FI</v>
      </c>
      <c r="V87" s="98" t="str">
        <f t="shared" si="41"/>
        <v>a</v>
      </c>
      <c r="W87" s="98" t="str">
        <f t="shared" si="42"/>
        <v>b</v>
      </c>
      <c r="X87" s="98" t="str">
        <f t="shared" si="43"/>
        <v>IE-BUS</v>
      </c>
      <c r="Y87" s="98" t="str">
        <f t="shared" si="54"/>
        <v>--</v>
      </c>
      <c r="Z87" s="98" t="s">
        <v>368</v>
      </c>
      <c r="AA87" s="100" t="str">
        <f t="shared" si="56"/>
        <v>3AEKC-820BC_1_FS202</v>
      </c>
      <c r="AB87" s="102" t="str">
        <f t="shared" si="44"/>
        <v>13B</v>
      </c>
      <c r="AC87" s="102" t="str">
        <f t="shared" si="45"/>
        <v>13D</v>
      </c>
      <c r="AD87" s="98" t="s">
        <v>235</v>
      </c>
      <c r="AE87" s="98" t="s">
        <v>236</v>
      </c>
      <c r="AF87" s="331" t="s">
        <v>379</v>
      </c>
      <c r="AG87" s="98" t="s">
        <v>322</v>
      </c>
      <c r="AH87" s="98" t="str">
        <f t="shared" si="51"/>
        <v>DCS</v>
      </c>
      <c r="AI87" s="331" t="s">
        <v>380</v>
      </c>
      <c r="AJ87" s="191" t="s">
        <v>371</v>
      </c>
      <c r="AK87" s="102"/>
      <c r="AL87" s="102"/>
      <c r="AM87" s="102"/>
      <c r="AN87" s="100"/>
      <c r="AO87" s="100"/>
      <c r="AP87" s="102"/>
      <c r="AQ87" s="76" t="s">
        <v>31</v>
      </c>
      <c r="AR87" s="176"/>
      <c r="AS87" s="100"/>
      <c r="AT87" s="102"/>
      <c r="AU87" s="330" t="s">
        <v>245</v>
      </c>
      <c r="AV87" s="100"/>
      <c r="AW87" s="201"/>
      <c r="AX87" s="201"/>
      <c r="AY87" s="201"/>
      <c r="AZ87" s="201"/>
      <c r="BA87" s="201"/>
      <c r="BB87" s="201"/>
      <c r="BC87" s="201"/>
      <c r="BD87" s="201"/>
      <c r="BE87" s="201"/>
      <c r="BF87" s="201"/>
      <c r="BG87" s="201"/>
      <c r="BH87" s="201"/>
      <c r="BI87" s="201"/>
      <c r="BJ87" s="201"/>
      <c r="BK87" s="201"/>
      <c r="BL87" s="201"/>
      <c r="BM87" s="201"/>
      <c r="BN87" s="201"/>
      <c r="BO87" s="201"/>
      <c r="BP87" s="201"/>
      <c r="BQ87" s="201"/>
      <c r="BR87" s="201"/>
      <c r="BS87" s="201"/>
      <c r="BT87" s="201"/>
      <c r="BU87" s="201"/>
      <c r="BV87" s="201"/>
      <c r="BW87" s="201"/>
      <c r="BX87" s="201"/>
      <c r="BY87" s="201"/>
      <c r="BZ87" s="201"/>
      <c r="CA87" s="201"/>
      <c r="CB87" s="201"/>
      <c r="CC87" s="201"/>
      <c r="CD87" s="98" t="str">
        <f t="shared" si="52"/>
        <v/>
      </c>
    </row>
    <row r="88" s="123" customFormat="1" ht="21" customHeight="1" spans="1:82">
      <c r="A88" s="93">
        <v>86</v>
      </c>
      <c r="B88" s="334" t="s">
        <v>401</v>
      </c>
      <c r="C88" s="342" t="s">
        <v>381</v>
      </c>
      <c r="D88" s="100" t="str">
        <f t="shared" si="53"/>
        <v>R3AEAB044PO_T</v>
      </c>
      <c r="E88" s="335" t="s">
        <v>382</v>
      </c>
      <c r="F88" s="100" t="s">
        <v>234</v>
      </c>
      <c r="G88" s="331" t="s">
        <v>400</v>
      </c>
      <c r="H88" s="330" t="s">
        <v>124</v>
      </c>
      <c r="I88" s="98" t="str">
        <f t="shared" si="46"/>
        <v>FF211</v>
      </c>
      <c r="J88" s="98" t="str">
        <f t="shared" si="47"/>
        <v>207FF</v>
      </c>
      <c r="K88" s="100" t="str">
        <f t="shared" si="48"/>
        <v>3AEKC003AR207FF</v>
      </c>
      <c r="L88" s="102">
        <v>2</v>
      </c>
      <c r="M88" s="102">
        <v>7</v>
      </c>
      <c r="N88" s="102">
        <v>1</v>
      </c>
      <c r="O88" s="183">
        <v>1</v>
      </c>
      <c r="P88" s="102">
        <v>14</v>
      </c>
      <c r="Q88" s="98"/>
      <c r="R88" s="98"/>
      <c r="S88" s="98">
        <f t="shared" si="49"/>
        <v>17</v>
      </c>
      <c r="T88" s="98" t="str">
        <f t="shared" si="55"/>
        <v>TB271</v>
      </c>
      <c r="U88" s="98" t="str">
        <f t="shared" si="50"/>
        <v>207_1FI</v>
      </c>
      <c r="V88" s="98" t="str">
        <f t="shared" si="41"/>
        <v>a</v>
      </c>
      <c r="W88" s="98" t="str">
        <f t="shared" si="42"/>
        <v>b</v>
      </c>
      <c r="X88" s="98" t="str">
        <f t="shared" si="43"/>
        <v>IE-BUS</v>
      </c>
      <c r="Y88" s="98" t="str">
        <f t="shared" si="54"/>
        <v>--</v>
      </c>
      <c r="Z88" s="98" t="s">
        <v>368</v>
      </c>
      <c r="AA88" s="100" t="str">
        <f t="shared" si="56"/>
        <v>3AEKC-820BC_1_FS202</v>
      </c>
      <c r="AB88" s="102" t="str">
        <f t="shared" si="44"/>
        <v>14B</v>
      </c>
      <c r="AC88" s="102" t="str">
        <f t="shared" si="45"/>
        <v>14D</v>
      </c>
      <c r="AD88" s="98" t="s">
        <v>235</v>
      </c>
      <c r="AE88" s="98" t="s">
        <v>236</v>
      </c>
      <c r="AF88" s="331" t="s">
        <v>379</v>
      </c>
      <c r="AG88" s="98" t="s">
        <v>322</v>
      </c>
      <c r="AH88" s="98" t="str">
        <f t="shared" si="51"/>
        <v>DCS</v>
      </c>
      <c r="AI88" s="331" t="s">
        <v>380</v>
      </c>
      <c r="AJ88" s="191" t="s">
        <v>371</v>
      </c>
      <c r="AK88" s="102"/>
      <c r="AL88" s="102"/>
      <c r="AM88" s="102"/>
      <c r="AN88" s="100"/>
      <c r="AO88" s="100"/>
      <c r="AP88" s="102"/>
      <c r="AQ88" s="76" t="s">
        <v>31</v>
      </c>
      <c r="AR88" s="176"/>
      <c r="AS88" s="100"/>
      <c r="AT88" s="102"/>
      <c r="AU88" s="330" t="s">
        <v>245</v>
      </c>
      <c r="AV88" s="100"/>
      <c r="AW88" s="201"/>
      <c r="AX88" s="201"/>
      <c r="AY88" s="201"/>
      <c r="AZ88" s="201"/>
      <c r="BA88" s="201"/>
      <c r="BB88" s="201"/>
      <c r="BC88" s="201"/>
      <c r="BD88" s="201"/>
      <c r="BE88" s="201"/>
      <c r="BF88" s="201"/>
      <c r="BG88" s="201"/>
      <c r="BH88" s="201"/>
      <c r="BI88" s="201"/>
      <c r="BJ88" s="201"/>
      <c r="BK88" s="201"/>
      <c r="BL88" s="201"/>
      <c r="BM88" s="201"/>
      <c r="BN88" s="201"/>
      <c r="BO88" s="201"/>
      <c r="BP88" s="201"/>
      <c r="BQ88" s="201"/>
      <c r="BR88" s="201"/>
      <c r="BS88" s="201"/>
      <c r="BT88" s="201"/>
      <c r="BU88" s="201"/>
      <c r="BV88" s="201"/>
      <c r="BW88" s="201"/>
      <c r="BX88" s="201"/>
      <c r="BY88" s="201"/>
      <c r="BZ88" s="201"/>
      <c r="CA88" s="201"/>
      <c r="CB88" s="201"/>
      <c r="CC88" s="201"/>
      <c r="CD88" s="98" t="str">
        <f t="shared" si="52"/>
        <v/>
      </c>
    </row>
    <row r="89" s="123" customFormat="1" ht="21" customHeight="1" spans="1:82">
      <c r="A89" s="93">
        <v>87</v>
      </c>
      <c r="B89" s="334" t="s">
        <v>402</v>
      </c>
      <c r="C89" s="342" t="s">
        <v>377</v>
      </c>
      <c r="D89" s="100" t="str">
        <f t="shared" si="53"/>
        <v>R3AEAB045PO_Q</v>
      </c>
      <c r="E89" s="335" t="s">
        <v>378</v>
      </c>
      <c r="F89" s="100" t="s">
        <v>234</v>
      </c>
      <c r="G89" s="331" t="s">
        <v>400</v>
      </c>
      <c r="H89" s="330" t="s">
        <v>124</v>
      </c>
      <c r="I89" s="98" t="str">
        <f t="shared" si="46"/>
        <v>FF211</v>
      </c>
      <c r="J89" s="98" t="str">
        <f t="shared" si="47"/>
        <v>207FF</v>
      </c>
      <c r="K89" s="100" t="str">
        <f t="shared" si="48"/>
        <v>3AEKC003AR207FF</v>
      </c>
      <c r="L89" s="102">
        <v>2</v>
      </c>
      <c r="M89" s="102">
        <v>7</v>
      </c>
      <c r="N89" s="102">
        <v>1</v>
      </c>
      <c r="O89" s="183">
        <v>1</v>
      </c>
      <c r="P89" s="102">
        <v>15</v>
      </c>
      <c r="Q89" s="98"/>
      <c r="R89" s="98"/>
      <c r="S89" s="98">
        <f t="shared" si="49"/>
        <v>17</v>
      </c>
      <c r="T89" s="98" t="str">
        <f t="shared" si="55"/>
        <v>TB271</v>
      </c>
      <c r="U89" s="98" t="str">
        <f t="shared" si="50"/>
        <v>207_1FI</v>
      </c>
      <c r="V89" s="98" t="str">
        <f t="shared" si="41"/>
        <v>a</v>
      </c>
      <c r="W89" s="98" t="str">
        <f t="shared" si="42"/>
        <v>b</v>
      </c>
      <c r="X89" s="98" t="str">
        <f t="shared" si="43"/>
        <v>IE-BUS</v>
      </c>
      <c r="Y89" s="98" t="str">
        <f t="shared" si="54"/>
        <v>--</v>
      </c>
      <c r="Z89" s="98" t="s">
        <v>368</v>
      </c>
      <c r="AA89" s="100" t="str">
        <f t="shared" ref="AA89:AA101" si="57">IF(IFERROR(SEARCH("FS",Z89),-1)&gt;0,G89&amp;"_"&amp;O89&amp;"_"&amp;Z89,"--")</f>
        <v>3AEKC-820BC_1_FS202</v>
      </c>
      <c r="AB89" s="102" t="str">
        <f t="shared" si="44"/>
        <v>15B</v>
      </c>
      <c r="AC89" s="102" t="str">
        <f t="shared" si="45"/>
        <v>15D</v>
      </c>
      <c r="AD89" s="98" t="s">
        <v>235</v>
      </c>
      <c r="AE89" s="98" t="s">
        <v>236</v>
      </c>
      <c r="AF89" s="331" t="s">
        <v>379</v>
      </c>
      <c r="AG89" s="98" t="s">
        <v>322</v>
      </c>
      <c r="AH89" s="98" t="str">
        <f t="shared" si="51"/>
        <v>DCS</v>
      </c>
      <c r="AI89" s="331" t="s">
        <v>380</v>
      </c>
      <c r="AJ89" s="191" t="s">
        <v>371</v>
      </c>
      <c r="AK89" s="102"/>
      <c r="AL89" s="102"/>
      <c r="AM89" s="102"/>
      <c r="AN89" s="100"/>
      <c r="AO89" s="100"/>
      <c r="AP89" s="102"/>
      <c r="AQ89" s="76" t="s">
        <v>31</v>
      </c>
      <c r="AR89" s="176"/>
      <c r="AS89" s="100"/>
      <c r="AT89" s="102"/>
      <c r="AU89" s="330" t="s">
        <v>245</v>
      </c>
      <c r="AV89" s="100"/>
      <c r="AW89" s="201"/>
      <c r="AX89" s="201"/>
      <c r="AY89" s="201"/>
      <c r="AZ89" s="201"/>
      <c r="BA89" s="201"/>
      <c r="BB89" s="201"/>
      <c r="BC89" s="201"/>
      <c r="BD89" s="201"/>
      <c r="BE89" s="201"/>
      <c r="BF89" s="201"/>
      <c r="BG89" s="201"/>
      <c r="BH89" s="201"/>
      <c r="BI89" s="201"/>
      <c r="BJ89" s="201"/>
      <c r="BK89" s="201"/>
      <c r="BL89" s="201"/>
      <c r="BM89" s="201"/>
      <c r="BN89" s="201"/>
      <c r="BO89" s="201"/>
      <c r="BP89" s="201"/>
      <c r="BQ89" s="201"/>
      <c r="BR89" s="201"/>
      <c r="BS89" s="201"/>
      <c r="BT89" s="201"/>
      <c r="BU89" s="201"/>
      <c r="BV89" s="201"/>
      <c r="BW89" s="201"/>
      <c r="BX89" s="201"/>
      <c r="BY89" s="201"/>
      <c r="BZ89" s="201"/>
      <c r="CA89" s="201"/>
      <c r="CB89" s="201"/>
      <c r="CC89" s="201"/>
      <c r="CD89" s="98" t="str">
        <f t="shared" si="52"/>
        <v/>
      </c>
    </row>
    <row r="90" s="123" customFormat="1" ht="21" customHeight="1" spans="1:82">
      <c r="A90" s="93">
        <v>88</v>
      </c>
      <c r="B90" s="334" t="s">
        <v>402</v>
      </c>
      <c r="C90" s="342" t="s">
        <v>381</v>
      </c>
      <c r="D90" s="100" t="str">
        <f t="shared" si="53"/>
        <v>R3AEAB045PO_T</v>
      </c>
      <c r="E90" s="335" t="s">
        <v>382</v>
      </c>
      <c r="F90" s="100" t="s">
        <v>234</v>
      </c>
      <c r="G90" s="331" t="s">
        <v>400</v>
      </c>
      <c r="H90" s="330" t="s">
        <v>124</v>
      </c>
      <c r="I90" s="98" t="str">
        <f t="shared" si="46"/>
        <v>FF211</v>
      </c>
      <c r="J90" s="98" t="str">
        <f t="shared" si="47"/>
        <v>207FF</v>
      </c>
      <c r="K90" s="100" t="str">
        <f t="shared" si="48"/>
        <v>3AEKC003AR207FF</v>
      </c>
      <c r="L90" s="102">
        <v>2</v>
      </c>
      <c r="M90" s="102">
        <v>7</v>
      </c>
      <c r="N90" s="102">
        <v>1</v>
      </c>
      <c r="O90" s="183">
        <v>1</v>
      </c>
      <c r="P90" s="102">
        <v>16</v>
      </c>
      <c r="Q90" s="98"/>
      <c r="R90" s="98"/>
      <c r="S90" s="98">
        <f t="shared" si="49"/>
        <v>17</v>
      </c>
      <c r="T90" s="98" t="str">
        <f t="shared" si="55"/>
        <v>TB271</v>
      </c>
      <c r="U90" s="98" t="str">
        <f t="shared" si="50"/>
        <v>207_1FI</v>
      </c>
      <c r="V90" s="98" t="str">
        <f t="shared" si="41"/>
        <v>a</v>
      </c>
      <c r="W90" s="98" t="str">
        <f t="shared" si="42"/>
        <v>b</v>
      </c>
      <c r="X90" s="98" t="str">
        <f t="shared" si="43"/>
        <v>IE-BUS</v>
      </c>
      <c r="Y90" s="98" t="str">
        <f t="shared" si="54"/>
        <v>--</v>
      </c>
      <c r="Z90" s="98" t="s">
        <v>368</v>
      </c>
      <c r="AA90" s="100" t="str">
        <f t="shared" si="57"/>
        <v>3AEKC-820BC_1_FS202</v>
      </c>
      <c r="AB90" s="102" t="str">
        <f t="shared" si="44"/>
        <v>16B</v>
      </c>
      <c r="AC90" s="102" t="str">
        <f t="shared" si="45"/>
        <v>16D</v>
      </c>
      <c r="AD90" s="98" t="s">
        <v>235</v>
      </c>
      <c r="AE90" s="98" t="s">
        <v>236</v>
      </c>
      <c r="AF90" s="331" t="s">
        <v>379</v>
      </c>
      <c r="AG90" s="98" t="s">
        <v>322</v>
      </c>
      <c r="AH90" s="98" t="str">
        <f t="shared" si="51"/>
        <v>DCS</v>
      </c>
      <c r="AI90" s="331" t="s">
        <v>380</v>
      </c>
      <c r="AJ90" s="191" t="s">
        <v>371</v>
      </c>
      <c r="AK90" s="102"/>
      <c r="AL90" s="102"/>
      <c r="AM90" s="102"/>
      <c r="AN90" s="100"/>
      <c r="AO90" s="100"/>
      <c r="AP90" s="102"/>
      <c r="AQ90" s="76" t="s">
        <v>31</v>
      </c>
      <c r="AR90" s="176"/>
      <c r="AS90" s="100"/>
      <c r="AT90" s="102"/>
      <c r="AU90" s="330" t="s">
        <v>245</v>
      </c>
      <c r="AV90" s="100"/>
      <c r="AW90" s="201"/>
      <c r="AX90" s="201"/>
      <c r="AY90" s="201"/>
      <c r="AZ90" s="201"/>
      <c r="BA90" s="201"/>
      <c r="BB90" s="201"/>
      <c r="BC90" s="201"/>
      <c r="BD90" s="201"/>
      <c r="BE90" s="201"/>
      <c r="BF90" s="201"/>
      <c r="BG90" s="201"/>
      <c r="BH90" s="201"/>
      <c r="BI90" s="201"/>
      <c r="BJ90" s="201"/>
      <c r="BK90" s="201"/>
      <c r="BL90" s="201"/>
      <c r="BM90" s="201"/>
      <c r="BN90" s="201"/>
      <c r="BO90" s="201"/>
      <c r="BP90" s="201"/>
      <c r="BQ90" s="201"/>
      <c r="BR90" s="201"/>
      <c r="BS90" s="201"/>
      <c r="BT90" s="201"/>
      <c r="BU90" s="201"/>
      <c r="BV90" s="201"/>
      <c r="BW90" s="201"/>
      <c r="BX90" s="201"/>
      <c r="BY90" s="201"/>
      <c r="BZ90" s="201"/>
      <c r="CA90" s="201"/>
      <c r="CB90" s="201"/>
      <c r="CC90" s="201"/>
      <c r="CD90" s="98" t="str">
        <f t="shared" si="52"/>
        <v/>
      </c>
    </row>
    <row r="91" s="123" customFormat="1" ht="21" customHeight="1" spans="1:82">
      <c r="A91" s="171">
        <v>89</v>
      </c>
      <c r="B91" s="337" t="s">
        <v>403</v>
      </c>
      <c r="C91" s="341" t="s">
        <v>365</v>
      </c>
      <c r="D91" s="173" t="str">
        <f t="shared" si="53"/>
        <v>R3AEAB046PO_QF</v>
      </c>
      <c r="E91" s="338" t="s">
        <v>366</v>
      </c>
      <c r="F91" s="173" t="s">
        <v>234</v>
      </c>
      <c r="G91" s="339" t="s">
        <v>400</v>
      </c>
      <c r="H91" s="322" t="s">
        <v>124</v>
      </c>
      <c r="I91" s="184" t="str">
        <f t="shared" si="46"/>
        <v>FF211</v>
      </c>
      <c r="J91" s="184" t="str">
        <f t="shared" si="47"/>
        <v>207FF</v>
      </c>
      <c r="K91" s="173" t="str">
        <f t="shared" si="48"/>
        <v>3AEKC003AR207FF</v>
      </c>
      <c r="L91" s="175">
        <v>2</v>
      </c>
      <c r="M91" s="175">
        <v>7</v>
      </c>
      <c r="N91" s="175">
        <v>1</v>
      </c>
      <c r="O91" s="207">
        <v>2</v>
      </c>
      <c r="P91" s="175">
        <v>1</v>
      </c>
      <c r="Q91" s="184"/>
      <c r="R91" s="184"/>
      <c r="S91" s="184">
        <f t="shared" si="49"/>
        <v>17</v>
      </c>
      <c r="T91" s="184" t="str">
        <f t="shared" si="55"/>
        <v>TB271</v>
      </c>
      <c r="U91" s="184" t="str">
        <f t="shared" si="50"/>
        <v>207_1FI</v>
      </c>
      <c r="V91" s="184" t="str">
        <f t="shared" si="41"/>
        <v>a</v>
      </c>
      <c r="W91" s="184" t="str">
        <f t="shared" si="42"/>
        <v>b</v>
      </c>
      <c r="X91" s="184" t="str">
        <f t="shared" si="43"/>
        <v>IE-BUS</v>
      </c>
      <c r="Y91" s="184" t="str">
        <f t="shared" si="54"/>
        <v>--</v>
      </c>
      <c r="Z91" s="184" t="s">
        <v>368</v>
      </c>
      <c r="AA91" s="173" t="str">
        <f t="shared" si="57"/>
        <v>3AEKC-820BC_2_FS202</v>
      </c>
      <c r="AB91" s="175" t="str">
        <f t="shared" si="44"/>
        <v>1A</v>
      </c>
      <c r="AC91" s="175" t="str">
        <f t="shared" si="45"/>
        <v>1B</v>
      </c>
      <c r="AD91" s="184" t="s">
        <v>235</v>
      </c>
      <c r="AE91" s="184" t="s">
        <v>236</v>
      </c>
      <c r="AF91" s="339" t="s">
        <v>369</v>
      </c>
      <c r="AG91" s="184" t="s">
        <v>322</v>
      </c>
      <c r="AH91" s="184" t="str">
        <f t="shared" si="51"/>
        <v>DCS</v>
      </c>
      <c r="AI91" s="339" t="s">
        <v>370</v>
      </c>
      <c r="AJ91" s="197" t="s">
        <v>371</v>
      </c>
      <c r="AK91" s="175"/>
      <c r="AL91" s="175"/>
      <c r="AM91" s="175"/>
      <c r="AN91" s="173"/>
      <c r="AO91" s="173"/>
      <c r="AP91" s="175"/>
      <c r="AQ91" s="198" t="s">
        <v>31</v>
      </c>
      <c r="AR91" s="203"/>
      <c r="AS91" s="173"/>
      <c r="AT91" s="175"/>
      <c r="AU91" s="322" t="s">
        <v>245</v>
      </c>
      <c r="AV91" s="173"/>
      <c r="AW91" s="202"/>
      <c r="AX91" s="202"/>
      <c r="AY91" s="202"/>
      <c r="AZ91" s="202"/>
      <c r="BA91" s="202"/>
      <c r="BB91" s="202"/>
      <c r="BC91" s="202"/>
      <c r="BD91" s="202"/>
      <c r="BE91" s="202"/>
      <c r="BF91" s="202"/>
      <c r="BG91" s="202"/>
      <c r="BH91" s="202"/>
      <c r="BI91" s="202"/>
      <c r="BJ91" s="202"/>
      <c r="BK91" s="202"/>
      <c r="BL91" s="202"/>
      <c r="BM91" s="202"/>
      <c r="BN91" s="202"/>
      <c r="BO91" s="202"/>
      <c r="BP91" s="202"/>
      <c r="BQ91" s="202"/>
      <c r="BR91" s="202"/>
      <c r="BS91" s="202"/>
      <c r="BT91" s="202"/>
      <c r="BU91" s="202"/>
      <c r="BV91" s="202"/>
      <c r="BW91" s="202"/>
      <c r="BX91" s="202"/>
      <c r="BY91" s="202"/>
      <c r="BZ91" s="202"/>
      <c r="CA91" s="202"/>
      <c r="CB91" s="202"/>
      <c r="CC91" s="202"/>
      <c r="CD91" s="184" t="str">
        <f t="shared" si="52"/>
        <v/>
      </c>
    </row>
    <row r="92" s="123" customFormat="1" ht="21" customHeight="1" spans="1:82">
      <c r="A92" s="93">
        <v>90</v>
      </c>
      <c r="B92" s="334" t="s">
        <v>403</v>
      </c>
      <c r="C92" s="342" t="s">
        <v>372</v>
      </c>
      <c r="D92" s="100" t="str">
        <f t="shared" si="53"/>
        <v>R3AEAB046PO_TF</v>
      </c>
      <c r="E92" s="335" t="s">
        <v>373</v>
      </c>
      <c r="F92" s="100" t="s">
        <v>234</v>
      </c>
      <c r="G92" s="331" t="s">
        <v>400</v>
      </c>
      <c r="H92" s="330" t="s">
        <v>124</v>
      </c>
      <c r="I92" s="98" t="str">
        <f t="shared" si="46"/>
        <v>FF211</v>
      </c>
      <c r="J92" s="98" t="str">
        <f t="shared" si="47"/>
        <v>207FF</v>
      </c>
      <c r="K92" s="100" t="str">
        <f t="shared" si="48"/>
        <v>3AEKC003AR207FF</v>
      </c>
      <c r="L92" s="102">
        <v>2</v>
      </c>
      <c r="M92" s="102">
        <v>7</v>
      </c>
      <c r="N92" s="102">
        <v>1</v>
      </c>
      <c r="O92" s="183">
        <v>2</v>
      </c>
      <c r="P92" s="102">
        <v>2</v>
      </c>
      <c r="Q92" s="98"/>
      <c r="R92" s="98"/>
      <c r="S92" s="98">
        <f t="shared" si="49"/>
        <v>17</v>
      </c>
      <c r="T92" s="98" t="str">
        <f t="shared" si="55"/>
        <v>TB271</v>
      </c>
      <c r="U92" s="98" t="str">
        <f t="shared" si="50"/>
        <v>207_1FI</v>
      </c>
      <c r="V92" s="98" t="str">
        <f t="shared" si="41"/>
        <v>a</v>
      </c>
      <c r="W92" s="98" t="str">
        <f t="shared" si="42"/>
        <v>b</v>
      </c>
      <c r="X92" s="98" t="str">
        <f t="shared" si="43"/>
        <v>IE-BUS</v>
      </c>
      <c r="Y92" s="98" t="str">
        <f t="shared" si="54"/>
        <v>--</v>
      </c>
      <c r="Z92" s="98" t="s">
        <v>368</v>
      </c>
      <c r="AA92" s="100" t="str">
        <f t="shared" si="57"/>
        <v>3AEKC-820BC_2_FS202</v>
      </c>
      <c r="AB92" s="102" t="str">
        <f t="shared" si="44"/>
        <v>2A</v>
      </c>
      <c r="AC92" s="102" t="str">
        <f t="shared" si="45"/>
        <v>2B</v>
      </c>
      <c r="AD92" s="98" t="s">
        <v>235</v>
      </c>
      <c r="AE92" s="98" t="s">
        <v>236</v>
      </c>
      <c r="AF92" s="331" t="s">
        <v>369</v>
      </c>
      <c r="AG92" s="98" t="s">
        <v>322</v>
      </c>
      <c r="AH92" s="98" t="str">
        <f t="shared" si="51"/>
        <v>DCS</v>
      </c>
      <c r="AI92" s="331" t="s">
        <v>370</v>
      </c>
      <c r="AJ92" s="191" t="s">
        <v>371</v>
      </c>
      <c r="AK92" s="102"/>
      <c r="AL92" s="102"/>
      <c r="AM92" s="102"/>
      <c r="AN92" s="100"/>
      <c r="AO92" s="100"/>
      <c r="AP92" s="102"/>
      <c r="AQ92" s="76" t="s">
        <v>31</v>
      </c>
      <c r="AR92" s="176"/>
      <c r="AS92" s="100"/>
      <c r="AT92" s="102"/>
      <c r="AU92" s="330" t="s">
        <v>245</v>
      </c>
      <c r="AV92" s="100"/>
      <c r="AW92" s="201"/>
      <c r="AX92" s="201"/>
      <c r="AY92" s="201"/>
      <c r="AZ92" s="201"/>
      <c r="BA92" s="201"/>
      <c r="BB92" s="201"/>
      <c r="BC92" s="201"/>
      <c r="BD92" s="201"/>
      <c r="BE92" s="201"/>
      <c r="BF92" s="201"/>
      <c r="BG92" s="201"/>
      <c r="BH92" s="201"/>
      <c r="BI92" s="201"/>
      <c r="BJ92" s="201"/>
      <c r="BK92" s="201"/>
      <c r="BL92" s="201"/>
      <c r="BM92" s="201"/>
      <c r="BN92" s="201"/>
      <c r="BO92" s="201"/>
      <c r="BP92" s="201"/>
      <c r="BQ92" s="201"/>
      <c r="BR92" s="201"/>
      <c r="BS92" s="201"/>
      <c r="BT92" s="201"/>
      <c r="BU92" s="201"/>
      <c r="BV92" s="201"/>
      <c r="BW92" s="201"/>
      <c r="BX92" s="201"/>
      <c r="BY92" s="201"/>
      <c r="BZ92" s="201"/>
      <c r="CA92" s="201"/>
      <c r="CB92" s="201"/>
      <c r="CC92" s="201"/>
      <c r="CD92" s="98" t="str">
        <f t="shared" si="52"/>
        <v/>
      </c>
    </row>
    <row r="93" s="123" customFormat="1" ht="21" customHeight="1" spans="1:82">
      <c r="A93" s="93">
        <v>91</v>
      </c>
      <c r="B93" s="334" t="s">
        <v>403</v>
      </c>
      <c r="C93" s="342" t="s">
        <v>374</v>
      </c>
      <c r="D93" s="100" t="str">
        <f t="shared" si="53"/>
        <v>R3AEAB046PO_GZ</v>
      </c>
      <c r="E93" s="335" t="s">
        <v>375</v>
      </c>
      <c r="F93" s="100" t="s">
        <v>234</v>
      </c>
      <c r="G93" s="331" t="s">
        <v>400</v>
      </c>
      <c r="H93" s="330" t="s">
        <v>124</v>
      </c>
      <c r="I93" s="98" t="str">
        <f t="shared" si="46"/>
        <v>FF211</v>
      </c>
      <c r="J93" s="98" t="str">
        <f t="shared" si="47"/>
        <v>207FF</v>
      </c>
      <c r="K93" s="100" t="str">
        <f t="shared" si="48"/>
        <v>3AEKC003AR207FF</v>
      </c>
      <c r="L93" s="102">
        <v>2</v>
      </c>
      <c r="M93" s="102">
        <v>7</v>
      </c>
      <c r="N93" s="102">
        <v>1</v>
      </c>
      <c r="O93" s="183">
        <v>2</v>
      </c>
      <c r="P93" s="102">
        <v>3</v>
      </c>
      <c r="Q93" s="98"/>
      <c r="R93" s="98"/>
      <c r="S93" s="98">
        <f t="shared" si="49"/>
        <v>17</v>
      </c>
      <c r="T93" s="98" t="str">
        <f t="shared" si="55"/>
        <v>TB271</v>
      </c>
      <c r="U93" s="98" t="str">
        <f t="shared" si="50"/>
        <v>207_1FI</v>
      </c>
      <c r="V93" s="98" t="str">
        <f t="shared" si="41"/>
        <v>a</v>
      </c>
      <c r="W93" s="98" t="str">
        <f t="shared" si="42"/>
        <v>b</v>
      </c>
      <c r="X93" s="98" t="str">
        <f t="shared" si="43"/>
        <v>IE-BUS</v>
      </c>
      <c r="Y93" s="98" t="str">
        <f t="shared" si="54"/>
        <v>--</v>
      </c>
      <c r="Z93" s="98" t="s">
        <v>368</v>
      </c>
      <c r="AA93" s="100" t="str">
        <f t="shared" si="57"/>
        <v>3AEKC-820BC_2_FS202</v>
      </c>
      <c r="AB93" s="102" t="str">
        <f t="shared" si="44"/>
        <v>3A</v>
      </c>
      <c r="AC93" s="102" t="str">
        <f t="shared" si="45"/>
        <v>3B</v>
      </c>
      <c r="AD93" s="98" t="s">
        <v>235</v>
      </c>
      <c r="AE93" s="98" t="s">
        <v>236</v>
      </c>
      <c r="AF93" s="331" t="s">
        <v>369</v>
      </c>
      <c r="AG93" s="98" t="s">
        <v>322</v>
      </c>
      <c r="AH93" s="98" t="str">
        <f t="shared" si="51"/>
        <v>DCS</v>
      </c>
      <c r="AI93" s="331" t="s">
        <v>370</v>
      </c>
      <c r="AJ93" s="191" t="s">
        <v>371</v>
      </c>
      <c r="AK93" s="102"/>
      <c r="AL93" s="102"/>
      <c r="AM93" s="102"/>
      <c r="AN93" s="100"/>
      <c r="AO93" s="100"/>
      <c r="AP93" s="102"/>
      <c r="AQ93" s="76" t="s">
        <v>31</v>
      </c>
      <c r="AR93" s="176"/>
      <c r="AS93" s="100"/>
      <c r="AT93" s="102"/>
      <c r="AU93" s="330" t="s">
        <v>245</v>
      </c>
      <c r="AV93" s="100"/>
      <c r="AW93" s="201"/>
      <c r="AX93" s="201"/>
      <c r="AY93" s="201"/>
      <c r="AZ93" s="201"/>
      <c r="BA93" s="201"/>
      <c r="BB93" s="201"/>
      <c r="BC93" s="201"/>
      <c r="BD93" s="201"/>
      <c r="BE93" s="201"/>
      <c r="BF93" s="201"/>
      <c r="BG93" s="201"/>
      <c r="BH93" s="201"/>
      <c r="BI93" s="201"/>
      <c r="BJ93" s="201"/>
      <c r="BK93" s="201"/>
      <c r="BL93" s="201"/>
      <c r="BM93" s="201"/>
      <c r="BN93" s="201"/>
      <c r="BO93" s="201"/>
      <c r="BP93" s="201"/>
      <c r="BQ93" s="201"/>
      <c r="BR93" s="201"/>
      <c r="BS93" s="201"/>
      <c r="BT93" s="201"/>
      <c r="BU93" s="201"/>
      <c r="BV93" s="201"/>
      <c r="BW93" s="201"/>
      <c r="BX93" s="201"/>
      <c r="BY93" s="201"/>
      <c r="BZ93" s="201"/>
      <c r="CA93" s="201"/>
      <c r="CB93" s="201"/>
      <c r="CC93" s="201"/>
      <c r="CD93" s="98" t="str">
        <f t="shared" si="52"/>
        <v/>
      </c>
    </row>
    <row r="94" s="123" customFormat="1" ht="21" customHeight="1" spans="1:82">
      <c r="A94" s="93">
        <v>92</v>
      </c>
      <c r="B94" s="334" t="s">
        <v>404</v>
      </c>
      <c r="C94" s="342" t="s">
        <v>365</v>
      </c>
      <c r="D94" s="100" t="str">
        <f t="shared" si="53"/>
        <v>R3AEAB047PO_QF</v>
      </c>
      <c r="E94" s="335" t="s">
        <v>366</v>
      </c>
      <c r="F94" s="100" t="s">
        <v>234</v>
      </c>
      <c r="G94" s="331" t="s">
        <v>400</v>
      </c>
      <c r="H94" s="330" t="s">
        <v>124</v>
      </c>
      <c r="I94" s="98" t="str">
        <f t="shared" si="46"/>
        <v>FF211</v>
      </c>
      <c r="J94" s="98" t="str">
        <f t="shared" si="47"/>
        <v>207FF</v>
      </c>
      <c r="K94" s="100" t="str">
        <f t="shared" si="48"/>
        <v>3AEKC003AR207FF</v>
      </c>
      <c r="L94" s="102">
        <v>2</v>
      </c>
      <c r="M94" s="102">
        <v>7</v>
      </c>
      <c r="N94" s="102">
        <v>1</v>
      </c>
      <c r="O94" s="183">
        <v>2</v>
      </c>
      <c r="P94" s="102">
        <v>4</v>
      </c>
      <c r="Q94" s="98"/>
      <c r="R94" s="98"/>
      <c r="S94" s="98">
        <f t="shared" si="49"/>
        <v>17</v>
      </c>
      <c r="T94" s="98" t="str">
        <f t="shared" si="55"/>
        <v>TB271</v>
      </c>
      <c r="U94" s="98" t="str">
        <f t="shared" si="50"/>
        <v>207_1FI</v>
      </c>
      <c r="V94" s="98" t="str">
        <f t="shared" si="41"/>
        <v>a</v>
      </c>
      <c r="W94" s="98" t="str">
        <f t="shared" si="42"/>
        <v>b</v>
      </c>
      <c r="X94" s="98" t="str">
        <f t="shared" si="43"/>
        <v>IE-BUS</v>
      </c>
      <c r="Y94" s="98" t="str">
        <f t="shared" si="54"/>
        <v>--</v>
      </c>
      <c r="Z94" s="98" t="s">
        <v>368</v>
      </c>
      <c r="AA94" s="100" t="str">
        <f t="shared" si="57"/>
        <v>3AEKC-820BC_2_FS202</v>
      </c>
      <c r="AB94" s="102" t="str">
        <f t="shared" si="44"/>
        <v>4A</v>
      </c>
      <c r="AC94" s="102" t="str">
        <f t="shared" si="45"/>
        <v>4B</v>
      </c>
      <c r="AD94" s="98" t="s">
        <v>235</v>
      </c>
      <c r="AE94" s="98" t="s">
        <v>236</v>
      </c>
      <c r="AF94" s="331" t="s">
        <v>369</v>
      </c>
      <c r="AG94" s="98" t="s">
        <v>322</v>
      </c>
      <c r="AH94" s="98" t="str">
        <f t="shared" si="51"/>
        <v>DCS</v>
      </c>
      <c r="AI94" s="331" t="s">
        <v>370</v>
      </c>
      <c r="AJ94" s="191" t="s">
        <v>371</v>
      </c>
      <c r="AK94" s="102"/>
      <c r="AL94" s="102"/>
      <c r="AM94" s="102"/>
      <c r="AN94" s="100"/>
      <c r="AO94" s="100"/>
      <c r="AP94" s="102"/>
      <c r="AQ94" s="76" t="s">
        <v>31</v>
      </c>
      <c r="AR94" s="176"/>
      <c r="AS94" s="100"/>
      <c r="AT94" s="102"/>
      <c r="AU94" s="330" t="s">
        <v>245</v>
      </c>
      <c r="AV94" s="100"/>
      <c r="AW94" s="201"/>
      <c r="AX94" s="201"/>
      <c r="AY94" s="201"/>
      <c r="AZ94" s="201"/>
      <c r="BA94" s="201"/>
      <c r="BB94" s="201"/>
      <c r="BC94" s="201"/>
      <c r="BD94" s="201"/>
      <c r="BE94" s="201"/>
      <c r="BF94" s="201"/>
      <c r="BG94" s="201"/>
      <c r="BH94" s="201"/>
      <c r="BI94" s="201"/>
      <c r="BJ94" s="201"/>
      <c r="BK94" s="201"/>
      <c r="BL94" s="201"/>
      <c r="BM94" s="201"/>
      <c r="BN94" s="201"/>
      <c r="BO94" s="201"/>
      <c r="BP94" s="201"/>
      <c r="BQ94" s="201"/>
      <c r="BR94" s="201"/>
      <c r="BS94" s="201"/>
      <c r="BT94" s="201"/>
      <c r="BU94" s="201"/>
      <c r="BV94" s="201"/>
      <c r="BW94" s="201"/>
      <c r="BX94" s="201"/>
      <c r="BY94" s="201"/>
      <c r="BZ94" s="201"/>
      <c r="CA94" s="201"/>
      <c r="CB94" s="201"/>
      <c r="CC94" s="201"/>
      <c r="CD94" s="98" t="str">
        <f t="shared" si="52"/>
        <v/>
      </c>
    </row>
    <row r="95" s="123" customFormat="1" ht="21" customHeight="1" spans="1:82">
      <c r="A95" s="93">
        <v>93</v>
      </c>
      <c r="B95" s="334" t="s">
        <v>404</v>
      </c>
      <c r="C95" s="342" t="s">
        <v>372</v>
      </c>
      <c r="D95" s="100" t="str">
        <f t="shared" si="53"/>
        <v>R3AEAB047PO_TF</v>
      </c>
      <c r="E95" s="335" t="s">
        <v>373</v>
      </c>
      <c r="F95" s="100" t="s">
        <v>234</v>
      </c>
      <c r="G95" s="331" t="s">
        <v>400</v>
      </c>
      <c r="H95" s="330" t="s">
        <v>124</v>
      </c>
      <c r="I95" s="98" t="str">
        <f t="shared" si="46"/>
        <v>FF211</v>
      </c>
      <c r="J95" s="98" t="str">
        <f t="shared" si="47"/>
        <v>207FF</v>
      </c>
      <c r="K95" s="100" t="str">
        <f t="shared" si="48"/>
        <v>3AEKC003AR207FF</v>
      </c>
      <c r="L95" s="102">
        <v>2</v>
      </c>
      <c r="M95" s="102">
        <v>7</v>
      </c>
      <c r="N95" s="102">
        <v>1</v>
      </c>
      <c r="O95" s="183">
        <v>2</v>
      </c>
      <c r="P95" s="102">
        <v>5</v>
      </c>
      <c r="Q95" s="98"/>
      <c r="R95" s="98"/>
      <c r="S95" s="98">
        <f t="shared" si="49"/>
        <v>17</v>
      </c>
      <c r="T95" s="98" t="str">
        <f t="shared" si="55"/>
        <v>TB271</v>
      </c>
      <c r="U95" s="98" t="str">
        <f t="shared" si="50"/>
        <v>207_1FI</v>
      </c>
      <c r="V95" s="98" t="str">
        <f t="shared" si="41"/>
        <v>a</v>
      </c>
      <c r="W95" s="98" t="str">
        <f t="shared" si="42"/>
        <v>b</v>
      </c>
      <c r="X95" s="98" t="str">
        <f t="shared" si="43"/>
        <v>IE-BUS</v>
      </c>
      <c r="Y95" s="98" t="str">
        <f t="shared" si="54"/>
        <v>--</v>
      </c>
      <c r="Z95" s="98" t="s">
        <v>368</v>
      </c>
      <c r="AA95" s="100" t="str">
        <f t="shared" si="57"/>
        <v>3AEKC-820BC_2_FS202</v>
      </c>
      <c r="AB95" s="102" t="str">
        <f t="shared" si="44"/>
        <v>5A</v>
      </c>
      <c r="AC95" s="102" t="str">
        <f t="shared" si="45"/>
        <v>5B</v>
      </c>
      <c r="AD95" s="98" t="s">
        <v>235</v>
      </c>
      <c r="AE95" s="98" t="s">
        <v>236</v>
      </c>
      <c r="AF95" s="331" t="s">
        <v>369</v>
      </c>
      <c r="AG95" s="98" t="s">
        <v>322</v>
      </c>
      <c r="AH95" s="98" t="str">
        <f t="shared" si="51"/>
        <v>DCS</v>
      </c>
      <c r="AI95" s="331" t="s">
        <v>370</v>
      </c>
      <c r="AJ95" s="191" t="s">
        <v>371</v>
      </c>
      <c r="AK95" s="102"/>
      <c r="AL95" s="102"/>
      <c r="AM95" s="102"/>
      <c r="AN95" s="100"/>
      <c r="AO95" s="100"/>
      <c r="AP95" s="102"/>
      <c r="AQ95" s="76" t="s">
        <v>31</v>
      </c>
      <c r="AR95" s="176"/>
      <c r="AS95" s="100"/>
      <c r="AT95" s="102"/>
      <c r="AU95" s="330" t="s">
        <v>245</v>
      </c>
      <c r="AV95" s="100"/>
      <c r="AW95" s="201"/>
      <c r="AX95" s="201"/>
      <c r="AY95" s="201"/>
      <c r="AZ95" s="201"/>
      <c r="BA95" s="201"/>
      <c r="BB95" s="201"/>
      <c r="BC95" s="201"/>
      <c r="BD95" s="201"/>
      <c r="BE95" s="201"/>
      <c r="BF95" s="201"/>
      <c r="BG95" s="201"/>
      <c r="BH95" s="201"/>
      <c r="BI95" s="201"/>
      <c r="BJ95" s="201"/>
      <c r="BK95" s="201"/>
      <c r="BL95" s="201"/>
      <c r="BM95" s="201"/>
      <c r="BN95" s="201"/>
      <c r="BO95" s="201"/>
      <c r="BP95" s="201"/>
      <c r="BQ95" s="201"/>
      <c r="BR95" s="201"/>
      <c r="BS95" s="201"/>
      <c r="BT95" s="201"/>
      <c r="BU95" s="201"/>
      <c r="BV95" s="201"/>
      <c r="BW95" s="201"/>
      <c r="BX95" s="201"/>
      <c r="BY95" s="201"/>
      <c r="BZ95" s="201"/>
      <c r="CA95" s="201"/>
      <c r="CB95" s="201"/>
      <c r="CC95" s="201"/>
      <c r="CD95" s="98" t="str">
        <f t="shared" si="52"/>
        <v/>
      </c>
    </row>
    <row r="96" s="123" customFormat="1" ht="21" customHeight="1" spans="1:82">
      <c r="A96" s="93">
        <v>94</v>
      </c>
      <c r="B96" s="334" t="s">
        <v>404</v>
      </c>
      <c r="C96" s="342" t="s">
        <v>374</v>
      </c>
      <c r="D96" s="100" t="str">
        <f t="shared" si="53"/>
        <v>R3AEAB047PO_GZ</v>
      </c>
      <c r="E96" s="335" t="s">
        <v>375</v>
      </c>
      <c r="F96" s="100" t="s">
        <v>234</v>
      </c>
      <c r="G96" s="331" t="s">
        <v>400</v>
      </c>
      <c r="H96" s="330" t="s">
        <v>124</v>
      </c>
      <c r="I96" s="98" t="str">
        <f t="shared" si="46"/>
        <v>FF211</v>
      </c>
      <c r="J96" s="98" t="str">
        <f t="shared" si="47"/>
        <v>207FF</v>
      </c>
      <c r="K96" s="100" t="str">
        <f t="shared" si="48"/>
        <v>3AEKC003AR207FF</v>
      </c>
      <c r="L96" s="102">
        <v>2</v>
      </c>
      <c r="M96" s="102">
        <v>7</v>
      </c>
      <c r="N96" s="102">
        <v>1</v>
      </c>
      <c r="O96" s="183">
        <v>2</v>
      </c>
      <c r="P96" s="102">
        <v>6</v>
      </c>
      <c r="Q96" s="98"/>
      <c r="R96" s="98"/>
      <c r="S96" s="98">
        <f t="shared" si="49"/>
        <v>17</v>
      </c>
      <c r="T96" s="98" t="str">
        <f t="shared" si="55"/>
        <v>TB271</v>
      </c>
      <c r="U96" s="98" t="str">
        <f t="shared" si="50"/>
        <v>207_1FI</v>
      </c>
      <c r="V96" s="98" t="str">
        <f t="shared" si="41"/>
        <v>a</v>
      </c>
      <c r="W96" s="98" t="str">
        <f t="shared" si="42"/>
        <v>b</v>
      </c>
      <c r="X96" s="98" t="str">
        <f t="shared" si="43"/>
        <v>IE-BUS</v>
      </c>
      <c r="Y96" s="98" t="str">
        <f t="shared" si="54"/>
        <v>--</v>
      </c>
      <c r="Z96" s="98" t="s">
        <v>368</v>
      </c>
      <c r="AA96" s="100" t="str">
        <f t="shared" si="57"/>
        <v>3AEKC-820BC_2_FS202</v>
      </c>
      <c r="AB96" s="102" t="str">
        <f t="shared" si="44"/>
        <v>6A</v>
      </c>
      <c r="AC96" s="102" t="str">
        <f t="shared" si="45"/>
        <v>6B</v>
      </c>
      <c r="AD96" s="98" t="s">
        <v>235</v>
      </c>
      <c r="AE96" s="98" t="s">
        <v>236</v>
      </c>
      <c r="AF96" s="331" t="s">
        <v>369</v>
      </c>
      <c r="AG96" s="98" t="s">
        <v>322</v>
      </c>
      <c r="AH96" s="98" t="str">
        <f t="shared" si="51"/>
        <v>DCS</v>
      </c>
      <c r="AI96" s="331" t="s">
        <v>370</v>
      </c>
      <c r="AJ96" s="191" t="s">
        <v>371</v>
      </c>
      <c r="AK96" s="102"/>
      <c r="AL96" s="102"/>
      <c r="AM96" s="102"/>
      <c r="AN96" s="100"/>
      <c r="AO96" s="100"/>
      <c r="AP96" s="102"/>
      <c r="AQ96" s="76" t="s">
        <v>31</v>
      </c>
      <c r="AR96" s="176"/>
      <c r="AS96" s="100"/>
      <c r="AT96" s="102"/>
      <c r="AU96" s="330" t="s">
        <v>245</v>
      </c>
      <c r="AV96" s="100"/>
      <c r="AW96" s="201"/>
      <c r="AX96" s="201"/>
      <c r="AY96" s="201"/>
      <c r="AZ96" s="201"/>
      <c r="BA96" s="201"/>
      <c r="BB96" s="201"/>
      <c r="BC96" s="201"/>
      <c r="BD96" s="201"/>
      <c r="BE96" s="201"/>
      <c r="BF96" s="201"/>
      <c r="BG96" s="201"/>
      <c r="BH96" s="201"/>
      <c r="BI96" s="201"/>
      <c r="BJ96" s="201"/>
      <c r="BK96" s="201"/>
      <c r="BL96" s="201"/>
      <c r="BM96" s="201"/>
      <c r="BN96" s="201"/>
      <c r="BO96" s="201"/>
      <c r="BP96" s="201"/>
      <c r="BQ96" s="201"/>
      <c r="BR96" s="201"/>
      <c r="BS96" s="201"/>
      <c r="BT96" s="201"/>
      <c r="BU96" s="201"/>
      <c r="BV96" s="201"/>
      <c r="BW96" s="201"/>
      <c r="BX96" s="201"/>
      <c r="BY96" s="201"/>
      <c r="BZ96" s="201"/>
      <c r="CA96" s="201"/>
      <c r="CB96" s="201"/>
      <c r="CC96" s="201"/>
      <c r="CD96" s="98" t="str">
        <f t="shared" si="52"/>
        <v/>
      </c>
    </row>
    <row r="97" s="123" customFormat="1" ht="21" customHeight="1" spans="1:82">
      <c r="A97" s="93">
        <v>95</v>
      </c>
      <c r="B97" s="334" t="s">
        <v>405</v>
      </c>
      <c r="C97" s="342" t="s">
        <v>365</v>
      </c>
      <c r="D97" s="100" t="str">
        <f t="shared" si="53"/>
        <v>R3AEAB048PO_QF</v>
      </c>
      <c r="E97" s="335" t="s">
        <v>366</v>
      </c>
      <c r="F97" s="100" t="s">
        <v>234</v>
      </c>
      <c r="G97" s="331" t="s">
        <v>400</v>
      </c>
      <c r="H97" s="330" t="s">
        <v>124</v>
      </c>
      <c r="I97" s="98" t="str">
        <f t="shared" si="46"/>
        <v>FF211</v>
      </c>
      <c r="J97" s="98" t="str">
        <f t="shared" si="47"/>
        <v>207FF</v>
      </c>
      <c r="K97" s="100" t="str">
        <f t="shared" si="48"/>
        <v>3AEKC003AR207FF</v>
      </c>
      <c r="L97" s="102">
        <v>2</v>
      </c>
      <c r="M97" s="102">
        <v>7</v>
      </c>
      <c r="N97" s="102">
        <v>1</v>
      </c>
      <c r="O97" s="183">
        <v>2</v>
      </c>
      <c r="P97" s="102">
        <v>7</v>
      </c>
      <c r="Q97" s="98"/>
      <c r="R97" s="98"/>
      <c r="S97" s="98">
        <f t="shared" si="49"/>
        <v>17</v>
      </c>
      <c r="T97" s="98" t="str">
        <f t="shared" si="55"/>
        <v>TB271</v>
      </c>
      <c r="U97" s="98" t="str">
        <f t="shared" si="50"/>
        <v>207_1FI</v>
      </c>
      <c r="V97" s="98" t="str">
        <f t="shared" si="41"/>
        <v>a</v>
      </c>
      <c r="W97" s="98" t="str">
        <f t="shared" si="42"/>
        <v>b</v>
      </c>
      <c r="X97" s="98" t="str">
        <f t="shared" si="43"/>
        <v>IE-BUS</v>
      </c>
      <c r="Y97" s="98" t="str">
        <f t="shared" si="54"/>
        <v>--</v>
      </c>
      <c r="Z97" s="98" t="s">
        <v>368</v>
      </c>
      <c r="AA97" s="100" t="str">
        <f t="shared" si="57"/>
        <v>3AEKC-820BC_2_FS202</v>
      </c>
      <c r="AB97" s="102" t="str">
        <f t="shared" si="44"/>
        <v>7A</v>
      </c>
      <c r="AC97" s="102" t="str">
        <f t="shared" si="45"/>
        <v>7B</v>
      </c>
      <c r="AD97" s="98" t="s">
        <v>235</v>
      </c>
      <c r="AE97" s="98" t="s">
        <v>236</v>
      </c>
      <c r="AF97" s="331" t="s">
        <v>369</v>
      </c>
      <c r="AG97" s="98" t="s">
        <v>322</v>
      </c>
      <c r="AH97" s="98" t="str">
        <f t="shared" si="51"/>
        <v>DCS</v>
      </c>
      <c r="AI97" s="331" t="s">
        <v>370</v>
      </c>
      <c r="AJ97" s="191" t="s">
        <v>371</v>
      </c>
      <c r="AK97" s="102"/>
      <c r="AL97" s="102"/>
      <c r="AM97" s="102"/>
      <c r="AN97" s="100"/>
      <c r="AO97" s="100"/>
      <c r="AP97" s="102"/>
      <c r="AQ97" s="76" t="s">
        <v>31</v>
      </c>
      <c r="AR97" s="176"/>
      <c r="AS97" s="100"/>
      <c r="AT97" s="102"/>
      <c r="AU97" s="330" t="s">
        <v>245</v>
      </c>
      <c r="AV97" s="100"/>
      <c r="AW97" s="201"/>
      <c r="AX97" s="201"/>
      <c r="AY97" s="201"/>
      <c r="AZ97" s="201"/>
      <c r="BA97" s="201"/>
      <c r="BB97" s="201"/>
      <c r="BC97" s="201"/>
      <c r="BD97" s="201"/>
      <c r="BE97" s="201"/>
      <c r="BF97" s="201"/>
      <c r="BG97" s="201"/>
      <c r="BH97" s="201"/>
      <c r="BI97" s="201"/>
      <c r="BJ97" s="201"/>
      <c r="BK97" s="201"/>
      <c r="BL97" s="201"/>
      <c r="BM97" s="201"/>
      <c r="BN97" s="201"/>
      <c r="BO97" s="201"/>
      <c r="BP97" s="201"/>
      <c r="BQ97" s="201"/>
      <c r="BR97" s="201"/>
      <c r="BS97" s="201"/>
      <c r="BT97" s="201"/>
      <c r="BU97" s="201"/>
      <c r="BV97" s="201"/>
      <c r="BW97" s="201"/>
      <c r="BX97" s="201"/>
      <c r="BY97" s="201"/>
      <c r="BZ97" s="201"/>
      <c r="CA97" s="201"/>
      <c r="CB97" s="201"/>
      <c r="CC97" s="201"/>
      <c r="CD97" s="98" t="str">
        <f t="shared" si="52"/>
        <v/>
      </c>
    </row>
    <row r="98" s="123" customFormat="1" ht="21" customHeight="1" spans="1:82">
      <c r="A98" s="93">
        <v>96</v>
      </c>
      <c r="B98" s="334" t="s">
        <v>405</v>
      </c>
      <c r="C98" s="342" t="s">
        <v>372</v>
      </c>
      <c r="D98" s="100" t="str">
        <f t="shared" si="53"/>
        <v>R3AEAB048PO_TF</v>
      </c>
      <c r="E98" s="335" t="s">
        <v>373</v>
      </c>
      <c r="F98" s="100" t="s">
        <v>234</v>
      </c>
      <c r="G98" s="331" t="s">
        <v>400</v>
      </c>
      <c r="H98" s="330" t="s">
        <v>124</v>
      </c>
      <c r="I98" s="98" t="str">
        <f t="shared" si="46"/>
        <v>FF211</v>
      </c>
      <c r="J98" s="98" t="str">
        <f t="shared" si="47"/>
        <v>207FF</v>
      </c>
      <c r="K98" s="100" t="str">
        <f t="shared" si="48"/>
        <v>3AEKC003AR207FF</v>
      </c>
      <c r="L98" s="102">
        <v>2</v>
      </c>
      <c r="M98" s="102">
        <v>7</v>
      </c>
      <c r="N98" s="102">
        <v>1</v>
      </c>
      <c r="O98" s="183">
        <v>2</v>
      </c>
      <c r="P98" s="102">
        <v>8</v>
      </c>
      <c r="Q98" s="98"/>
      <c r="R98" s="98"/>
      <c r="S98" s="98">
        <f t="shared" si="49"/>
        <v>17</v>
      </c>
      <c r="T98" s="98" t="str">
        <f t="shared" si="55"/>
        <v>TB271</v>
      </c>
      <c r="U98" s="98" t="str">
        <f t="shared" si="50"/>
        <v>207_1FI</v>
      </c>
      <c r="V98" s="98" t="str">
        <f t="shared" si="41"/>
        <v>a</v>
      </c>
      <c r="W98" s="98" t="str">
        <f t="shared" si="42"/>
        <v>b</v>
      </c>
      <c r="X98" s="98" t="str">
        <f t="shared" si="43"/>
        <v>IE-BUS</v>
      </c>
      <c r="Y98" s="98" t="str">
        <f t="shared" si="54"/>
        <v>--</v>
      </c>
      <c r="Z98" s="98" t="s">
        <v>368</v>
      </c>
      <c r="AA98" s="100" t="str">
        <f t="shared" si="57"/>
        <v>3AEKC-820BC_2_FS202</v>
      </c>
      <c r="AB98" s="102" t="str">
        <f t="shared" si="44"/>
        <v>8A</v>
      </c>
      <c r="AC98" s="102" t="str">
        <f t="shared" si="45"/>
        <v>8B</v>
      </c>
      <c r="AD98" s="98" t="s">
        <v>235</v>
      </c>
      <c r="AE98" s="98" t="s">
        <v>236</v>
      </c>
      <c r="AF98" s="331" t="s">
        <v>369</v>
      </c>
      <c r="AG98" s="98" t="s">
        <v>322</v>
      </c>
      <c r="AH98" s="98" t="str">
        <f t="shared" si="51"/>
        <v>DCS</v>
      </c>
      <c r="AI98" s="331" t="s">
        <v>370</v>
      </c>
      <c r="AJ98" s="191" t="s">
        <v>371</v>
      </c>
      <c r="AK98" s="102"/>
      <c r="AL98" s="102"/>
      <c r="AM98" s="102"/>
      <c r="AN98" s="100"/>
      <c r="AO98" s="100"/>
      <c r="AP98" s="102"/>
      <c r="AQ98" s="76" t="s">
        <v>31</v>
      </c>
      <c r="AR98" s="176"/>
      <c r="AS98" s="100"/>
      <c r="AT98" s="102"/>
      <c r="AU98" s="330" t="s">
        <v>245</v>
      </c>
      <c r="AV98" s="100"/>
      <c r="AW98" s="201"/>
      <c r="AX98" s="201"/>
      <c r="AY98" s="201"/>
      <c r="AZ98" s="201"/>
      <c r="BA98" s="201"/>
      <c r="BB98" s="201"/>
      <c r="BC98" s="201"/>
      <c r="BD98" s="201"/>
      <c r="BE98" s="201"/>
      <c r="BF98" s="201"/>
      <c r="BG98" s="201"/>
      <c r="BH98" s="201"/>
      <c r="BI98" s="201"/>
      <c r="BJ98" s="201"/>
      <c r="BK98" s="201"/>
      <c r="BL98" s="201"/>
      <c r="BM98" s="201"/>
      <c r="BN98" s="201"/>
      <c r="BO98" s="201"/>
      <c r="BP98" s="201"/>
      <c r="BQ98" s="201"/>
      <c r="BR98" s="201"/>
      <c r="BS98" s="201"/>
      <c r="BT98" s="201"/>
      <c r="BU98" s="201"/>
      <c r="BV98" s="201"/>
      <c r="BW98" s="201"/>
      <c r="BX98" s="201"/>
      <c r="BY98" s="201"/>
      <c r="BZ98" s="201"/>
      <c r="CA98" s="201"/>
      <c r="CB98" s="201"/>
      <c r="CC98" s="201"/>
      <c r="CD98" s="98" t="str">
        <f t="shared" si="52"/>
        <v/>
      </c>
    </row>
    <row r="99" s="123" customFormat="1" ht="21" customHeight="1" spans="1:82">
      <c r="A99" s="93">
        <v>97</v>
      </c>
      <c r="B99" s="334" t="s">
        <v>405</v>
      </c>
      <c r="C99" s="342" t="s">
        <v>374</v>
      </c>
      <c r="D99" s="100" t="str">
        <f t="shared" si="53"/>
        <v>R3AEAB048PO_GZ</v>
      </c>
      <c r="E99" s="335" t="s">
        <v>375</v>
      </c>
      <c r="F99" s="100" t="s">
        <v>234</v>
      </c>
      <c r="G99" s="331" t="s">
        <v>400</v>
      </c>
      <c r="H99" s="330" t="s">
        <v>124</v>
      </c>
      <c r="I99" s="98" t="str">
        <f t="shared" si="46"/>
        <v>FF211</v>
      </c>
      <c r="J99" s="98" t="str">
        <f t="shared" si="47"/>
        <v>207FF</v>
      </c>
      <c r="K99" s="100" t="str">
        <f t="shared" si="48"/>
        <v>3AEKC003AR207FF</v>
      </c>
      <c r="L99" s="102">
        <v>2</v>
      </c>
      <c r="M99" s="102">
        <v>7</v>
      </c>
      <c r="N99" s="102">
        <v>1</v>
      </c>
      <c r="O99" s="183">
        <v>2</v>
      </c>
      <c r="P99" s="102">
        <v>9</v>
      </c>
      <c r="Q99" s="98"/>
      <c r="R99" s="98"/>
      <c r="S99" s="98">
        <f t="shared" si="49"/>
        <v>17</v>
      </c>
      <c r="T99" s="98" t="str">
        <f t="shared" si="55"/>
        <v>TB271</v>
      </c>
      <c r="U99" s="98" t="str">
        <f t="shared" si="50"/>
        <v>207_1FI</v>
      </c>
      <c r="V99" s="98" t="str">
        <f t="shared" si="41"/>
        <v>a</v>
      </c>
      <c r="W99" s="98" t="str">
        <f t="shared" si="42"/>
        <v>b</v>
      </c>
      <c r="X99" s="98" t="str">
        <f t="shared" si="43"/>
        <v>IE-BUS</v>
      </c>
      <c r="Y99" s="98" t="str">
        <f t="shared" si="54"/>
        <v>--</v>
      </c>
      <c r="Z99" s="98" t="s">
        <v>368</v>
      </c>
      <c r="AA99" s="100" t="str">
        <f t="shared" si="57"/>
        <v>3AEKC-820BC_2_FS202</v>
      </c>
      <c r="AB99" s="102" t="str">
        <f t="shared" si="44"/>
        <v>9A</v>
      </c>
      <c r="AC99" s="102" t="str">
        <f t="shared" si="45"/>
        <v>9B</v>
      </c>
      <c r="AD99" s="98" t="s">
        <v>235</v>
      </c>
      <c r="AE99" s="98" t="s">
        <v>236</v>
      </c>
      <c r="AF99" s="331" t="s">
        <v>369</v>
      </c>
      <c r="AG99" s="98" t="s">
        <v>322</v>
      </c>
      <c r="AH99" s="98" t="str">
        <f t="shared" si="51"/>
        <v>DCS</v>
      </c>
      <c r="AI99" s="331" t="s">
        <v>370</v>
      </c>
      <c r="AJ99" s="191" t="s">
        <v>371</v>
      </c>
      <c r="AK99" s="102"/>
      <c r="AL99" s="102"/>
      <c r="AM99" s="102"/>
      <c r="AN99" s="100"/>
      <c r="AO99" s="100"/>
      <c r="AP99" s="102"/>
      <c r="AQ99" s="76" t="s">
        <v>31</v>
      </c>
      <c r="AR99" s="176"/>
      <c r="AS99" s="100"/>
      <c r="AT99" s="102"/>
      <c r="AU99" s="330" t="s">
        <v>245</v>
      </c>
      <c r="AV99" s="100"/>
      <c r="AW99" s="201"/>
      <c r="AX99" s="201"/>
      <c r="AY99" s="201"/>
      <c r="AZ99" s="201"/>
      <c r="BA99" s="201"/>
      <c r="BB99" s="201"/>
      <c r="BC99" s="201"/>
      <c r="BD99" s="201"/>
      <c r="BE99" s="201"/>
      <c r="BF99" s="201"/>
      <c r="BG99" s="201"/>
      <c r="BH99" s="201"/>
      <c r="BI99" s="201"/>
      <c r="BJ99" s="201"/>
      <c r="BK99" s="201"/>
      <c r="BL99" s="201"/>
      <c r="BM99" s="201"/>
      <c r="BN99" s="201"/>
      <c r="BO99" s="201"/>
      <c r="BP99" s="201"/>
      <c r="BQ99" s="201"/>
      <c r="BR99" s="201"/>
      <c r="BS99" s="201"/>
      <c r="BT99" s="201"/>
      <c r="BU99" s="201"/>
      <c r="BV99" s="201"/>
      <c r="BW99" s="201"/>
      <c r="BX99" s="201"/>
      <c r="BY99" s="201"/>
      <c r="BZ99" s="201"/>
      <c r="CA99" s="201"/>
      <c r="CB99" s="201"/>
      <c r="CC99" s="201"/>
      <c r="CD99" s="98" t="str">
        <f t="shared" si="52"/>
        <v/>
      </c>
    </row>
    <row r="100" s="123" customFormat="1" ht="21" customHeight="1" spans="1:82">
      <c r="A100" s="93">
        <v>98</v>
      </c>
      <c r="B100" s="334" t="s">
        <v>403</v>
      </c>
      <c r="C100" s="342" t="s">
        <v>377</v>
      </c>
      <c r="D100" s="100" t="str">
        <f t="shared" si="53"/>
        <v>R3AEAB046PO_Q</v>
      </c>
      <c r="E100" s="335" t="s">
        <v>378</v>
      </c>
      <c r="F100" s="100" t="s">
        <v>234</v>
      </c>
      <c r="G100" s="331" t="s">
        <v>400</v>
      </c>
      <c r="H100" s="330" t="s">
        <v>124</v>
      </c>
      <c r="I100" s="98" t="str">
        <f t="shared" si="46"/>
        <v>FF211</v>
      </c>
      <c r="J100" s="98" t="str">
        <f t="shared" si="47"/>
        <v>207FF</v>
      </c>
      <c r="K100" s="100" t="str">
        <f t="shared" si="48"/>
        <v>3AEKC003AR207FF</v>
      </c>
      <c r="L100" s="102">
        <v>2</v>
      </c>
      <c r="M100" s="102">
        <v>7</v>
      </c>
      <c r="N100" s="102">
        <v>1</v>
      </c>
      <c r="O100" s="183">
        <v>2</v>
      </c>
      <c r="P100" s="102">
        <v>11</v>
      </c>
      <c r="Q100" s="98"/>
      <c r="R100" s="98"/>
      <c r="S100" s="98">
        <f t="shared" si="49"/>
        <v>17</v>
      </c>
      <c r="T100" s="98" t="str">
        <f t="shared" si="55"/>
        <v>TB271</v>
      </c>
      <c r="U100" s="98" t="str">
        <f t="shared" si="50"/>
        <v>207_1FI</v>
      </c>
      <c r="V100" s="98" t="str">
        <f t="shared" ref="V100:V131" si="58">IF(OR(T100="TB221",T100="TB222",T100="TB242",T100="TB243",T100="TB246"),N100&amp;"A",IF(AND(OR(T100="TB231",T100="TB232",T100="TB233"),OR(AN100="",AN100="NO")),N100&amp;"B",IF(AND(OR(T100="TB231",T100="TB232",T100="TB233"),AN100="NC"),N100&amp;"A",IF(AND(T100="TB241",OR(I100="AI212",I100="AI216")),N100&amp;CHOOSE(MID(AI100,3,1),"B","A","A","A","A","B"),IF(AND(T100="TB244",I100="AO215"),N100*2+22,IF(AND(T100="TB244",I100="PI211"),(N100-1)*4+2,IF(AND(T100="TB244",I100="MD211"),CHOOSE(N100,"8","28"),IF(T100="TB271","a",IF(OR(T100="TB272",T100="TB271"),"--",IF(T100="TB251",N100&amp;"B",IF(T100="--","--","Err")))))))))))</f>
        <v>a</v>
      </c>
      <c r="W100" s="98" t="str">
        <f t="shared" ref="W100:W131" si="59">IF(OR(T100="TB221",T100="TB222",T100="TB242",T100="TB246"),N100&amp;"B",IF(OR(T100="TB231",T100="TB233",T100="TB251"),N100&amp;"C",IF(AND(T100="TB241",OR(I100="AI212",I100="AI216")),N100&amp;CHOOSE(MID(AI100,3,1),"A","C","C","C","C","A"),IF(AND(T100="TB244",I100="AO215"),N100*2+19,IF(AND(T100="TB244",I100="PI211"),N100*4,IF(AND(T100="TB244",I100="MD211"),CHOOSE(N100,"12","32"),IF(T100="TB271","b",IF(OR(T100="TB272",T100="TB271"),"--",IF(T100="--","--","Err")))))))))</f>
        <v>b</v>
      </c>
      <c r="X100" s="98" t="str">
        <f t="shared" ref="X100:X131" si="60">IF(T100="TB271","IE-BUS",IF(OR(AI100="AI7",AI100="AI8",AI100="AI9"),N100&amp;"C",IF(AND(T100="TB244",I100="MD211"),"GND:"&amp;CHOOSE(N100,"10","30"),"--")))</f>
        <v>IE-BUS</v>
      </c>
      <c r="Y100" s="98" t="str">
        <f t="shared" si="54"/>
        <v>--</v>
      </c>
      <c r="Z100" s="98" t="s">
        <v>368</v>
      </c>
      <c r="AA100" s="100" t="str">
        <f t="shared" si="57"/>
        <v>3AEKC-820BC_2_FS202</v>
      </c>
      <c r="AB100" s="102" t="str">
        <f t="shared" ref="AB100:AB131" si="61">IF(IFERROR(SEARCH("FS",Z100),-1)&gt;0,IF(AND(IFERROR(SEARCH("A",AF100),-1)&gt;0,IFERROR(SEARCH("四",AJ100),-1)&gt;0),P100&amp;"A",IF(IFERROR(SEARCH("AI",AF100),-1)&gt;0,P100&amp;"B",IF(IFERROR(SEARCH("AO",AF100),-1)&gt;0,P100&amp;"C",IF(IFERROR(SEARCH("DI",AF100),-1)&gt;0,P100&amp;"A",IF(AND(IFERROR(SEARCH("DO",AF100),-1)&gt;0,IFERROR(SEARCH("NC",AN100),-1)&gt;0),P100&amp;"A",IF(IFERROR(SEARCH("DO",AF100),-1)&gt;0,P100&amp;"B","--")))))),"--")</f>
        <v>11B</v>
      </c>
      <c r="AC100" s="102" t="str">
        <f t="shared" ref="AC100:AC131" si="62">IF(IFERROR(SEARCH("FS",Z100),-1)&gt;0,IF(AND(IFERROR(SEARCH("A",AF100),-1)&gt;0,IFERROR(SEARCH("四",AJ100),-1)&gt;0),P100&amp;"C",IF(IFERROR(SEARCH("AI",AF100),-1)&gt;0,P100&amp;"A",IF(IFERROR(SEARCH("AO",AF100),-1)&gt;0,P100&amp;"B",IF(IFERROR(SEARCH("DI",AF100),-1)&gt;0,P100&amp;"B",IF(AND(IFERROR(SEARCH("DO",AF100),-1)&gt;0,IFERROR(SEARCH("无源",AJ100),-1)&gt;0),P100&amp;"C",IF(IFERROR(SEARCH("DO",AF100),-1)&gt;0,P100&amp;"D","--")))))),"--")</f>
        <v>11D</v>
      </c>
      <c r="AD100" s="98" t="s">
        <v>235</v>
      </c>
      <c r="AE100" s="98" t="s">
        <v>236</v>
      </c>
      <c r="AF100" s="331" t="s">
        <v>379</v>
      </c>
      <c r="AG100" s="98" t="s">
        <v>322</v>
      </c>
      <c r="AH100" s="98" t="str">
        <f t="shared" si="51"/>
        <v>DCS</v>
      </c>
      <c r="AI100" s="331" t="s">
        <v>380</v>
      </c>
      <c r="AJ100" s="191" t="s">
        <v>371</v>
      </c>
      <c r="AK100" s="102"/>
      <c r="AL100" s="102"/>
      <c r="AM100" s="102"/>
      <c r="AN100" s="100"/>
      <c r="AO100" s="100"/>
      <c r="AP100" s="102"/>
      <c r="AQ100" s="76" t="s">
        <v>31</v>
      </c>
      <c r="AR100" s="176"/>
      <c r="AS100" s="100"/>
      <c r="AT100" s="102"/>
      <c r="AU100" s="330" t="s">
        <v>245</v>
      </c>
      <c r="AV100" s="100"/>
      <c r="AW100" s="201"/>
      <c r="AX100" s="201"/>
      <c r="AY100" s="201"/>
      <c r="AZ100" s="201"/>
      <c r="BA100" s="201"/>
      <c r="BB100" s="201"/>
      <c r="BC100" s="201"/>
      <c r="BD100" s="201"/>
      <c r="BE100" s="201"/>
      <c r="BF100" s="201"/>
      <c r="BG100" s="201"/>
      <c r="BH100" s="201"/>
      <c r="BI100" s="201"/>
      <c r="BJ100" s="201"/>
      <c r="BK100" s="201"/>
      <c r="BL100" s="201"/>
      <c r="BM100" s="201"/>
      <c r="BN100" s="201"/>
      <c r="BO100" s="201"/>
      <c r="BP100" s="201"/>
      <c r="BQ100" s="201"/>
      <c r="BR100" s="201"/>
      <c r="BS100" s="201"/>
      <c r="BT100" s="201"/>
      <c r="BU100" s="201"/>
      <c r="BV100" s="201"/>
      <c r="BW100" s="201"/>
      <c r="BX100" s="201"/>
      <c r="BY100" s="201"/>
      <c r="BZ100" s="201"/>
      <c r="CA100" s="201"/>
      <c r="CB100" s="201"/>
      <c r="CC100" s="201"/>
      <c r="CD100" s="98" t="str">
        <f t="shared" si="52"/>
        <v/>
      </c>
    </row>
    <row r="101" s="123" customFormat="1" ht="21" customHeight="1" spans="1:82">
      <c r="A101" s="93">
        <v>99</v>
      </c>
      <c r="B101" s="334" t="s">
        <v>403</v>
      </c>
      <c r="C101" s="342" t="s">
        <v>381</v>
      </c>
      <c r="D101" s="100" t="str">
        <f t="shared" si="53"/>
        <v>R3AEAB046PO_T</v>
      </c>
      <c r="E101" s="335" t="s">
        <v>382</v>
      </c>
      <c r="F101" s="100" t="s">
        <v>234</v>
      </c>
      <c r="G101" s="331" t="s">
        <v>400</v>
      </c>
      <c r="H101" s="330" t="s">
        <v>124</v>
      </c>
      <c r="I101" s="98" t="str">
        <f t="shared" ref="I101:I132" si="63">IF(IFERROR(SEARCH("TCP",AG101),-1)&gt;0,"MD216",IF(IFERROR(SEARCH("RTU",AG101),-1)&gt;0,"MD211",IF(OR(IFERROR(SEARCH("DP",AG101),-1)&gt;0,IFERROR(SEARCH("PROFIBUS",AG101),-1)&gt;0),"DP211",IF(IFERROR(SEARCH("FF",AG101),-1)&gt;0,"FF211",IF(AND(AF101="AI",IFERROR(SEARCH("NH",AI101),-1)&gt;0),"AI212",IF(AND(AF101="AI",IFERROR(SEARCH("4*20mA",AG101),-1)&gt;0),"AI216",IF(AND(AF101="AI",IFERROR(SEARCH("TC",AG101),-1)&gt;0),"AI221",IF(AND(AF101="AI",IFERROR(SEARCH("PT",AG101),-1)&gt;0),"AI232",IF(AND(AF101="AO",OR(AI101="AO1",AI101="AO2")),"AO211",IF(AND(AF101="AO",AI101="AOH"),"AO215",IF(OR(AF101="PI",AE101="P"),"PI211",IF(AF101="DI","DI211",IF(AF101="DO","DO211",IF(IFERROR(SEARCH("OPC",AG101),-1)&gt;0,"--","未知板卡"))))))))))))))</f>
        <v>FF211</v>
      </c>
      <c r="J101" s="98" t="str">
        <f t="shared" ref="J101:J132" si="64">IF(I101="--","--",L101&amp;TEXT(M101,"00")&amp;IF(I101="AI232","RTD",IF(I101="AI221","TC",LEFT(I101,2))))</f>
        <v>207FF</v>
      </c>
      <c r="K101" s="100" t="str">
        <f t="shared" ref="K101:K132" si="65">IF(I101="--","--",H101&amp;J101)</f>
        <v>3AEKC003AR207FF</v>
      </c>
      <c r="L101" s="102">
        <v>2</v>
      </c>
      <c r="M101" s="102">
        <v>7</v>
      </c>
      <c r="N101" s="102">
        <v>1</v>
      </c>
      <c r="O101" s="183">
        <v>2</v>
      </c>
      <c r="P101" s="102">
        <v>12</v>
      </c>
      <c r="Q101" s="98"/>
      <c r="R101" s="98"/>
      <c r="S101" s="98">
        <f t="shared" ref="S101:S132" si="66">IF(I101="--","--",(L101-1)*10+M101)</f>
        <v>17</v>
      </c>
      <c r="T101" s="98" t="str">
        <f t="shared" si="55"/>
        <v>TB271</v>
      </c>
      <c r="U101" s="98" t="str">
        <f t="shared" ref="U101:U132" si="67">IF(I101="FF211",L101&amp;TEXT(M101,"00")&amp;"_"&amp;N101&amp;"FI",IF(OR(I101="MD216",I101="--"),"--",L101&amp;TEXT(M101,"00")&amp;"BN"))</f>
        <v>207_1FI</v>
      </c>
      <c r="V101" s="98" t="str">
        <f t="shared" si="58"/>
        <v>a</v>
      </c>
      <c r="W101" s="98" t="str">
        <f t="shared" si="59"/>
        <v>b</v>
      </c>
      <c r="X101" s="98" t="str">
        <f t="shared" si="60"/>
        <v>IE-BUS</v>
      </c>
      <c r="Y101" s="98" t="str">
        <f t="shared" si="54"/>
        <v>--</v>
      </c>
      <c r="Z101" s="98" t="s">
        <v>368</v>
      </c>
      <c r="AA101" s="100" t="str">
        <f t="shared" si="57"/>
        <v>3AEKC-820BC_2_FS202</v>
      </c>
      <c r="AB101" s="102" t="str">
        <f t="shared" si="61"/>
        <v>12B</v>
      </c>
      <c r="AC101" s="102" t="str">
        <f t="shared" si="62"/>
        <v>12D</v>
      </c>
      <c r="AD101" s="98" t="s">
        <v>235</v>
      </c>
      <c r="AE101" s="98" t="s">
        <v>236</v>
      </c>
      <c r="AF101" s="331" t="s">
        <v>379</v>
      </c>
      <c r="AG101" s="98" t="s">
        <v>322</v>
      </c>
      <c r="AH101" s="98" t="str">
        <f t="shared" ref="AH101:AH132" si="68">IF(OR(IFERROR(SEARCH("TCP",AG101),-1)&gt;0,IFERROR(SEARCH("RTU",AG101),-1)&gt;0),"--",IF(LEFT(AI101,2)="AI",CHOOSE(MID(AI101,3,IF(IFERROR(SEARCH("NH",AI101),-1)&gt;0,"1",LEN(AI101)-1)),"DCS","DCS(提供24VDC)","DCS(提供220VAC)","USER","USER","DCS(提供220VAC)","DCS","DCS","DCS","DCS"),IF(LEFT(AI101,2)="AO","DCS",IF(LEFT(AI101,1)="P",CHOOSE(MID(AI101,2,LEN(AI101)-1),"DCS(提供24VDC)","DCS(提供220VAC)","USER"),IF(LEFT(AI101,2)="DI",CHOOSE(MID(AI101,3,LEN(AI101)-1),"DCS","DCS(提供24VDC)","DCS(提供220VAC)","USER","USER","DCS(提供24VDC)"),IF(LEFT(AI101,2)="DO",CHOOSE(MID(AI101,3,LEN(AI101)-1),"DCS","DCS(提供24VDC)","DCS(提供220VAC)","USER","USER"),IF(LEFT(AI101,2)="FF",CHOOSE(MID(AI101,3,LEN(AI101)-1),"DCS","DCS(提供24VDC)","DCS(提供220VAC)","USER","USER","DCS","DCS","DCS"),IF(LEFT(AI101,2)="DP","DCS(提供220VAC)",IF(IFERROR(SEARCH("DP",AG101),-1)&gt;0,"--",IF(IFERROR(SEARCH("OPC",AG101),-1)&gt;0,"--","Err"))))))))))</f>
        <v>DCS</v>
      </c>
      <c r="AI101" s="331" t="s">
        <v>380</v>
      </c>
      <c r="AJ101" s="191" t="s">
        <v>371</v>
      </c>
      <c r="AK101" s="102"/>
      <c r="AL101" s="102"/>
      <c r="AM101" s="102"/>
      <c r="AN101" s="100"/>
      <c r="AO101" s="100"/>
      <c r="AP101" s="102"/>
      <c r="AQ101" s="76" t="s">
        <v>31</v>
      </c>
      <c r="AR101" s="176"/>
      <c r="AS101" s="100"/>
      <c r="AT101" s="102"/>
      <c r="AU101" s="330" t="s">
        <v>245</v>
      </c>
      <c r="AV101" s="100"/>
      <c r="AW101" s="201"/>
      <c r="AX101" s="201"/>
      <c r="AY101" s="201"/>
      <c r="AZ101" s="201"/>
      <c r="BA101" s="201"/>
      <c r="BB101" s="201"/>
      <c r="BC101" s="201"/>
      <c r="BD101" s="201"/>
      <c r="BE101" s="201"/>
      <c r="BF101" s="201"/>
      <c r="BG101" s="201"/>
      <c r="BH101" s="201"/>
      <c r="BI101" s="201"/>
      <c r="BJ101" s="201"/>
      <c r="BK101" s="201"/>
      <c r="BL101" s="201"/>
      <c r="BM101" s="201"/>
      <c r="BN101" s="201"/>
      <c r="BO101" s="201"/>
      <c r="BP101" s="201"/>
      <c r="BQ101" s="201"/>
      <c r="BR101" s="201"/>
      <c r="BS101" s="201"/>
      <c r="BT101" s="201"/>
      <c r="BU101" s="201"/>
      <c r="BV101" s="201"/>
      <c r="BW101" s="201"/>
      <c r="BX101" s="201"/>
      <c r="BY101" s="201"/>
      <c r="BZ101" s="201"/>
      <c r="CA101" s="201"/>
      <c r="CB101" s="201"/>
      <c r="CC101" s="201"/>
      <c r="CD101" s="98" t="str">
        <f t="shared" ref="CD101:CD132" si="69">IF(AM101="","",IF(AK101="r/min",0,IF(ABS(AM101-AL101)&lt;=10,3,IF(AND((10&lt;ABS(AM101-AL101)),(ABS(AM101-AL101)&lt;=100)),2,IF(100&lt;ABS(AM101-AL101),1,"")))))</f>
        <v/>
      </c>
    </row>
    <row r="102" s="123" customFormat="1" ht="21" customHeight="1" spans="1:82">
      <c r="A102" s="93">
        <v>100</v>
      </c>
      <c r="B102" s="334" t="s">
        <v>404</v>
      </c>
      <c r="C102" s="342" t="s">
        <v>377</v>
      </c>
      <c r="D102" s="100" t="str">
        <f t="shared" ref="D102:D133" si="70">IF(CLEAN(B102)="","","R")&amp;SUBSTITUTE(TRIM(B102),"-","")&amp;IF(CLEAN(C102)="","","_"&amp;C102)</f>
        <v>R3AEAB047PO_Q</v>
      </c>
      <c r="E102" s="335" t="s">
        <v>378</v>
      </c>
      <c r="F102" s="100" t="s">
        <v>234</v>
      </c>
      <c r="G102" s="331" t="s">
        <v>400</v>
      </c>
      <c r="H102" s="330" t="s">
        <v>124</v>
      </c>
      <c r="I102" s="98" t="str">
        <f t="shared" si="63"/>
        <v>FF211</v>
      </c>
      <c r="J102" s="98" t="str">
        <f t="shared" si="64"/>
        <v>207FF</v>
      </c>
      <c r="K102" s="100" t="str">
        <f t="shared" si="65"/>
        <v>3AEKC003AR207FF</v>
      </c>
      <c r="L102" s="102">
        <v>2</v>
      </c>
      <c r="M102" s="102">
        <v>7</v>
      </c>
      <c r="N102" s="102">
        <v>1</v>
      </c>
      <c r="O102" s="183">
        <v>2</v>
      </c>
      <c r="P102" s="102">
        <v>13</v>
      </c>
      <c r="Q102" s="98"/>
      <c r="R102" s="98"/>
      <c r="S102" s="98">
        <f t="shared" si="66"/>
        <v>17</v>
      </c>
      <c r="T102" s="98" t="str">
        <f t="shared" si="55"/>
        <v>TB271</v>
      </c>
      <c r="U102" s="98" t="str">
        <f t="shared" si="67"/>
        <v>207_1FI</v>
      </c>
      <c r="V102" s="98" t="str">
        <f t="shared" si="58"/>
        <v>a</v>
      </c>
      <c r="W102" s="98" t="str">
        <f t="shared" si="59"/>
        <v>b</v>
      </c>
      <c r="X102" s="98" t="str">
        <f t="shared" si="60"/>
        <v>IE-BUS</v>
      </c>
      <c r="Y102" s="98" t="str">
        <f t="shared" si="54"/>
        <v>--</v>
      </c>
      <c r="Z102" s="98" t="s">
        <v>368</v>
      </c>
      <c r="AA102" s="100" t="str">
        <f t="shared" ref="AA102:AA125" si="71">IF(IFERROR(SEARCH("FS",Z102),-1)&gt;0,G102&amp;"_"&amp;O102&amp;"_"&amp;Z102,"--")</f>
        <v>3AEKC-820BC_2_FS202</v>
      </c>
      <c r="AB102" s="102" t="str">
        <f t="shared" si="61"/>
        <v>13B</v>
      </c>
      <c r="AC102" s="102" t="str">
        <f t="shared" si="62"/>
        <v>13D</v>
      </c>
      <c r="AD102" s="98" t="s">
        <v>235</v>
      </c>
      <c r="AE102" s="98" t="s">
        <v>236</v>
      </c>
      <c r="AF102" s="331" t="s">
        <v>379</v>
      </c>
      <c r="AG102" s="98" t="s">
        <v>322</v>
      </c>
      <c r="AH102" s="98" t="str">
        <f t="shared" si="68"/>
        <v>DCS</v>
      </c>
      <c r="AI102" s="331" t="s">
        <v>380</v>
      </c>
      <c r="AJ102" s="191" t="s">
        <v>371</v>
      </c>
      <c r="AK102" s="102"/>
      <c r="AL102" s="102"/>
      <c r="AM102" s="102"/>
      <c r="AN102" s="100"/>
      <c r="AO102" s="100"/>
      <c r="AP102" s="102"/>
      <c r="AQ102" s="76" t="s">
        <v>31</v>
      </c>
      <c r="AR102" s="176"/>
      <c r="AS102" s="100"/>
      <c r="AT102" s="102"/>
      <c r="AU102" s="330" t="s">
        <v>245</v>
      </c>
      <c r="AV102" s="100"/>
      <c r="AW102" s="201"/>
      <c r="AX102" s="201"/>
      <c r="AY102" s="201"/>
      <c r="AZ102" s="201"/>
      <c r="BA102" s="201"/>
      <c r="BB102" s="201"/>
      <c r="BC102" s="201"/>
      <c r="BD102" s="201"/>
      <c r="BE102" s="201"/>
      <c r="BF102" s="201"/>
      <c r="BG102" s="201"/>
      <c r="BH102" s="201"/>
      <c r="BI102" s="201"/>
      <c r="BJ102" s="201"/>
      <c r="BK102" s="201"/>
      <c r="BL102" s="201"/>
      <c r="BM102" s="201"/>
      <c r="BN102" s="201"/>
      <c r="BO102" s="201"/>
      <c r="BP102" s="201"/>
      <c r="BQ102" s="201"/>
      <c r="BR102" s="201"/>
      <c r="BS102" s="201"/>
      <c r="BT102" s="201"/>
      <c r="BU102" s="201"/>
      <c r="BV102" s="201"/>
      <c r="BW102" s="201"/>
      <c r="BX102" s="201"/>
      <c r="BY102" s="201"/>
      <c r="BZ102" s="201"/>
      <c r="CA102" s="201"/>
      <c r="CB102" s="201"/>
      <c r="CC102" s="201"/>
      <c r="CD102" s="98" t="str">
        <f t="shared" si="69"/>
        <v/>
      </c>
    </row>
    <row r="103" s="123" customFormat="1" ht="21" customHeight="1" spans="1:82">
      <c r="A103" s="93">
        <v>101</v>
      </c>
      <c r="B103" s="334" t="s">
        <v>404</v>
      </c>
      <c r="C103" s="342" t="s">
        <v>381</v>
      </c>
      <c r="D103" s="100" t="str">
        <f t="shared" si="70"/>
        <v>R3AEAB047PO_T</v>
      </c>
      <c r="E103" s="335" t="s">
        <v>382</v>
      </c>
      <c r="F103" s="100" t="s">
        <v>234</v>
      </c>
      <c r="G103" s="331" t="s">
        <v>400</v>
      </c>
      <c r="H103" s="330" t="s">
        <v>124</v>
      </c>
      <c r="I103" s="98" t="str">
        <f t="shared" si="63"/>
        <v>FF211</v>
      </c>
      <c r="J103" s="98" t="str">
        <f t="shared" si="64"/>
        <v>207FF</v>
      </c>
      <c r="K103" s="100" t="str">
        <f t="shared" si="65"/>
        <v>3AEKC003AR207FF</v>
      </c>
      <c r="L103" s="102">
        <v>2</v>
      </c>
      <c r="M103" s="102">
        <v>7</v>
      </c>
      <c r="N103" s="102">
        <v>1</v>
      </c>
      <c r="O103" s="183">
        <v>2</v>
      </c>
      <c r="P103" s="102">
        <v>14</v>
      </c>
      <c r="Q103" s="98"/>
      <c r="R103" s="98"/>
      <c r="S103" s="98">
        <f t="shared" si="66"/>
        <v>17</v>
      </c>
      <c r="T103" s="98" t="str">
        <f t="shared" si="55"/>
        <v>TB271</v>
      </c>
      <c r="U103" s="98" t="str">
        <f t="shared" si="67"/>
        <v>207_1FI</v>
      </c>
      <c r="V103" s="98" t="str">
        <f t="shared" si="58"/>
        <v>a</v>
      </c>
      <c r="W103" s="98" t="str">
        <f t="shared" si="59"/>
        <v>b</v>
      </c>
      <c r="X103" s="98" t="str">
        <f t="shared" si="60"/>
        <v>IE-BUS</v>
      </c>
      <c r="Y103" s="98" t="str">
        <f t="shared" si="54"/>
        <v>--</v>
      </c>
      <c r="Z103" s="98" t="s">
        <v>368</v>
      </c>
      <c r="AA103" s="100" t="str">
        <f t="shared" si="71"/>
        <v>3AEKC-820BC_2_FS202</v>
      </c>
      <c r="AB103" s="102" t="str">
        <f t="shared" si="61"/>
        <v>14B</v>
      </c>
      <c r="AC103" s="102" t="str">
        <f t="shared" si="62"/>
        <v>14D</v>
      </c>
      <c r="AD103" s="98" t="s">
        <v>235</v>
      </c>
      <c r="AE103" s="98" t="s">
        <v>236</v>
      </c>
      <c r="AF103" s="331" t="s">
        <v>379</v>
      </c>
      <c r="AG103" s="98" t="s">
        <v>322</v>
      </c>
      <c r="AH103" s="98" t="str">
        <f t="shared" si="68"/>
        <v>DCS</v>
      </c>
      <c r="AI103" s="331" t="s">
        <v>380</v>
      </c>
      <c r="AJ103" s="191" t="s">
        <v>371</v>
      </c>
      <c r="AK103" s="102"/>
      <c r="AL103" s="102"/>
      <c r="AM103" s="102"/>
      <c r="AN103" s="100"/>
      <c r="AO103" s="100"/>
      <c r="AP103" s="102"/>
      <c r="AQ103" s="76" t="s">
        <v>31</v>
      </c>
      <c r="AR103" s="176"/>
      <c r="AS103" s="100"/>
      <c r="AT103" s="102"/>
      <c r="AU103" s="330" t="s">
        <v>245</v>
      </c>
      <c r="AV103" s="100"/>
      <c r="AW103" s="201"/>
      <c r="AX103" s="201"/>
      <c r="AY103" s="201"/>
      <c r="AZ103" s="201"/>
      <c r="BA103" s="201"/>
      <c r="BB103" s="201"/>
      <c r="BC103" s="201"/>
      <c r="BD103" s="201"/>
      <c r="BE103" s="201"/>
      <c r="BF103" s="201"/>
      <c r="BG103" s="201"/>
      <c r="BH103" s="201"/>
      <c r="BI103" s="201"/>
      <c r="BJ103" s="201"/>
      <c r="BK103" s="201"/>
      <c r="BL103" s="201"/>
      <c r="BM103" s="201"/>
      <c r="BN103" s="201"/>
      <c r="BO103" s="201"/>
      <c r="BP103" s="201"/>
      <c r="BQ103" s="201"/>
      <c r="BR103" s="201"/>
      <c r="BS103" s="201"/>
      <c r="BT103" s="201"/>
      <c r="BU103" s="201"/>
      <c r="BV103" s="201"/>
      <c r="BW103" s="201"/>
      <c r="BX103" s="201"/>
      <c r="BY103" s="201"/>
      <c r="BZ103" s="201"/>
      <c r="CA103" s="201"/>
      <c r="CB103" s="201"/>
      <c r="CC103" s="201"/>
      <c r="CD103" s="98" t="str">
        <f t="shared" si="69"/>
        <v/>
      </c>
    </row>
    <row r="104" s="123" customFormat="1" ht="21" customHeight="1" spans="1:82">
      <c r="A104" s="93">
        <v>102</v>
      </c>
      <c r="B104" s="334" t="s">
        <v>405</v>
      </c>
      <c r="C104" s="342" t="s">
        <v>377</v>
      </c>
      <c r="D104" s="100" t="str">
        <f t="shared" si="70"/>
        <v>R3AEAB048PO_Q</v>
      </c>
      <c r="E104" s="335" t="s">
        <v>378</v>
      </c>
      <c r="F104" s="100" t="s">
        <v>234</v>
      </c>
      <c r="G104" s="331" t="s">
        <v>400</v>
      </c>
      <c r="H104" s="330" t="s">
        <v>124</v>
      </c>
      <c r="I104" s="98" t="str">
        <f t="shared" si="63"/>
        <v>FF211</v>
      </c>
      <c r="J104" s="98" t="str">
        <f t="shared" si="64"/>
        <v>207FF</v>
      </c>
      <c r="K104" s="100" t="str">
        <f t="shared" si="65"/>
        <v>3AEKC003AR207FF</v>
      </c>
      <c r="L104" s="102">
        <v>2</v>
      </c>
      <c r="M104" s="102">
        <v>7</v>
      </c>
      <c r="N104" s="102">
        <v>1</v>
      </c>
      <c r="O104" s="183">
        <v>2</v>
      </c>
      <c r="P104" s="102">
        <v>15</v>
      </c>
      <c r="Q104" s="98"/>
      <c r="R104" s="98"/>
      <c r="S104" s="98">
        <f t="shared" si="66"/>
        <v>17</v>
      </c>
      <c r="T104" s="98" t="str">
        <f t="shared" si="55"/>
        <v>TB271</v>
      </c>
      <c r="U104" s="98" t="str">
        <f t="shared" si="67"/>
        <v>207_1FI</v>
      </c>
      <c r="V104" s="98" t="str">
        <f t="shared" si="58"/>
        <v>a</v>
      </c>
      <c r="W104" s="98" t="str">
        <f t="shared" si="59"/>
        <v>b</v>
      </c>
      <c r="X104" s="98" t="str">
        <f t="shared" si="60"/>
        <v>IE-BUS</v>
      </c>
      <c r="Y104" s="98" t="str">
        <f t="shared" si="54"/>
        <v>--</v>
      </c>
      <c r="Z104" s="98" t="s">
        <v>368</v>
      </c>
      <c r="AA104" s="100" t="str">
        <f t="shared" si="71"/>
        <v>3AEKC-820BC_2_FS202</v>
      </c>
      <c r="AB104" s="102" t="str">
        <f t="shared" si="61"/>
        <v>15B</v>
      </c>
      <c r="AC104" s="102" t="str">
        <f t="shared" si="62"/>
        <v>15D</v>
      </c>
      <c r="AD104" s="98" t="s">
        <v>235</v>
      </c>
      <c r="AE104" s="98" t="s">
        <v>236</v>
      </c>
      <c r="AF104" s="331" t="s">
        <v>379</v>
      </c>
      <c r="AG104" s="98" t="s">
        <v>322</v>
      </c>
      <c r="AH104" s="98" t="str">
        <f t="shared" si="68"/>
        <v>DCS</v>
      </c>
      <c r="AI104" s="331" t="s">
        <v>380</v>
      </c>
      <c r="AJ104" s="191" t="s">
        <v>371</v>
      </c>
      <c r="AK104" s="102"/>
      <c r="AL104" s="102"/>
      <c r="AM104" s="102"/>
      <c r="AN104" s="100"/>
      <c r="AO104" s="100"/>
      <c r="AP104" s="102"/>
      <c r="AQ104" s="76" t="s">
        <v>31</v>
      </c>
      <c r="AR104" s="176"/>
      <c r="AS104" s="100"/>
      <c r="AT104" s="102"/>
      <c r="AU104" s="330" t="s">
        <v>245</v>
      </c>
      <c r="AV104" s="100"/>
      <c r="AW104" s="201"/>
      <c r="AX104" s="201"/>
      <c r="AY104" s="201"/>
      <c r="AZ104" s="201"/>
      <c r="BA104" s="201"/>
      <c r="BB104" s="201"/>
      <c r="BC104" s="201"/>
      <c r="BD104" s="201"/>
      <c r="BE104" s="201"/>
      <c r="BF104" s="201"/>
      <c r="BG104" s="201"/>
      <c r="BH104" s="201"/>
      <c r="BI104" s="201"/>
      <c r="BJ104" s="201"/>
      <c r="BK104" s="201"/>
      <c r="BL104" s="201"/>
      <c r="BM104" s="201"/>
      <c r="BN104" s="201"/>
      <c r="BO104" s="201"/>
      <c r="BP104" s="201"/>
      <c r="BQ104" s="201"/>
      <c r="BR104" s="201"/>
      <c r="BS104" s="201"/>
      <c r="BT104" s="201"/>
      <c r="BU104" s="201"/>
      <c r="BV104" s="201"/>
      <c r="BW104" s="201"/>
      <c r="BX104" s="201"/>
      <c r="BY104" s="201"/>
      <c r="BZ104" s="201"/>
      <c r="CA104" s="201"/>
      <c r="CB104" s="201"/>
      <c r="CC104" s="201"/>
      <c r="CD104" s="98" t="str">
        <f t="shared" si="69"/>
        <v/>
      </c>
    </row>
    <row r="105" s="123" customFormat="1" ht="21" customHeight="1" spans="1:82">
      <c r="A105" s="93">
        <v>103</v>
      </c>
      <c r="B105" s="334" t="s">
        <v>405</v>
      </c>
      <c r="C105" s="342" t="s">
        <v>381</v>
      </c>
      <c r="D105" s="100" t="str">
        <f t="shared" si="70"/>
        <v>R3AEAB048PO_T</v>
      </c>
      <c r="E105" s="335" t="s">
        <v>382</v>
      </c>
      <c r="F105" s="100" t="s">
        <v>234</v>
      </c>
      <c r="G105" s="331" t="s">
        <v>400</v>
      </c>
      <c r="H105" s="330" t="s">
        <v>124</v>
      </c>
      <c r="I105" s="98" t="str">
        <f t="shared" si="63"/>
        <v>FF211</v>
      </c>
      <c r="J105" s="98" t="str">
        <f t="shared" si="64"/>
        <v>207FF</v>
      </c>
      <c r="K105" s="100" t="str">
        <f t="shared" si="65"/>
        <v>3AEKC003AR207FF</v>
      </c>
      <c r="L105" s="102">
        <v>2</v>
      </c>
      <c r="M105" s="102">
        <v>7</v>
      </c>
      <c r="N105" s="102">
        <v>1</v>
      </c>
      <c r="O105" s="183">
        <v>2</v>
      </c>
      <c r="P105" s="102">
        <v>16</v>
      </c>
      <c r="Q105" s="98"/>
      <c r="R105" s="98"/>
      <c r="S105" s="98">
        <f t="shared" si="66"/>
        <v>17</v>
      </c>
      <c r="T105" s="98" t="str">
        <f t="shared" si="55"/>
        <v>TB271</v>
      </c>
      <c r="U105" s="98" t="str">
        <f t="shared" si="67"/>
        <v>207_1FI</v>
      </c>
      <c r="V105" s="98" t="str">
        <f t="shared" si="58"/>
        <v>a</v>
      </c>
      <c r="W105" s="98" t="str">
        <f t="shared" si="59"/>
        <v>b</v>
      </c>
      <c r="X105" s="98" t="str">
        <f t="shared" si="60"/>
        <v>IE-BUS</v>
      </c>
      <c r="Y105" s="98" t="str">
        <f t="shared" si="54"/>
        <v>--</v>
      </c>
      <c r="Z105" s="98" t="s">
        <v>368</v>
      </c>
      <c r="AA105" s="100" t="str">
        <f t="shared" si="71"/>
        <v>3AEKC-820BC_2_FS202</v>
      </c>
      <c r="AB105" s="102" t="str">
        <f t="shared" si="61"/>
        <v>16B</v>
      </c>
      <c r="AC105" s="102" t="str">
        <f t="shared" si="62"/>
        <v>16D</v>
      </c>
      <c r="AD105" s="98" t="s">
        <v>235</v>
      </c>
      <c r="AE105" s="98" t="s">
        <v>236</v>
      </c>
      <c r="AF105" s="331" t="s">
        <v>379</v>
      </c>
      <c r="AG105" s="98" t="s">
        <v>322</v>
      </c>
      <c r="AH105" s="98" t="str">
        <f t="shared" si="68"/>
        <v>DCS</v>
      </c>
      <c r="AI105" s="331" t="s">
        <v>380</v>
      </c>
      <c r="AJ105" s="191" t="s">
        <v>371</v>
      </c>
      <c r="AK105" s="102"/>
      <c r="AL105" s="102"/>
      <c r="AM105" s="102"/>
      <c r="AN105" s="100"/>
      <c r="AO105" s="100"/>
      <c r="AP105" s="102"/>
      <c r="AQ105" s="76" t="s">
        <v>31</v>
      </c>
      <c r="AR105" s="176"/>
      <c r="AS105" s="100"/>
      <c r="AT105" s="102"/>
      <c r="AU105" s="330" t="s">
        <v>245</v>
      </c>
      <c r="AV105" s="100"/>
      <c r="AW105" s="201"/>
      <c r="AX105" s="201"/>
      <c r="AY105" s="201"/>
      <c r="AZ105" s="201"/>
      <c r="BA105" s="201"/>
      <c r="BB105" s="201"/>
      <c r="BC105" s="201"/>
      <c r="BD105" s="201"/>
      <c r="BE105" s="201"/>
      <c r="BF105" s="201"/>
      <c r="BG105" s="201"/>
      <c r="BH105" s="201"/>
      <c r="BI105" s="201"/>
      <c r="BJ105" s="201"/>
      <c r="BK105" s="201"/>
      <c r="BL105" s="201"/>
      <c r="BM105" s="201"/>
      <c r="BN105" s="201"/>
      <c r="BO105" s="201"/>
      <c r="BP105" s="201"/>
      <c r="BQ105" s="201"/>
      <c r="BR105" s="201"/>
      <c r="BS105" s="201"/>
      <c r="BT105" s="201"/>
      <c r="BU105" s="201"/>
      <c r="BV105" s="201"/>
      <c r="BW105" s="201"/>
      <c r="BX105" s="201"/>
      <c r="BY105" s="201"/>
      <c r="BZ105" s="201"/>
      <c r="CA105" s="201"/>
      <c r="CB105" s="201"/>
      <c r="CC105" s="201"/>
      <c r="CD105" s="98" t="str">
        <f t="shared" si="69"/>
        <v/>
      </c>
    </row>
    <row r="106" s="123" customFormat="1" ht="21" customHeight="1" spans="1:82">
      <c r="A106" s="171">
        <v>104</v>
      </c>
      <c r="B106" s="337" t="s">
        <v>406</v>
      </c>
      <c r="C106" s="341" t="s">
        <v>385</v>
      </c>
      <c r="D106" s="173" t="str">
        <f t="shared" si="70"/>
        <v>R3AEAB025PO_Z</v>
      </c>
      <c r="E106" s="338" t="s">
        <v>386</v>
      </c>
      <c r="F106" s="173" t="s">
        <v>234</v>
      </c>
      <c r="G106" s="339" t="s">
        <v>407</v>
      </c>
      <c r="H106" s="322" t="s">
        <v>124</v>
      </c>
      <c r="I106" s="184" t="str">
        <f t="shared" si="63"/>
        <v>FF211</v>
      </c>
      <c r="J106" s="184" t="str">
        <f t="shared" si="64"/>
        <v>207FF</v>
      </c>
      <c r="K106" s="173" t="str">
        <f t="shared" si="65"/>
        <v>3AEKC003AR207FF</v>
      </c>
      <c r="L106" s="175">
        <v>2</v>
      </c>
      <c r="M106" s="175">
        <v>7</v>
      </c>
      <c r="N106" s="175">
        <v>2</v>
      </c>
      <c r="O106" s="185">
        <v>1</v>
      </c>
      <c r="P106" s="175">
        <v>1</v>
      </c>
      <c r="Q106" s="184"/>
      <c r="R106" s="184"/>
      <c r="S106" s="184">
        <f t="shared" si="66"/>
        <v>17</v>
      </c>
      <c r="T106" s="184" t="str">
        <f t="shared" si="55"/>
        <v>TB271</v>
      </c>
      <c r="U106" s="184" t="str">
        <f t="shared" si="67"/>
        <v>207_2FI</v>
      </c>
      <c r="V106" s="184" t="str">
        <f t="shared" si="58"/>
        <v>a</v>
      </c>
      <c r="W106" s="184" t="str">
        <f t="shared" si="59"/>
        <v>b</v>
      </c>
      <c r="X106" s="184" t="str">
        <f t="shared" si="60"/>
        <v>IE-BUS</v>
      </c>
      <c r="Y106" s="184" t="str">
        <f t="shared" si="54"/>
        <v>--</v>
      </c>
      <c r="Z106" s="184" t="s">
        <v>388</v>
      </c>
      <c r="AA106" s="173" t="str">
        <f t="shared" si="71"/>
        <v>3AEKC-800BC_1_FS201</v>
      </c>
      <c r="AB106" s="175" t="str">
        <f t="shared" si="61"/>
        <v>1B</v>
      </c>
      <c r="AC106" s="175" t="str">
        <f t="shared" si="62"/>
        <v>1A</v>
      </c>
      <c r="AD106" s="184" t="s">
        <v>235</v>
      </c>
      <c r="AE106" s="184" t="s">
        <v>236</v>
      </c>
      <c r="AF106" s="339" t="s">
        <v>321</v>
      </c>
      <c r="AG106" s="184" t="s">
        <v>322</v>
      </c>
      <c r="AH106" s="184" t="str">
        <f t="shared" si="68"/>
        <v>DCS</v>
      </c>
      <c r="AI106" s="339" t="s">
        <v>323</v>
      </c>
      <c r="AJ106" s="197" t="s">
        <v>371</v>
      </c>
      <c r="AK106" s="175"/>
      <c r="AL106" s="175"/>
      <c r="AM106" s="175"/>
      <c r="AN106" s="173"/>
      <c r="AO106" s="173"/>
      <c r="AP106" s="175"/>
      <c r="AQ106" s="198" t="s">
        <v>31</v>
      </c>
      <c r="AR106" s="203"/>
      <c r="AS106" s="173"/>
      <c r="AT106" s="175"/>
      <c r="AU106" s="322" t="s">
        <v>245</v>
      </c>
      <c r="AV106" s="173"/>
      <c r="AW106" s="202"/>
      <c r="AX106" s="202"/>
      <c r="AY106" s="202"/>
      <c r="AZ106" s="202"/>
      <c r="BA106" s="202"/>
      <c r="BB106" s="202"/>
      <c r="BC106" s="202"/>
      <c r="BD106" s="202"/>
      <c r="BE106" s="202"/>
      <c r="BF106" s="202"/>
      <c r="BG106" s="202"/>
      <c r="BH106" s="202"/>
      <c r="BI106" s="202"/>
      <c r="BJ106" s="202"/>
      <c r="BK106" s="202"/>
      <c r="BL106" s="202"/>
      <c r="BM106" s="202"/>
      <c r="BN106" s="202"/>
      <c r="BO106" s="202"/>
      <c r="BP106" s="202"/>
      <c r="BQ106" s="202"/>
      <c r="BR106" s="202"/>
      <c r="BS106" s="202"/>
      <c r="BT106" s="202"/>
      <c r="BU106" s="202"/>
      <c r="BV106" s="202"/>
      <c r="BW106" s="202"/>
      <c r="BX106" s="202"/>
      <c r="BY106" s="202"/>
      <c r="BZ106" s="202"/>
      <c r="CA106" s="202"/>
      <c r="CB106" s="202"/>
      <c r="CC106" s="202"/>
      <c r="CD106" s="184" t="str">
        <f t="shared" si="69"/>
        <v/>
      </c>
    </row>
    <row r="107" s="123" customFormat="1" ht="21" customHeight="1" spans="1:82">
      <c r="A107" s="93">
        <v>105</v>
      </c>
      <c r="B107" s="334" t="s">
        <v>408</v>
      </c>
      <c r="C107" s="342" t="s">
        <v>385</v>
      </c>
      <c r="D107" s="100" t="str">
        <f t="shared" si="70"/>
        <v>R3AEAB026PO_Z</v>
      </c>
      <c r="E107" s="335" t="s">
        <v>386</v>
      </c>
      <c r="F107" s="100" t="s">
        <v>234</v>
      </c>
      <c r="G107" s="331" t="s">
        <v>407</v>
      </c>
      <c r="H107" s="330" t="s">
        <v>124</v>
      </c>
      <c r="I107" s="98" t="str">
        <f t="shared" si="63"/>
        <v>FF211</v>
      </c>
      <c r="J107" s="98" t="str">
        <f t="shared" si="64"/>
        <v>207FF</v>
      </c>
      <c r="K107" s="100" t="str">
        <f t="shared" si="65"/>
        <v>3AEKC003AR207FF</v>
      </c>
      <c r="L107" s="102">
        <v>2</v>
      </c>
      <c r="M107" s="102">
        <v>7</v>
      </c>
      <c r="N107" s="102">
        <v>2</v>
      </c>
      <c r="O107" s="186">
        <v>1</v>
      </c>
      <c r="P107" s="102">
        <v>2</v>
      </c>
      <c r="Q107" s="98"/>
      <c r="R107" s="98"/>
      <c r="S107" s="98">
        <f t="shared" si="66"/>
        <v>17</v>
      </c>
      <c r="T107" s="98" t="str">
        <f t="shared" ref="T107:T138" si="72">IF(I107="DO211",CHOOSE(MID(AI107,3,LEN(AI107)-1),"TB233","TB233","TB231","TB231","TB231"),IF(AND(I107="DI211",AI107="DI4",IFERROR(SEARCH("继电器",AJ107),-1)&gt;0),"TB222",IF(I107="DI211",CHOOSE(MID(AI107,3,LEN(AI107)-1),"TB222","TB222","TB222","TB221","TB222","TB222"),IF(OR(I107="AI212",I107="AI216"),"TB241",IF(I107="AI221","TB242",IF(I107="AI232","TB246",IF(I107="AO211","TB251",IF(OR(I107="PI211",I107="AO215",I107="MD211"),"TB244",IF(I107="MD216","--",IF(I107="FF211","TB271",IF(I107="DP211","TB272",IF(I107="--","--","ERR"))))))))))))</f>
        <v>TB271</v>
      </c>
      <c r="U107" s="98" t="str">
        <f t="shared" si="67"/>
        <v>207_2FI</v>
      </c>
      <c r="V107" s="98" t="str">
        <f t="shared" si="58"/>
        <v>a</v>
      </c>
      <c r="W107" s="98" t="str">
        <f t="shared" si="59"/>
        <v>b</v>
      </c>
      <c r="X107" s="98" t="str">
        <f t="shared" si="60"/>
        <v>IE-BUS</v>
      </c>
      <c r="Y107" s="98" t="str">
        <f t="shared" si="54"/>
        <v>--</v>
      </c>
      <c r="Z107" s="98" t="s">
        <v>388</v>
      </c>
      <c r="AA107" s="100" t="str">
        <f t="shared" si="71"/>
        <v>3AEKC-800BC_1_FS201</v>
      </c>
      <c r="AB107" s="102" t="str">
        <f t="shared" si="61"/>
        <v>2B</v>
      </c>
      <c r="AC107" s="102" t="str">
        <f t="shared" si="62"/>
        <v>2A</v>
      </c>
      <c r="AD107" s="98" t="s">
        <v>235</v>
      </c>
      <c r="AE107" s="98" t="s">
        <v>236</v>
      </c>
      <c r="AF107" s="331" t="s">
        <v>321</v>
      </c>
      <c r="AG107" s="98" t="s">
        <v>322</v>
      </c>
      <c r="AH107" s="98" t="str">
        <f t="shared" si="68"/>
        <v>DCS</v>
      </c>
      <c r="AI107" s="331" t="s">
        <v>323</v>
      </c>
      <c r="AJ107" s="191" t="s">
        <v>371</v>
      </c>
      <c r="AK107" s="102"/>
      <c r="AL107" s="102"/>
      <c r="AM107" s="102"/>
      <c r="AN107" s="100"/>
      <c r="AO107" s="100"/>
      <c r="AP107" s="102"/>
      <c r="AQ107" s="76" t="s">
        <v>31</v>
      </c>
      <c r="AR107" s="176"/>
      <c r="AS107" s="100"/>
      <c r="AT107" s="102"/>
      <c r="AU107" s="330" t="s">
        <v>245</v>
      </c>
      <c r="AV107" s="100"/>
      <c r="AW107" s="201"/>
      <c r="AX107" s="201"/>
      <c r="AY107" s="201"/>
      <c r="AZ107" s="201"/>
      <c r="BA107" s="201"/>
      <c r="BB107" s="201"/>
      <c r="BC107" s="201"/>
      <c r="BD107" s="201"/>
      <c r="BE107" s="201"/>
      <c r="BF107" s="201"/>
      <c r="BG107" s="201"/>
      <c r="BH107" s="201"/>
      <c r="BI107" s="201"/>
      <c r="BJ107" s="201"/>
      <c r="BK107" s="201"/>
      <c r="BL107" s="201"/>
      <c r="BM107" s="201"/>
      <c r="BN107" s="201"/>
      <c r="BO107" s="201"/>
      <c r="BP107" s="201"/>
      <c r="BQ107" s="201"/>
      <c r="BR107" s="201"/>
      <c r="BS107" s="201"/>
      <c r="BT107" s="201"/>
      <c r="BU107" s="201"/>
      <c r="BV107" s="201"/>
      <c r="BW107" s="201"/>
      <c r="BX107" s="201"/>
      <c r="BY107" s="201"/>
      <c r="BZ107" s="201"/>
      <c r="CA107" s="201"/>
      <c r="CB107" s="201"/>
      <c r="CC107" s="201"/>
      <c r="CD107" s="98" t="str">
        <f t="shared" si="69"/>
        <v/>
      </c>
    </row>
    <row r="108" s="123" customFormat="1" ht="21" customHeight="1" spans="1:82">
      <c r="A108" s="93">
        <v>106</v>
      </c>
      <c r="B108" s="334" t="s">
        <v>406</v>
      </c>
      <c r="C108" s="342" t="s">
        <v>392</v>
      </c>
      <c r="D108" s="100" t="str">
        <f t="shared" si="70"/>
        <v>R3AEAB025PO_PK</v>
      </c>
      <c r="E108" s="335" t="s">
        <v>393</v>
      </c>
      <c r="F108" s="100" t="s">
        <v>234</v>
      </c>
      <c r="G108" s="331" t="s">
        <v>407</v>
      </c>
      <c r="H108" s="330" t="s">
        <v>124</v>
      </c>
      <c r="I108" s="98" t="str">
        <f t="shared" si="63"/>
        <v>FF211</v>
      </c>
      <c r="J108" s="98" t="str">
        <f t="shared" si="64"/>
        <v>207FF</v>
      </c>
      <c r="K108" s="100" t="str">
        <f t="shared" si="65"/>
        <v>3AEKC003AR207FF</v>
      </c>
      <c r="L108" s="102">
        <v>2</v>
      </c>
      <c r="M108" s="102">
        <v>7</v>
      </c>
      <c r="N108" s="102">
        <v>2</v>
      </c>
      <c r="O108" s="186">
        <v>1</v>
      </c>
      <c r="P108" s="102">
        <v>3</v>
      </c>
      <c r="Q108" s="98"/>
      <c r="R108" s="98"/>
      <c r="S108" s="98">
        <f t="shared" si="66"/>
        <v>17</v>
      </c>
      <c r="T108" s="98" t="str">
        <f t="shared" si="72"/>
        <v>TB271</v>
      </c>
      <c r="U108" s="98" t="str">
        <f t="shared" si="67"/>
        <v>207_2FI</v>
      </c>
      <c r="V108" s="98" t="str">
        <f t="shared" si="58"/>
        <v>a</v>
      </c>
      <c r="W108" s="98" t="str">
        <f t="shared" si="59"/>
        <v>b</v>
      </c>
      <c r="X108" s="98" t="str">
        <f t="shared" si="60"/>
        <v>IE-BUS</v>
      </c>
      <c r="Y108" s="98" t="str">
        <f t="shared" si="54"/>
        <v>--</v>
      </c>
      <c r="Z108" s="98" t="s">
        <v>388</v>
      </c>
      <c r="AA108" s="100" t="str">
        <f t="shared" si="71"/>
        <v>3AEKC-800BC_1_FS201</v>
      </c>
      <c r="AB108" s="102" t="str">
        <f t="shared" si="61"/>
        <v>3C</v>
      </c>
      <c r="AC108" s="102" t="str">
        <f t="shared" si="62"/>
        <v>3B</v>
      </c>
      <c r="AD108" s="98" t="s">
        <v>235</v>
      </c>
      <c r="AE108" s="98" t="s">
        <v>236</v>
      </c>
      <c r="AF108" s="331" t="s">
        <v>352</v>
      </c>
      <c r="AG108" s="98" t="s">
        <v>322</v>
      </c>
      <c r="AH108" s="98" t="str">
        <f t="shared" si="68"/>
        <v>DCS</v>
      </c>
      <c r="AI108" s="331" t="s">
        <v>353</v>
      </c>
      <c r="AJ108" s="191" t="s">
        <v>371</v>
      </c>
      <c r="AK108" s="102"/>
      <c r="AL108" s="102"/>
      <c r="AM108" s="102"/>
      <c r="AN108" s="100"/>
      <c r="AO108" s="100"/>
      <c r="AP108" s="102"/>
      <c r="AQ108" s="76" t="s">
        <v>31</v>
      </c>
      <c r="AR108" s="176"/>
      <c r="AS108" s="100"/>
      <c r="AT108" s="102"/>
      <c r="AU108" s="330" t="s">
        <v>245</v>
      </c>
      <c r="AV108" s="100"/>
      <c r="AW108" s="201"/>
      <c r="AX108" s="201"/>
      <c r="AY108" s="201"/>
      <c r="AZ108" s="201"/>
      <c r="BA108" s="201"/>
      <c r="BB108" s="201"/>
      <c r="BC108" s="201"/>
      <c r="BD108" s="201"/>
      <c r="BE108" s="201"/>
      <c r="BF108" s="201"/>
      <c r="BG108" s="201"/>
      <c r="BH108" s="201"/>
      <c r="BI108" s="201"/>
      <c r="BJ108" s="201"/>
      <c r="BK108" s="201"/>
      <c r="BL108" s="201"/>
      <c r="BM108" s="201"/>
      <c r="BN108" s="201"/>
      <c r="BO108" s="201"/>
      <c r="BP108" s="201"/>
      <c r="BQ108" s="201"/>
      <c r="BR108" s="201"/>
      <c r="BS108" s="201"/>
      <c r="BT108" s="201"/>
      <c r="BU108" s="201"/>
      <c r="BV108" s="201"/>
      <c r="BW108" s="201"/>
      <c r="BX108" s="201"/>
      <c r="BY108" s="201"/>
      <c r="BZ108" s="201"/>
      <c r="CA108" s="201"/>
      <c r="CB108" s="201"/>
      <c r="CC108" s="201"/>
      <c r="CD108" s="98" t="str">
        <f t="shared" si="69"/>
        <v/>
      </c>
    </row>
    <row r="109" s="123" customFormat="1" ht="21" customHeight="1" spans="1:82">
      <c r="A109" s="93">
        <v>107</v>
      </c>
      <c r="B109" s="334" t="s">
        <v>408</v>
      </c>
      <c r="C109" s="342" t="s">
        <v>392</v>
      </c>
      <c r="D109" s="100" t="str">
        <f t="shared" si="70"/>
        <v>R3AEAB026PO_PK</v>
      </c>
      <c r="E109" s="335" t="s">
        <v>393</v>
      </c>
      <c r="F109" s="100" t="s">
        <v>234</v>
      </c>
      <c r="G109" s="331" t="s">
        <v>407</v>
      </c>
      <c r="H109" s="330" t="s">
        <v>124</v>
      </c>
      <c r="I109" s="98" t="str">
        <f t="shared" si="63"/>
        <v>FF211</v>
      </c>
      <c r="J109" s="98" t="str">
        <f t="shared" si="64"/>
        <v>207FF</v>
      </c>
      <c r="K109" s="100" t="str">
        <f t="shared" si="65"/>
        <v>3AEKC003AR207FF</v>
      </c>
      <c r="L109" s="102">
        <v>2</v>
      </c>
      <c r="M109" s="102">
        <v>7</v>
      </c>
      <c r="N109" s="102">
        <v>2</v>
      </c>
      <c r="O109" s="186">
        <v>1</v>
      </c>
      <c r="P109" s="102">
        <v>4</v>
      </c>
      <c r="Q109" s="98"/>
      <c r="R109" s="98"/>
      <c r="S109" s="98">
        <f t="shared" si="66"/>
        <v>17</v>
      </c>
      <c r="T109" s="98" t="str">
        <f t="shared" si="72"/>
        <v>TB271</v>
      </c>
      <c r="U109" s="98" t="str">
        <f t="shared" si="67"/>
        <v>207_2FI</v>
      </c>
      <c r="V109" s="98" t="str">
        <f t="shared" si="58"/>
        <v>a</v>
      </c>
      <c r="W109" s="98" t="str">
        <f t="shared" si="59"/>
        <v>b</v>
      </c>
      <c r="X109" s="98" t="str">
        <f t="shared" si="60"/>
        <v>IE-BUS</v>
      </c>
      <c r="Y109" s="98" t="str">
        <f t="shared" si="54"/>
        <v>--</v>
      </c>
      <c r="Z109" s="98" t="s">
        <v>388</v>
      </c>
      <c r="AA109" s="100" t="str">
        <f t="shared" si="71"/>
        <v>3AEKC-800BC_1_FS201</v>
      </c>
      <c r="AB109" s="102" t="str">
        <f t="shared" si="61"/>
        <v>4C</v>
      </c>
      <c r="AC109" s="102" t="str">
        <f t="shared" si="62"/>
        <v>4B</v>
      </c>
      <c r="AD109" s="98" t="s">
        <v>235</v>
      </c>
      <c r="AE109" s="98" t="s">
        <v>236</v>
      </c>
      <c r="AF109" s="331" t="s">
        <v>352</v>
      </c>
      <c r="AG109" s="98" t="s">
        <v>322</v>
      </c>
      <c r="AH109" s="98" t="str">
        <f t="shared" si="68"/>
        <v>DCS</v>
      </c>
      <c r="AI109" s="331" t="s">
        <v>353</v>
      </c>
      <c r="AJ109" s="191" t="s">
        <v>371</v>
      </c>
      <c r="AK109" s="102"/>
      <c r="AL109" s="102"/>
      <c r="AM109" s="102"/>
      <c r="AN109" s="100"/>
      <c r="AO109" s="100"/>
      <c r="AP109" s="102"/>
      <c r="AQ109" s="76" t="s">
        <v>31</v>
      </c>
      <c r="AR109" s="176"/>
      <c r="AS109" s="100"/>
      <c r="AT109" s="102"/>
      <c r="AU109" s="330" t="s">
        <v>245</v>
      </c>
      <c r="AV109" s="100"/>
      <c r="AW109" s="201"/>
      <c r="AX109" s="201"/>
      <c r="AY109" s="201"/>
      <c r="AZ109" s="201"/>
      <c r="BA109" s="201"/>
      <c r="BB109" s="201"/>
      <c r="BC109" s="201"/>
      <c r="BD109" s="201"/>
      <c r="BE109" s="201"/>
      <c r="BF109" s="201"/>
      <c r="BG109" s="201"/>
      <c r="BH109" s="201"/>
      <c r="BI109" s="201"/>
      <c r="BJ109" s="201"/>
      <c r="BK109" s="201"/>
      <c r="BL109" s="201"/>
      <c r="BM109" s="201"/>
      <c r="BN109" s="201"/>
      <c r="BO109" s="201"/>
      <c r="BP109" s="201"/>
      <c r="BQ109" s="201"/>
      <c r="BR109" s="201"/>
      <c r="BS109" s="201"/>
      <c r="BT109" s="201"/>
      <c r="BU109" s="201"/>
      <c r="BV109" s="201"/>
      <c r="BW109" s="201"/>
      <c r="BX109" s="201"/>
      <c r="BY109" s="201"/>
      <c r="BZ109" s="201"/>
      <c r="CA109" s="201"/>
      <c r="CB109" s="201"/>
      <c r="CC109" s="201"/>
      <c r="CD109" s="98" t="str">
        <f t="shared" si="69"/>
        <v/>
      </c>
    </row>
    <row r="110" s="123" customFormat="1" ht="21" customHeight="1" spans="1:82">
      <c r="A110" s="93">
        <v>108</v>
      </c>
      <c r="B110" s="334" t="s">
        <v>406</v>
      </c>
      <c r="C110" s="342" t="s">
        <v>365</v>
      </c>
      <c r="D110" s="100" t="str">
        <f t="shared" si="70"/>
        <v>R3AEAB025PO_QF</v>
      </c>
      <c r="E110" s="335" t="s">
        <v>394</v>
      </c>
      <c r="F110" s="100" t="s">
        <v>234</v>
      </c>
      <c r="G110" s="331" t="s">
        <v>407</v>
      </c>
      <c r="H110" s="330" t="s">
        <v>124</v>
      </c>
      <c r="I110" s="98" t="str">
        <f t="shared" si="63"/>
        <v>FF211</v>
      </c>
      <c r="J110" s="98" t="str">
        <f t="shared" si="64"/>
        <v>207FF</v>
      </c>
      <c r="K110" s="100" t="str">
        <f t="shared" si="65"/>
        <v>3AEKC003AR207FF</v>
      </c>
      <c r="L110" s="102">
        <v>2</v>
      </c>
      <c r="M110" s="102">
        <v>7</v>
      </c>
      <c r="N110" s="102">
        <v>2</v>
      </c>
      <c r="O110" s="186">
        <v>1</v>
      </c>
      <c r="P110" s="102">
        <v>5</v>
      </c>
      <c r="Q110" s="98"/>
      <c r="R110" s="98"/>
      <c r="S110" s="98">
        <f t="shared" si="66"/>
        <v>17</v>
      </c>
      <c r="T110" s="98" t="str">
        <f t="shared" si="72"/>
        <v>TB271</v>
      </c>
      <c r="U110" s="98" t="str">
        <f t="shared" si="67"/>
        <v>207_2FI</v>
      </c>
      <c r="V110" s="98" t="str">
        <f t="shared" si="58"/>
        <v>a</v>
      </c>
      <c r="W110" s="98" t="str">
        <f t="shared" si="59"/>
        <v>b</v>
      </c>
      <c r="X110" s="98" t="str">
        <f t="shared" si="60"/>
        <v>IE-BUS</v>
      </c>
      <c r="Y110" s="98" t="str">
        <f t="shared" si="54"/>
        <v>--</v>
      </c>
      <c r="Z110" s="98" t="s">
        <v>388</v>
      </c>
      <c r="AA110" s="100" t="str">
        <f t="shared" si="71"/>
        <v>3AEKC-800BC_1_FS201</v>
      </c>
      <c r="AB110" s="102" t="str">
        <f t="shared" si="61"/>
        <v>5A</v>
      </c>
      <c r="AC110" s="102" t="str">
        <f t="shared" si="62"/>
        <v>5B</v>
      </c>
      <c r="AD110" s="98" t="s">
        <v>235</v>
      </c>
      <c r="AE110" s="98" t="s">
        <v>236</v>
      </c>
      <c r="AF110" s="331" t="s">
        <v>369</v>
      </c>
      <c r="AG110" s="98" t="s">
        <v>322</v>
      </c>
      <c r="AH110" s="98" t="str">
        <f t="shared" si="68"/>
        <v>DCS</v>
      </c>
      <c r="AI110" s="331" t="s">
        <v>370</v>
      </c>
      <c r="AJ110" s="191" t="s">
        <v>371</v>
      </c>
      <c r="AK110" s="102"/>
      <c r="AL110" s="102"/>
      <c r="AM110" s="102"/>
      <c r="AN110" s="100"/>
      <c r="AO110" s="100"/>
      <c r="AP110" s="102"/>
      <c r="AQ110" s="76" t="s">
        <v>31</v>
      </c>
      <c r="AR110" s="176"/>
      <c r="AS110" s="100"/>
      <c r="AT110" s="102"/>
      <c r="AU110" s="330" t="s">
        <v>245</v>
      </c>
      <c r="AV110" s="100"/>
      <c r="AW110" s="201"/>
      <c r="AX110" s="201"/>
      <c r="AY110" s="201"/>
      <c r="AZ110" s="201"/>
      <c r="BA110" s="201"/>
      <c r="BB110" s="201"/>
      <c r="BC110" s="201"/>
      <c r="BD110" s="201"/>
      <c r="BE110" s="201"/>
      <c r="BF110" s="201"/>
      <c r="BG110" s="201"/>
      <c r="BH110" s="201"/>
      <c r="BI110" s="201"/>
      <c r="BJ110" s="201"/>
      <c r="BK110" s="201"/>
      <c r="BL110" s="201"/>
      <c r="BM110" s="201"/>
      <c r="BN110" s="201"/>
      <c r="BO110" s="201"/>
      <c r="BP110" s="201"/>
      <c r="BQ110" s="201"/>
      <c r="BR110" s="201"/>
      <c r="BS110" s="201"/>
      <c r="BT110" s="201"/>
      <c r="BU110" s="201"/>
      <c r="BV110" s="201"/>
      <c r="BW110" s="201"/>
      <c r="BX110" s="201"/>
      <c r="BY110" s="201"/>
      <c r="BZ110" s="201"/>
      <c r="CA110" s="201"/>
      <c r="CB110" s="201"/>
      <c r="CC110" s="201"/>
      <c r="CD110" s="98" t="str">
        <f t="shared" si="69"/>
        <v/>
      </c>
    </row>
    <row r="111" s="123" customFormat="1" ht="21" customHeight="1" spans="1:82">
      <c r="A111" s="93">
        <v>109</v>
      </c>
      <c r="B111" s="334" t="s">
        <v>406</v>
      </c>
      <c r="C111" s="342" t="s">
        <v>372</v>
      </c>
      <c r="D111" s="100" t="str">
        <f t="shared" si="70"/>
        <v>R3AEAB025PO_TF</v>
      </c>
      <c r="E111" s="335" t="s">
        <v>395</v>
      </c>
      <c r="F111" s="100" t="s">
        <v>234</v>
      </c>
      <c r="G111" s="331" t="s">
        <v>407</v>
      </c>
      <c r="H111" s="330" t="s">
        <v>124</v>
      </c>
      <c r="I111" s="98" t="str">
        <f t="shared" si="63"/>
        <v>FF211</v>
      </c>
      <c r="J111" s="98" t="str">
        <f t="shared" si="64"/>
        <v>207FF</v>
      </c>
      <c r="K111" s="100" t="str">
        <f t="shared" si="65"/>
        <v>3AEKC003AR207FF</v>
      </c>
      <c r="L111" s="102">
        <v>2</v>
      </c>
      <c r="M111" s="102">
        <v>7</v>
      </c>
      <c r="N111" s="102">
        <v>2</v>
      </c>
      <c r="O111" s="186">
        <v>1</v>
      </c>
      <c r="P111" s="102">
        <v>6</v>
      </c>
      <c r="Q111" s="98"/>
      <c r="R111" s="98"/>
      <c r="S111" s="98">
        <f t="shared" si="66"/>
        <v>17</v>
      </c>
      <c r="T111" s="98" t="str">
        <f t="shared" si="72"/>
        <v>TB271</v>
      </c>
      <c r="U111" s="98" t="str">
        <f t="shared" si="67"/>
        <v>207_2FI</v>
      </c>
      <c r="V111" s="98" t="str">
        <f t="shared" si="58"/>
        <v>a</v>
      </c>
      <c r="W111" s="98" t="str">
        <f t="shared" si="59"/>
        <v>b</v>
      </c>
      <c r="X111" s="98" t="str">
        <f t="shared" si="60"/>
        <v>IE-BUS</v>
      </c>
      <c r="Y111" s="98" t="str">
        <f t="shared" si="54"/>
        <v>--</v>
      </c>
      <c r="Z111" s="98" t="s">
        <v>388</v>
      </c>
      <c r="AA111" s="100" t="str">
        <f t="shared" si="71"/>
        <v>3AEKC-800BC_1_FS201</v>
      </c>
      <c r="AB111" s="102" t="str">
        <f t="shared" si="61"/>
        <v>6A</v>
      </c>
      <c r="AC111" s="102" t="str">
        <f t="shared" si="62"/>
        <v>6B</v>
      </c>
      <c r="AD111" s="98" t="s">
        <v>235</v>
      </c>
      <c r="AE111" s="98" t="s">
        <v>236</v>
      </c>
      <c r="AF111" s="331" t="s">
        <v>369</v>
      </c>
      <c r="AG111" s="98" t="s">
        <v>322</v>
      </c>
      <c r="AH111" s="98" t="str">
        <f t="shared" si="68"/>
        <v>DCS</v>
      </c>
      <c r="AI111" s="331" t="s">
        <v>370</v>
      </c>
      <c r="AJ111" s="191" t="s">
        <v>371</v>
      </c>
      <c r="AK111" s="102"/>
      <c r="AL111" s="102"/>
      <c r="AM111" s="102"/>
      <c r="AN111" s="100"/>
      <c r="AO111" s="100"/>
      <c r="AP111" s="102"/>
      <c r="AQ111" s="76" t="s">
        <v>31</v>
      </c>
      <c r="AR111" s="176"/>
      <c r="AS111" s="100"/>
      <c r="AT111" s="102"/>
      <c r="AU111" s="330" t="s">
        <v>245</v>
      </c>
      <c r="AV111" s="100"/>
      <c r="AW111" s="201"/>
      <c r="AX111" s="201"/>
      <c r="AY111" s="201"/>
      <c r="AZ111" s="201"/>
      <c r="BA111" s="201"/>
      <c r="BB111" s="201"/>
      <c r="BC111" s="201"/>
      <c r="BD111" s="201"/>
      <c r="BE111" s="201"/>
      <c r="BF111" s="201"/>
      <c r="BG111" s="201"/>
      <c r="BH111" s="201"/>
      <c r="BI111" s="201"/>
      <c r="BJ111" s="201"/>
      <c r="BK111" s="201"/>
      <c r="BL111" s="201"/>
      <c r="BM111" s="201"/>
      <c r="BN111" s="201"/>
      <c r="BO111" s="201"/>
      <c r="BP111" s="201"/>
      <c r="BQ111" s="201"/>
      <c r="BR111" s="201"/>
      <c r="BS111" s="201"/>
      <c r="BT111" s="201"/>
      <c r="BU111" s="201"/>
      <c r="BV111" s="201"/>
      <c r="BW111" s="201"/>
      <c r="BX111" s="201"/>
      <c r="BY111" s="201"/>
      <c r="BZ111" s="201"/>
      <c r="CA111" s="201"/>
      <c r="CB111" s="201"/>
      <c r="CC111" s="201"/>
      <c r="CD111" s="98" t="str">
        <f t="shared" si="69"/>
        <v/>
      </c>
    </row>
    <row r="112" s="123" customFormat="1" ht="21" customHeight="1" spans="1:82">
      <c r="A112" s="93">
        <v>110</v>
      </c>
      <c r="B112" s="334" t="s">
        <v>406</v>
      </c>
      <c r="C112" s="342" t="s">
        <v>374</v>
      </c>
      <c r="D112" s="100" t="str">
        <f t="shared" si="70"/>
        <v>R3AEAB025PO_GZ</v>
      </c>
      <c r="E112" s="335" t="s">
        <v>396</v>
      </c>
      <c r="F112" s="100" t="s">
        <v>234</v>
      </c>
      <c r="G112" s="331" t="s">
        <v>407</v>
      </c>
      <c r="H112" s="330" t="s">
        <v>124</v>
      </c>
      <c r="I112" s="98" t="str">
        <f t="shared" si="63"/>
        <v>FF211</v>
      </c>
      <c r="J112" s="98" t="str">
        <f t="shared" si="64"/>
        <v>207FF</v>
      </c>
      <c r="K112" s="100" t="str">
        <f t="shared" si="65"/>
        <v>3AEKC003AR207FF</v>
      </c>
      <c r="L112" s="102">
        <v>2</v>
      </c>
      <c r="M112" s="102">
        <v>7</v>
      </c>
      <c r="N112" s="102">
        <v>2</v>
      </c>
      <c r="O112" s="186">
        <v>1</v>
      </c>
      <c r="P112" s="102">
        <v>7</v>
      </c>
      <c r="Q112" s="98"/>
      <c r="R112" s="98"/>
      <c r="S112" s="98">
        <f t="shared" si="66"/>
        <v>17</v>
      </c>
      <c r="T112" s="98" t="str">
        <f t="shared" si="72"/>
        <v>TB271</v>
      </c>
      <c r="U112" s="98" t="str">
        <f t="shared" si="67"/>
        <v>207_2FI</v>
      </c>
      <c r="V112" s="98" t="str">
        <f t="shared" si="58"/>
        <v>a</v>
      </c>
      <c r="W112" s="98" t="str">
        <f t="shared" si="59"/>
        <v>b</v>
      </c>
      <c r="X112" s="98" t="str">
        <f t="shared" si="60"/>
        <v>IE-BUS</v>
      </c>
      <c r="Y112" s="98" t="str">
        <f t="shared" si="54"/>
        <v>--</v>
      </c>
      <c r="Z112" s="98" t="s">
        <v>388</v>
      </c>
      <c r="AA112" s="100" t="str">
        <f t="shared" si="71"/>
        <v>3AEKC-800BC_1_FS201</v>
      </c>
      <c r="AB112" s="102" t="str">
        <f t="shared" si="61"/>
        <v>7A</v>
      </c>
      <c r="AC112" s="102" t="str">
        <f t="shared" si="62"/>
        <v>7B</v>
      </c>
      <c r="AD112" s="98" t="s">
        <v>235</v>
      </c>
      <c r="AE112" s="98" t="s">
        <v>236</v>
      </c>
      <c r="AF112" s="331" t="s">
        <v>369</v>
      </c>
      <c r="AG112" s="98" t="s">
        <v>322</v>
      </c>
      <c r="AH112" s="98" t="str">
        <f t="shared" si="68"/>
        <v>DCS</v>
      </c>
      <c r="AI112" s="331" t="s">
        <v>370</v>
      </c>
      <c r="AJ112" s="191" t="s">
        <v>371</v>
      </c>
      <c r="AK112" s="102"/>
      <c r="AL112" s="102"/>
      <c r="AM112" s="102"/>
      <c r="AN112" s="100"/>
      <c r="AO112" s="100"/>
      <c r="AP112" s="102"/>
      <c r="AQ112" s="76" t="s">
        <v>31</v>
      </c>
      <c r="AR112" s="176"/>
      <c r="AS112" s="100"/>
      <c r="AT112" s="102"/>
      <c r="AU112" s="330" t="s">
        <v>245</v>
      </c>
      <c r="AV112" s="100"/>
      <c r="AW112" s="201"/>
      <c r="AX112" s="201"/>
      <c r="AY112" s="201"/>
      <c r="AZ112" s="201"/>
      <c r="BA112" s="201"/>
      <c r="BB112" s="201"/>
      <c r="BC112" s="201"/>
      <c r="BD112" s="201"/>
      <c r="BE112" s="201"/>
      <c r="BF112" s="201"/>
      <c r="BG112" s="201"/>
      <c r="BH112" s="201"/>
      <c r="BI112" s="201"/>
      <c r="BJ112" s="201"/>
      <c r="BK112" s="201"/>
      <c r="BL112" s="201"/>
      <c r="BM112" s="201"/>
      <c r="BN112" s="201"/>
      <c r="BO112" s="201"/>
      <c r="BP112" s="201"/>
      <c r="BQ112" s="201"/>
      <c r="BR112" s="201"/>
      <c r="BS112" s="201"/>
      <c r="BT112" s="201"/>
      <c r="BU112" s="201"/>
      <c r="BV112" s="201"/>
      <c r="BW112" s="201"/>
      <c r="BX112" s="201"/>
      <c r="BY112" s="201"/>
      <c r="BZ112" s="201"/>
      <c r="CA112" s="201"/>
      <c r="CB112" s="201"/>
      <c r="CC112" s="201"/>
      <c r="CD112" s="98" t="str">
        <f t="shared" si="69"/>
        <v/>
      </c>
    </row>
    <row r="113" s="123" customFormat="1" ht="21" customHeight="1" spans="1:82">
      <c r="A113" s="93">
        <v>111</v>
      </c>
      <c r="B113" s="334" t="s">
        <v>408</v>
      </c>
      <c r="C113" s="342" t="s">
        <v>365</v>
      </c>
      <c r="D113" s="100" t="str">
        <f t="shared" si="70"/>
        <v>R3AEAB026PO_QF</v>
      </c>
      <c r="E113" s="335" t="s">
        <v>394</v>
      </c>
      <c r="F113" s="100" t="s">
        <v>234</v>
      </c>
      <c r="G113" s="331" t="s">
        <v>407</v>
      </c>
      <c r="H113" s="330" t="s">
        <v>124</v>
      </c>
      <c r="I113" s="98" t="str">
        <f t="shared" si="63"/>
        <v>FF211</v>
      </c>
      <c r="J113" s="98" t="str">
        <f t="shared" si="64"/>
        <v>207FF</v>
      </c>
      <c r="K113" s="100" t="str">
        <f t="shared" si="65"/>
        <v>3AEKC003AR207FF</v>
      </c>
      <c r="L113" s="102">
        <v>2</v>
      </c>
      <c r="M113" s="102">
        <v>7</v>
      </c>
      <c r="N113" s="102">
        <v>2</v>
      </c>
      <c r="O113" s="186">
        <v>1</v>
      </c>
      <c r="P113" s="102">
        <v>8</v>
      </c>
      <c r="Q113" s="98"/>
      <c r="R113" s="98"/>
      <c r="S113" s="98">
        <f t="shared" si="66"/>
        <v>17</v>
      </c>
      <c r="T113" s="98" t="str">
        <f t="shared" si="72"/>
        <v>TB271</v>
      </c>
      <c r="U113" s="98" t="str">
        <f t="shared" si="67"/>
        <v>207_2FI</v>
      </c>
      <c r="V113" s="98" t="str">
        <f t="shared" si="58"/>
        <v>a</v>
      </c>
      <c r="W113" s="98" t="str">
        <f t="shared" si="59"/>
        <v>b</v>
      </c>
      <c r="X113" s="98" t="str">
        <f t="shared" si="60"/>
        <v>IE-BUS</v>
      </c>
      <c r="Y113" s="98" t="str">
        <f t="shared" si="54"/>
        <v>--</v>
      </c>
      <c r="Z113" s="98" t="s">
        <v>388</v>
      </c>
      <c r="AA113" s="100" t="str">
        <f t="shared" si="71"/>
        <v>3AEKC-800BC_1_FS201</v>
      </c>
      <c r="AB113" s="102" t="str">
        <f t="shared" si="61"/>
        <v>8A</v>
      </c>
      <c r="AC113" s="102" t="str">
        <f t="shared" si="62"/>
        <v>8B</v>
      </c>
      <c r="AD113" s="98" t="s">
        <v>235</v>
      </c>
      <c r="AE113" s="98" t="s">
        <v>236</v>
      </c>
      <c r="AF113" s="331" t="s">
        <v>369</v>
      </c>
      <c r="AG113" s="98" t="s">
        <v>322</v>
      </c>
      <c r="AH113" s="98" t="str">
        <f t="shared" si="68"/>
        <v>DCS</v>
      </c>
      <c r="AI113" s="331" t="s">
        <v>370</v>
      </c>
      <c r="AJ113" s="191" t="s">
        <v>371</v>
      </c>
      <c r="AK113" s="102"/>
      <c r="AL113" s="102"/>
      <c r="AM113" s="102"/>
      <c r="AN113" s="100"/>
      <c r="AO113" s="100"/>
      <c r="AP113" s="102"/>
      <c r="AQ113" s="76" t="s">
        <v>31</v>
      </c>
      <c r="AR113" s="176"/>
      <c r="AS113" s="100"/>
      <c r="AT113" s="102"/>
      <c r="AU113" s="330" t="s">
        <v>245</v>
      </c>
      <c r="AV113" s="100"/>
      <c r="AW113" s="201"/>
      <c r="AX113" s="201"/>
      <c r="AY113" s="201"/>
      <c r="AZ113" s="201"/>
      <c r="BA113" s="201"/>
      <c r="BB113" s="201"/>
      <c r="BC113" s="201"/>
      <c r="BD113" s="201"/>
      <c r="BE113" s="201"/>
      <c r="BF113" s="201"/>
      <c r="BG113" s="201"/>
      <c r="BH113" s="201"/>
      <c r="BI113" s="201"/>
      <c r="BJ113" s="201"/>
      <c r="BK113" s="201"/>
      <c r="BL113" s="201"/>
      <c r="BM113" s="201"/>
      <c r="BN113" s="201"/>
      <c r="BO113" s="201"/>
      <c r="BP113" s="201"/>
      <c r="BQ113" s="201"/>
      <c r="BR113" s="201"/>
      <c r="BS113" s="201"/>
      <c r="BT113" s="201"/>
      <c r="BU113" s="201"/>
      <c r="BV113" s="201"/>
      <c r="BW113" s="201"/>
      <c r="BX113" s="201"/>
      <c r="BY113" s="201"/>
      <c r="BZ113" s="201"/>
      <c r="CA113" s="201"/>
      <c r="CB113" s="201"/>
      <c r="CC113" s="201"/>
      <c r="CD113" s="98" t="str">
        <f t="shared" si="69"/>
        <v/>
      </c>
    </row>
    <row r="114" s="123" customFormat="1" ht="21" customHeight="1" spans="1:82">
      <c r="A114" s="93">
        <v>112</v>
      </c>
      <c r="B114" s="334" t="s">
        <v>408</v>
      </c>
      <c r="C114" s="342" t="s">
        <v>372</v>
      </c>
      <c r="D114" s="100" t="str">
        <f t="shared" si="70"/>
        <v>R3AEAB026PO_TF</v>
      </c>
      <c r="E114" s="335" t="s">
        <v>395</v>
      </c>
      <c r="F114" s="100" t="s">
        <v>234</v>
      </c>
      <c r="G114" s="331" t="s">
        <v>407</v>
      </c>
      <c r="H114" s="330" t="s">
        <v>124</v>
      </c>
      <c r="I114" s="98" t="str">
        <f t="shared" si="63"/>
        <v>FF211</v>
      </c>
      <c r="J114" s="98" t="str">
        <f t="shared" si="64"/>
        <v>207FF</v>
      </c>
      <c r="K114" s="100" t="str">
        <f t="shared" si="65"/>
        <v>3AEKC003AR207FF</v>
      </c>
      <c r="L114" s="102">
        <v>2</v>
      </c>
      <c r="M114" s="102">
        <v>7</v>
      </c>
      <c r="N114" s="102">
        <v>2</v>
      </c>
      <c r="O114" s="186">
        <v>1</v>
      </c>
      <c r="P114" s="102">
        <v>9</v>
      </c>
      <c r="Q114" s="98"/>
      <c r="R114" s="98"/>
      <c r="S114" s="98">
        <f t="shared" si="66"/>
        <v>17</v>
      </c>
      <c r="T114" s="98" t="str">
        <f t="shared" si="72"/>
        <v>TB271</v>
      </c>
      <c r="U114" s="98" t="str">
        <f t="shared" si="67"/>
        <v>207_2FI</v>
      </c>
      <c r="V114" s="98" t="str">
        <f t="shared" si="58"/>
        <v>a</v>
      </c>
      <c r="W114" s="98" t="str">
        <f t="shared" si="59"/>
        <v>b</v>
      </c>
      <c r="X114" s="98" t="str">
        <f t="shared" si="60"/>
        <v>IE-BUS</v>
      </c>
      <c r="Y114" s="98" t="str">
        <f t="shared" si="54"/>
        <v>--</v>
      </c>
      <c r="Z114" s="98" t="s">
        <v>388</v>
      </c>
      <c r="AA114" s="100" t="str">
        <f t="shared" si="71"/>
        <v>3AEKC-800BC_1_FS201</v>
      </c>
      <c r="AB114" s="102" t="str">
        <f t="shared" si="61"/>
        <v>9A</v>
      </c>
      <c r="AC114" s="102" t="str">
        <f t="shared" si="62"/>
        <v>9B</v>
      </c>
      <c r="AD114" s="98" t="s">
        <v>235</v>
      </c>
      <c r="AE114" s="98" t="s">
        <v>236</v>
      </c>
      <c r="AF114" s="331" t="s">
        <v>369</v>
      </c>
      <c r="AG114" s="98" t="s">
        <v>322</v>
      </c>
      <c r="AH114" s="98" t="str">
        <f t="shared" si="68"/>
        <v>DCS</v>
      </c>
      <c r="AI114" s="331" t="s">
        <v>370</v>
      </c>
      <c r="AJ114" s="191" t="s">
        <v>371</v>
      </c>
      <c r="AK114" s="102"/>
      <c r="AL114" s="102"/>
      <c r="AM114" s="102"/>
      <c r="AN114" s="100"/>
      <c r="AO114" s="100"/>
      <c r="AP114" s="102"/>
      <c r="AQ114" s="76" t="s">
        <v>31</v>
      </c>
      <c r="AR114" s="176"/>
      <c r="AS114" s="100"/>
      <c r="AT114" s="102"/>
      <c r="AU114" s="330" t="s">
        <v>245</v>
      </c>
      <c r="AV114" s="100"/>
      <c r="AW114" s="201"/>
      <c r="AX114" s="201"/>
      <c r="AY114" s="201"/>
      <c r="AZ114" s="201"/>
      <c r="BA114" s="201"/>
      <c r="BB114" s="201"/>
      <c r="BC114" s="201"/>
      <c r="BD114" s="201"/>
      <c r="BE114" s="201"/>
      <c r="BF114" s="201"/>
      <c r="BG114" s="201"/>
      <c r="BH114" s="201"/>
      <c r="BI114" s="201"/>
      <c r="BJ114" s="201"/>
      <c r="BK114" s="201"/>
      <c r="BL114" s="201"/>
      <c r="BM114" s="201"/>
      <c r="BN114" s="201"/>
      <c r="BO114" s="201"/>
      <c r="BP114" s="201"/>
      <c r="BQ114" s="201"/>
      <c r="BR114" s="201"/>
      <c r="BS114" s="201"/>
      <c r="BT114" s="201"/>
      <c r="BU114" s="201"/>
      <c r="BV114" s="201"/>
      <c r="BW114" s="201"/>
      <c r="BX114" s="201"/>
      <c r="BY114" s="201"/>
      <c r="BZ114" s="201"/>
      <c r="CA114" s="201"/>
      <c r="CB114" s="201"/>
      <c r="CC114" s="201"/>
      <c r="CD114" s="98" t="str">
        <f t="shared" si="69"/>
        <v/>
      </c>
    </row>
    <row r="115" s="123" customFormat="1" ht="21" customHeight="1" spans="1:82">
      <c r="A115" s="93">
        <v>113</v>
      </c>
      <c r="B115" s="334" t="s">
        <v>408</v>
      </c>
      <c r="C115" s="342" t="s">
        <v>374</v>
      </c>
      <c r="D115" s="100" t="str">
        <f t="shared" si="70"/>
        <v>R3AEAB026PO_GZ</v>
      </c>
      <c r="E115" s="335" t="s">
        <v>396</v>
      </c>
      <c r="F115" s="100" t="s">
        <v>234</v>
      </c>
      <c r="G115" s="331" t="s">
        <v>407</v>
      </c>
      <c r="H115" s="330" t="s">
        <v>124</v>
      </c>
      <c r="I115" s="98" t="str">
        <f t="shared" si="63"/>
        <v>FF211</v>
      </c>
      <c r="J115" s="98" t="str">
        <f t="shared" si="64"/>
        <v>207FF</v>
      </c>
      <c r="K115" s="100" t="str">
        <f t="shared" si="65"/>
        <v>3AEKC003AR207FF</v>
      </c>
      <c r="L115" s="102">
        <v>2</v>
      </c>
      <c r="M115" s="102">
        <v>7</v>
      </c>
      <c r="N115" s="102">
        <v>2</v>
      </c>
      <c r="O115" s="186">
        <v>1</v>
      </c>
      <c r="P115" s="102">
        <v>10</v>
      </c>
      <c r="Q115" s="98"/>
      <c r="R115" s="98"/>
      <c r="S115" s="98">
        <f t="shared" si="66"/>
        <v>17</v>
      </c>
      <c r="T115" s="98" t="str">
        <f t="shared" si="72"/>
        <v>TB271</v>
      </c>
      <c r="U115" s="98" t="str">
        <f t="shared" si="67"/>
        <v>207_2FI</v>
      </c>
      <c r="V115" s="98" t="str">
        <f t="shared" si="58"/>
        <v>a</v>
      </c>
      <c r="W115" s="98" t="str">
        <f t="shared" si="59"/>
        <v>b</v>
      </c>
      <c r="X115" s="98" t="str">
        <f t="shared" si="60"/>
        <v>IE-BUS</v>
      </c>
      <c r="Y115" s="98" t="str">
        <f t="shared" si="54"/>
        <v>--</v>
      </c>
      <c r="Z115" s="98" t="s">
        <v>388</v>
      </c>
      <c r="AA115" s="100" t="str">
        <f t="shared" si="71"/>
        <v>3AEKC-800BC_1_FS201</v>
      </c>
      <c r="AB115" s="102" t="str">
        <f t="shared" si="61"/>
        <v>10A</v>
      </c>
      <c r="AC115" s="102" t="str">
        <f t="shared" si="62"/>
        <v>10B</v>
      </c>
      <c r="AD115" s="98" t="s">
        <v>235</v>
      </c>
      <c r="AE115" s="98" t="s">
        <v>236</v>
      </c>
      <c r="AF115" s="331" t="s">
        <v>369</v>
      </c>
      <c r="AG115" s="98" t="s">
        <v>322</v>
      </c>
      <c r="AH115" s="98" t="str">
        <f t="shared" si="68"/>
        <v>DCS</v>
      </c>
      <c r="AI115" s="331" t="s">
        <v>370</v>
      </c>
      <c r="AJ115" s="191" t="s">
        <v>371</v>
      </c>
      <c r="AK115" s="102"/>
      <c r="AL115" s="102"/>
      <c r="AM115" s="102"/>
      <c r="AN115" s="100"/>
      <c r="AO115" s="100"/>
      <c r="AP115" s="102"/>
      <c r="AQ115" s="76" t="s">
        <v>31</v>
      </c>
      <c r="AR115" s="176"/>
      <c r="AS115" s="100"/>
      <c r="AT115" s="102"/>
      <c r="AU115" s="330" t="s">
        <v>245</v>
      </c>
      <c r="AV115" s="100"/>
      <c r="AW115" s="201"/>
      <c r="AX115" s="201"/>
      <c r="AY115" s="201"/>
      <c r="AZ115" s="201"/>
      <c r="BA115" s="201"/>
      <c r="BB115" s="201"/>
      <c r="BC115" s="201"/>
      <c r="BD115" s="201"/>
      <c r="BE115" s="201"/>
      <c r="BF115" s="201"/>
      <c r="BG115" s="201"/>
      <c r="BH115" s="201"/>
      <c r="BI115" s="201"/>
      <c r="BJ115" s="201"/>
      <c r="BK115" s="201"/>
      <c r="BL115" s="201"/>
      <c r="BM115" s="201"/>
      <c r="BN115" s="201"/>
      <c r="BO115" s="201"/>
      <c r="BP115" s="201"/>
      <c r="BQ115" s="201"/>
      <c r="BR115" s="201"/>
      <c r="BS115" s="201"/>
      <c r="BT115" s="201"/>
      <c r="BU115" s="201"/>
      <c r="BV115" s="201"/>
      <c r="BW115" s="201"/>
      <c r="BX115" s="201"/>
      <c r="BY115" s="201"/>
      <c r="BZ115" s="201"/>
      <c r="CA115" s="201"/>
      <c r="CB115" s="201"/>
      <c r="CC115" s="201"/>
      <c r="CD115" s="98" t="str">
        <f t="shared" si="69"/>
        <v/>
      </c>
    </row>
    <row r="116" s="123" customFormat="1" ht="21" customHeight="1" spans="1:82">
      <c r="A116" s="93">
        <v>114</v>
      </c>
      <c r="B116" s="334" t="s">
        <v>406</v>
      </c>
      <c r="C116" s="342" t="s">
        <v>377</v>
      </c>
      <c r="D116" s="100" t="str">
        <f t="shared" si="70"/>
        <v>R3AEAB025PO_Q</v>
      </c>
      <c r="E116" s="335" t="s">
        <v>397</v>
      </c>
      <c r="F116" s="100" t="s">
        <v>234</v>
      </c>
      <c r="G116" s="331" t="s">
        <v>407</v>
      </c>
      <c r="H116" s="330" t="s">
        <v>124</v>
      </c>
      <c r="I116" s="98" t="str">
        <f t="shared" si="63"/>
        <v>FF211</v>
      </c>
      <c r="J116" s="98" t="str">
        <f t="shared" si="64"/>
        <v>207FF</v>
      </c>
      <c r="K116" s="100" t="str">
        <f t="shared" si="65"/>
        <v>3AEKC003AR207FF</v>
      </c>
      <c r="L116" s="102">
        <v>2</v>
      </c>
      <c r="M116" s="102">
        <v>7</v>
      </c>
      <c r="N116" s="102">
        <v>2</v>
      </c>
      <c r="O116" s="186">
        <v>1</v>
      </c>
      <c r="P116" s="102">
        <v>11</v>
      </c>
      <c r="Q116" s="98"/>
      <c r="R116" s="98"/>
      <c r="S116" s="98">
        <f t="shared" si="66"/>
        <v>17</v>
      </c>
      <c r="T116" s="98" t="str">
        <f t="shared" si="72"/>
        <v>TB271</v>
      </c>
      <c r="U116" s="98" t="str">
        <f t="shared" si="67"/>
        <v>207_2FI</v>
      </c>
      <c r="V116" s="98" t="str">
        <f t="shared" si="58"/>
        <v>a</v>
      </c>
      <c r="W116" s="98" t="str">
        <f t="shared" si="59"/>
        <v>b</v>
      </c>
      <c r="X116" s="98" t="str">
        <f t="shared" si="60"/>
        <v>IE-BUS</v>
      </c>
      <c r="Y116" s="98" t="str">
        <f t="shared" si="54"/>
        <v>--</v>
      </c>
      <c r="Z116" s="98" t="s">
        <v>388</v>
      </c>
      <c r="AA116" s="100" t="str">
        <f t="shared" si="71"/>
        <v>3AEKC-800BC_1_FS201</v>
      </c>
      <c r="AB116" s="102" t="str">
        <f t="shared" si="61"/>
        <v>11B</v>
      </c>
      <c r="AC116" s="102" t="str">
        <f t="shared" si="62"/>
        <v>11D</v>
      </c>
      <c r="AD116" s="98" t="s">
        <v>235</v>
      </c>
      <c r="AE116" s="98" t="s">
        <v>236</v>
      </c>
      <c r="AF116" s="331" t="s">
        <v>379</v>
      </c>
      <c r="AG116" s="98" t="s">
        <v>322</v>
      </c>
      <c r="AH116" s="98" t="str">
        <f t="shared" si="68"/>
        <v>DCS</v>
      </c>
      <c r="AI116" s="331" t="s">
        <v>380</v>
      </c>
      <c r="AJ116" s="191" t="s">
        <v>371</v>
      </c>
      <c r="AK116" s="102"/>
      <c r="AL116" s="102"/>
      <c r="AM116" s="102"/>
      <c r="AN116" s="100"/>
      <c r="AO116" s="100"/>
      <c r="AP116" s="102"/>
      <c r="AQ116" s="76" t="s">
        <v>31</v>
      </c>
      <c r="AR116" s="176"/>
      <c r="AS116" s="100"/>
      <c r="AT116" s="102"/>
      <c r="AU116" s="330" t="s">
        <v>245</v>
      </c>
      <c r="AV116" s="100"/>
      <c r="AW116" s="201"/>
      <c r="AX116" s="201"/>
      <c r="AY116" s="201"/>
      <c r="AZ116" s="201"/>
      <c r="BA116" s="201"/>
      <c r="BB116" s="201"/>
      <c r="BC116" s="201"/>
      <c r="BD116" s="201"/>
      <c r="BE116" s="201"/>
      <c r="BF116" s="201"/>
      <c r="BG116" s="201"/>
      <c r="BH116" s="201"/>
      <c r="BI116" s="201"/>
      <c r="BJ116" s="201"/>
      <c r="BK116" s="201"/>
      <c r="BL116" s="201"/>
      <c r="BM116" s="201"/>
      <c r="BN116" s="201"/>
      <c r="BO116" s="201"/>
      <c r="BP116" s="201"/>
      <c r="BQ116" s="201"/>
      <c r="BR116" s="201"/>
      <c r="BS116" s="201"/>
      <c r="BT116" s="201"/>
      <c r="BU116" s="201"/>
      <c r="BV116" s="201"/>
      <c r="BW116" s="201"/>
      <c r="BX116" s="201"/>
      <c r="BY116" s="201"/>
      <c r="BZ116" s="201"/>
      <c r="CA116" s="201"/>
      <c r="CB116" s="201"/>
      <c r="CC116" s="201"/>
      <c r="CD116" s="98" t="str">
        <f t="shared" si="69"/>
        <v/>
      </c>
    </row>
    <row r="117" s="123" customFormat="1" ht="21" customHeight="1" spans="1:82">
      <c r="A117" s="93">
        <v>115</v>
      </c>
      <c r="B117" s="334" t="s">
        <v>406</v>
      </c>
      <c r="C117" s="342" t="s">
        <v>381</v>
      </c>
      <c r="D117" s="100" t="str">
        <f t="shared" si="70"/>
        <v>R3AEAB025PO_T</v>
      </c>
      <c r="E117" s="335" t="s">
        <v>398</v>
      </c>
      <c r="F117" s="100" t="s">
        <v>234</v>
      </c>
      <c r="G117" s="331" t="s">
        <v>407</v>
      </c>
      <c r="H117" s="330" t="s">
        <v>124</v>
      </c>
      <c r="I117" s="98" t="str">
        <f t="shared" si="63"/>
        <v>FF211</v>
      </c>
      <c r="J117" s="98" t="str">
        <f t="shared" si="64"/>
        <v>207FF</v>
      </c>
      <c r="K117" s="100" t="str">
        <f t="shared" si="65"/>
        <v>3AEKC003AR207FF</v>
      </c>
      <c r="L117" s="102">
        <v>2</v>
      </c>
      <c r="M117" s="102">
        <v>7</v>
      </c>
      <c r="N117" s="102">
        <v>2</v>
      </c>
      <c r="O117" s="186">
        <v>1</v>
      </c>
      <c r="P117" s="102">
        <v>12</v>
      </c>
      <c r="Q117" s="98"/>
      <c r="R117" s="98"/>
      <c r="S117" s="98">
        <f t="shared" si="66"/>
        <v>17</v>
      </c>
      <c r="T117" s="98" t="str">
        <f t="shared" si="72"/>
        <v>TB271</v>
      </c>
      <c r="U117" s="98" t="str">
        <f t="shared" si="67"/>
        <v>207_2FI</v>
      </c>
      <c r="V117" s="98" t="str">
        <f t="shared" si="58"/>
        <v>a</v>
      </c>
      <c r="W117" s="98" t="str">
        <f t="shared" si="59"/>
        <v>b</v>
      </c>
      <c r="X117" s="98" t="str">
        <f t="shared" si="60"/>
        <v>IE-BUS</v>
      </c>
      <c r="Y117" s="98" t="str">
        <f t="shared" si="54"/>
        <v>--</v>
      </c>
      <c r="Z117" s="98" t="s">
        <v>388</v>
      </c>
      <c r="AA117" s="100" t="str">
        <f t="shared" si="71"/>
        <v>3AEKC-800BC_1_FS201</v>
      </c>
      <c r="AB117" s="102" t="str">
        <f t="shared" si="61"/>
        <v>12B</v>
      </c>
      <c r="AC117" s="102" t="str">
        <f t="shared" si="62"/>
        <v>12D</v>
      </c>
      <c r="AD117" s="98" t="s">
        <v>235</v>
      </c>
      <c r="AE117" s="98" t="s">
        <v>236</v>
      </c>
      <c r="AF117" s="331" t="s">
        <v>379</v>
      </c>
      <c r="AG117" s="98" t="s">
        <v>322</v>
      </c>
      <c r="AH117" s="98" t="str">
        <f t="shared" si="68"/>
        <v>DCS</v>
      </c>
      <c r="AI117" s="331" t="s">
        <v>380</v>
      </c>
      <c r="AJ117" s="191" t="s">
        <v>371</v>
      </c>
      <c r="AK117" s="102"/>
      <c r="AL117" s="102"/>
      <c r="AM117" s="102"/>
      <c r="AN117" s="100"/>
      <c r="AO117" s="100"/>
      <c r="AP117" s="102"/>
      <c r="AQ117" s="76" t="s">
        <v>31</v>
      </c>
      <c r="AR117" s="176"/>
      <c r="AS117" s="100"/>
      <c r="AT117" s="102"/>
      <c r="AU117" s="330" t="s">
        <v>245</v>
      </c>
      <c r="AV117" s="100"/>
      <c r="AW117" s="201"/>
      <c r="AX117" s="201"/>
      <c r="AY117" s="201"/>
      <c r="AZ117" s="201"/>
      <c r="BA117" s="201"/>
      <c r="BB117" s="201"/>
      <c r="BC117" s="201"/>
      <c r="BD117" s="201"/>
      <c r="BE117" s="201"/>
      <c r="BF117" s="201"/>
      <c r="BG117" s="201"/>
      <c r="BH117" s="201"/>
      <c r="BI117" s="201"/>
      <c r="BJ117" s="201"/>
      <c r="BK117" s="201"/>
      <c r="BL117" s="201"/>
      <c r="BM117" s="201"/>
      <c r="BN117" s="201"/>
      <c r="BO117" s="201"/>
      <c r="BP117" s="201"/>
      <c r="BQ117" s="201"/>
      <c r="BR117" s="201"/>
      <c r="BS117" s="201"/>
      <c r="BT117" s="201"/>
      <c r="BU117" s="201"/>
      <c r="BV117" s="201"/>
      <c r="BW117" s="201"/>
      <c r="BX117" s="201"/>
      <c r="BY117" s="201"/>
      <c r="BZ117" s="201"/>
      <c r="CA117" s="201"/>
      <c r="CB117" s="201"/>
      <c r="CC117" s="201"/>
      <c r="CD117" s="98" t="str">
        <f t="shared" si="69"/>
        <v/>
      </c>
    </row>
    <row r="118" s="123" customFormat="1" ht="21" customHeight="1" spans="1:82">
      <c r="A118" s="93">
        <v>116</v>
      </c>
      <c r="B118" s="334" t="s">
        <v>408</v>
      </c>
      <c r="C118" s="342" t="s">
        <v>377</v>
      </c>
      <c r="D118" s="100" t="str">
        <f t="shared" si="70"/>
        <v>R3AEAB026PO_Q</v>
      </c>
      <c r="E118" s="335" t="s">
        <v>397</v>
      </c>
      <c r="F118" s="100" t="s">
        <v>234</v>
      </c>
      <c r="G118" s="331" t="s">
        <v>407</v>
      </c>
      <c r="H118" s="330" t="s">
        <v>124</v>
      </c>
      <c r="I118" s="98" t="str">
        <f t="shared" si="63"/>
        <v>FF211</v>
      </c>
      <c r="J118" s="98" t="str">
        <f t="shared" si="64"/>
        <v>207FF</v>
      </c>
      <c r="K118" s="100" t="str">
        <f t="shared" si="65"/>
        <v>3AEKC003AR207FF</v>
      </c>
      <c r="L118" s="102">
        <v>2</v>
      </c>
      <c r="M118" s="102">
        <v>7</v>
      </c>
      <c r="N118" s="102">
        <v>2</v>
      </c>
      <c r="O118" s="186">
        <v>1</v>
      </c>
      <c r="P118" s="102">
        <v>13</v>
      </c>
      <c r="Q118" s="98"/>
      <c r="R118" s="98"/>
      <c r="S118" s="98">
        <f t="shared" si="66"/>
        <v>17</v>
      </c>
      <c r="T118" s="98" t="str">
        <f t="shared" si="72"/>
        <v>TB271</v>
      </c>
      <c r="U118" s="98" t="str">
        <f t="shared" si="67"/>
        <v>207_2FI</v>
      </c>
      <c r="V118" s="98" t="str">
        <f t="shared" si="58"/>
        <v>a</v>
      </c>
      <c r="W118" s="98" t="str">
        <f t="shared" si="59"/>
        <v>b</v>
      </c>
      <c r="X118" s="98" t="str">
        <f t="shared" si="60"/>
        <v>IE-BUS</v>
      </c>
      <c r="Y118" s="98" t="str">
        <f t="shared" si="54"/>
        <v>--</v>
      </c>
      <c r="Z118" s="98" t="s">
        <v>388</v>
      </c>
      <c r="AA118" s="100" t="str">
        <f t="shared" si="71"/>
        <v>3AEKC-800BC_1_FS201</v>
      </c>
      <c r="AB118" s="102" t="str">
        <f t="shared" si="61"/>
        <v>13B</v>
      </c>
      <c r="AC118" s="102" t="str">
        <f t="shared" si="62"/>
        <v>13D</v>
      </c>
      <c r="AD118" s="98" t="s">
        <v>235</v>
      </c>
      <c r="AE118" s="98" t="s">
        <v>236</v>
      </c>
      <c r="AF118" s="331" t="s">
        <v>379</v>
      </c>
      <c r="AG118" s="98" t="s">
        <v>322</v>
      </c>
      <c r="AH118" s="98" t="str">
        <f t="shared" si="68"/>
        <v>DCS</v>
      </c>
      <c r="AI118" s="331" t="s">
        <v>380</v>
      </c>
      <c r="AJ118" s="191" t="s">
        <v>371</v>
      </c>
      <c r="AK118" s="102"/>
      <c r="AL118" s="102"/>
      <c r="AM118" s="102"/>
      <c r="AN118" s="100"/>
      <c r="AO118" s="100"/>
      <c r="AP118" s="102"/>
      <c r="AQ118" s="76" t="s">
        <v>31</v>
      </c>
      <c r="AR118" s="176"/>
      <c r="AS118" s="100"/>
      <c r="AT118" s="102"/>
      <c r="AU118" s="330" t="s">
        <v>245</v>
      </c>
      <c r="AV118" s="100"/>
      <c r="AW118" s="201"/>
      <c r="AX118" s="201"/>
      <c r="AY118" s="201"/>
      <c r="AZ118" s="201"/>
      <c r="BA118" s="201"/>
      <c r="BB118" s="201"/>
      <c r="BC118" s="201"/>
      <c r="BD118" s="201"/>
      <c r="BE118" s="201"/>
      <c r="BF118" s="201"/>
      <c r="BG118" s="201"/>
      <c r="BH118" s="201"/>
      <c r="BI118" s="201"/>
      <c r="BJ118" s="201"/>
      <c r="BK118" s="201"/>
      <c r="BL118" s="201"/>
      <c r="BM118" s="201"/>
      <c r="BN118" s="201"/>
      <c r="BO118" s="201"/>
      <c r="BP118" s="201"/>
      <c r="BQ118" s="201"/>
      <c r="BR118" s="201"/>
      <c r="BS118" s="201"/>
      <c r="BT118" s="201"/>
      <c r="BU118" s="201"/>
      <c r="BV118" s="201"/>
      <c r="BW118" s="201"/>
      <c r="BX118" s="201"/>
      <c r="BY118" s="201"/>
      <c r="BZ118" s="201"/>
      <c r="CA118" s="201"/>
      <c r="CB118" s="201"/>
      <c r="CC118" s="201"/>
      <c r="CD118" s="98" t="str">
        <f t="shared" si="69"/>
        <v/>
      </c>
    </row>
    <row r="119" s="123" customFormat="1" ht="21" customHeight="1" spans="1:82">
      <c r="A119" s="93">
        <v>117</v>
      </c>
      <c r="B119" s="334" t="s">
        <v>408</v>
      </c>
      <c r="C119" s="342" t="s">
        <v>381</v>
      </c>
      <c r="D119" s="100" t="str">
        <f t="shared" si="70"/>
        <v>R3AEAB026PO_T</v>
      </c>
      <c r="E119" s="335" t="s">
        <v>398</v>
      </c>
      <c r="F119" s="100" t="s">
        <v>234</v>
      </c>
      <c r="G119" s="331" t="s">
        <v>407</v>
      </c>
      <c r="H119" s="330" t="s">
        <v>124</v>
      </c>
      <c r="I119" s="98" t="str">
        <f t="shared" si="63"/>
        <v>FF211</v>
      </c>
      <c r="J119" s="98" t="str">
        <f t="shared" si="64"/>
        <v>207FF</v>
      </c>
      <c r="K119" s="100" t="str">
        <f t="shared" si="65"/>
        <v>3AEKC003AR207FF</v>
      </c>
      <c r="L119" s="102">
        <v>2</v>
      </c>
      <c r="M119" s="102">
        <v>7</v>
      </c>
      <c r="N119" s="102">
        <v>2</v>
      </c>
      <c r="O119" s="186">
        <v>1</v>
      </c>
      <c r="P119" s="102">
        <v>14</v>
      </c>
      <c r="Q119" s="98"/>
      <c r="R119" s="98"/>
      <c r="S119" s="98">
        <f t="shared" si="66"/>
        <v>17</v>
      </c>
      <c r="T119" s="98" t="str">
        <f t="shared" si="72"/>
        <v>TB271</v>
      </c>
      <c r="U119" s="98" t="str">
        <f t="shared" si="67"/>
        <v>207_2FI</v>
      </c>
      <c r="V119" s="98" t="str">
        <f t="shared" si="58"/>
        <v>a</v>
      </c>
      <c r="W119" s="98" t="str">
        <f t="shared" si="59"/>
        <v>b</v>
      </c>
      <c r="X119" s="98" t="str">
        <f t="shared" si="60"/>
        <v>IE-BUS</v>
      </c>
      <c r="Y119" s="98" t="str">
        <f t="shared" si="54"/>
        <v>--</v>
      </c>
      <c r="Z119" s="98" t="s">
        <v>388</v>
      </c>
      <c r="AA119" s="100" t="str">
        <f t="shared" si="71"/>
        <v>3AEKC-800BC_1_FS201</v>
      </c>
      <c r="AB119" s="102" t="str">
        <f t="shared" si="61"/>
        <v>14B</v>
      </c>
      <c r="AC119" s="102" t="str">
        <f t="shared" si="62"/>
        <v>14D</v>
      </c>
      <c r="AD119" s="98" t="s">
        <v>235</v>
      </c>
      <c r="AE119" s="98" t="s">
        <v>236</v>
      </c>
      <c r="AF119" s="331" t="s">
        <v>379</v>
      </c>
      <c r="AG119" s="98" t="s">
        <v>322</v>
      </c>
      <c r="AH119" s="98" t="str">
        <f t="shared" si="68"/>
        <v>DCS</v>
      </c>
      <c r="AI119" s="331" t="s">
        <v>380</v>
      </c>
      <c r="AJ119" s="191" t="s">
        <v>371</v>
      </c>
      <c r="AK119" s="102"/>
      <c r="AL119" s="102"/>
      <c r="AM119" s="102"/>
      <c r="AN119" s="100"/>
      <c r="AO119" s="100"/>
      <c r="AP119" s="102"/>
      <c r="AQ119" s="76" t="s">
        <v>31</v>
      </c>
      <c r="AR119" s="176"/>
      <c r="AS119" s="100"/>
      <c r="AT119" s="102"/>
      <c r="AU119" s="330" t="s">
        <v>245</v>
      </c>
      <c r="AV119" s="100"/>
      <c r="AW119" s="201"/>
      <c r="AX119" s="201"/>
      <c r="AY119" s="201"/>
      <c r="AZ119" s="201"/>
      <c r="BA119" s="201"/>
      <c r="BB119" s="201"/>
      <c r="BC119" s="201"/>
      <c r="BD119" s="201"/>
      <c r="BE119" s="201"/>
      <c r="BF119" s="201"/>
      <c r="BG119" s="201"/>
      <c r="BH119" s="201"/>
      <c r="BI119" s="201"/>
      <c r="BJ119" s="201"/>
      <c r="BK119" s="201"/>
      <c r="BL119" s="201"/>
      <c r="BM119" s="201"/>
      <c r="BN119" s="201"/>
      <c r="BO119" s="201"/>
      <c r="BP119" s="201"/>
      <c r="BQ119" s="201"/>
      <c r="BR119" s="201"/>
      <c r="BS119" s="201"/>
      <c r="BT119" s="201"/>
      <c r="BU119" s="201"/>
      <c r="BV119" s="201"/>
      <c r="BW119" s="201"/>
      <c r="BX119" s="201"/>
      <c r="BY119" s="201"/>
      <c r="BZ119" s="201"/>
      <c r="CA119" s="201"/>
      <c r="CB119" s="201"/>
      <c r="CC119" s="201"/>
      <c r="CD119" s="98" t="str">
        <f t="shared" si="69"/>
        <v/>
      </c>
    </row>
    <row r="120" s="123" customFormat="1" ht="21" customHeight="1" spans="1:82">
      <c r="A120" s="171">
        <v>118</v>
      </c>
      <c r="B120" s="337" t="s">
        <v>409</v>
      </c>
      <c r="C120" s="341" t="s">
        <v>385</v>
      </c>
      <c r="D120" s="173" t="str">
        <f t="shared" si="70"/>
        <v>R3AEAB042PO_Z</v>
      </c>
      <c r="E120" s="338" t="s">
        <v>386</v>
      </c>
      <c r="F120" s="173" t="s">
        <v>234</v>
      </c>
      <c r="G120" s="339" t="s">
        <v>407</v>
      </c>
      <c r="H120" s="322" t="s">
        <v>124</v>
      </c>
      <c r="I120" s="184" t="str">
        <f t="shared" si="63"/>
        <v>FF211</v>
      </c>
      <c r="J120" s="184" t="str">
        <f t="shared" si="64"/>
        <v>207FF</v>
      </c>
      <c r="K120" s="173" t="str">
        <f t="shared" si="65"/>
        <v>3AEKC003AR207FF</v>
      </c>
      <c r="L120" s="175">
        <v>2</v>
      </c>
      <c r="M120" s="175">
        <v>7</v>
      </c>
      <c r="N120" s="175">
        <v>2</v>
      </c>
      <c r="O120" s="185">
        <v>2</v>
      </c>
      <c r="P120" s="175">
        <v>1</v>
      </c>
      <c r="Q120" s="184"/>
      <c r="R120" s="184"/>
      <c r="S120" s="184">
        <f t="shared" si="66"/>
        <v>17</v>
      </c>
      <c r="T120" s="184" t="str">
        <f t="shared" si="72"/>
        <v>TB271</v>
      </c>
      <c r="U120" s="184" t="str">
        <f t="shared" si="67"/>
        <v>207_2FI</v>
      </c>
      <c r="V120" s="184" t="str">
        <f t="shared" si="58"/>
        <v>a</v>
      </c>
      <c r="W120" s="184" t="str">
        <f t="shared" si="59"/>
        <v>b</v>
      </c>
      <c r="X120" s="184" t="str">
        <f t="shared" si="60"/>
        <v>IE-BUS</v>
      </c>
      <c r="Y120" s="184" t="str">
        <f t="shared" si="54"/>
        <v>--</v>
      </c>
      <c r="Z120" s="184" t="s">
        <v>388</v>
      </c>
      <c r="AA120" s="173" t="str">
        <f t="shared" si="71"/>
        <v>3AEKC-800BC_2_FS201</v>
      </c>
      <c r="AB120" s="175" t="str">
        <f t="shared" si="61"/>
        <v>1B</v>
      </c>
      <c r="AC120" s="175" t="str">
        <f t="shared" si="62"/>
        <v>1A</v>
      </c>
      <c r="AD120" s="184" t="s">
        <v>235</v>
      </c>
      <c r="AE120" s="184" t="s">
        <v>236</v>
      </c>
      <c r="AF120" s="339" t="s">
        <v>321</v>
      </c>
      <c r="AG120" s="184" t="s">
        <v>322</v>
      </c>
      <c r="AH120" s="184" t="str">
        <f t="shared" si="68"/>
        <v>DCS</v>
      </c>
      <c r="AI120" s="339" t="s">
        <v>323</v>
      </c>
      <c r="AJ120" s="197" t="s">
        <v>371</v>
      </c>
      <c r="AK120" s="175"/>
      <c r="AL120" s="175"/>
      <c r="AM120" s="175"/>
      <c r="AN120" s="173"/>
      <c r="AO120" s="173"/>
      <c r="AP120" s="175"/>
      <c r="AQ120" s="198" t="s">
        <v>31</v>
      </c>
      <c r="AR120" s="203"/>
      <c r="AS120" s="173"/>
      <c r="AT120" s="175"/>
      <c r="AU120" s="322" t="s">
        <v>245</v>
      </c>
      <c r="AV120" s="173"/>
      <c r="AW120" s="202"/>
      <c r="AX120" s="202"/>
      <c r="AY120" s="202"/>
      <c r="AZ120" s="202"/>
      <c r="BA120" s="202"/>
      <c r="BB120" s="202"/>
      <c r="BC120" s="202"/>
      <c r="BD120" s="202"/>
      <c r="BE120" s="202"/>
      <c r="BF120" s="202"/>
      <c r="BG120" s="202"/>
      <c r="BH120" s="202"/>
      <c r="BI120" s="202"/>
      <c r="BJ120" s="202"/>
      <c r="BK120" s="202"/>
      <c r="BL120" s="202"/>
      <c r="BM120" s="202"/>
      <c r="BN120" s="202"/>
      <c r="BO120" s="202"/>
      <c r="BP120" s="202"/>
      <c r="BQ120" s="202"/>
      <c r="BR120" s="202"/>
      <c r="BS120" s="202"/>
      <c r="BT120" s="202"/>
      <c r="BU120" s="202"/>
      <c r="BV120" s="202"/>
      <c r="BW120" s="202"/>
      <c r="BX120" s="202"/>
      <c r="BY120" s="202"/>
      <c r="BZ120" s="202"/>
      <c r="CA120" s="202"/>
      <c r="CB120" s="202"/>
      <c r="CC120" s="202"/>
      <c r="CD120" s="184" t="str">
        <f t="shared" si="69"/>
        <v/>
      </c>
    </row>
    <row r="121" s="123" customFormat="1" ht="21" customHeight="1" spans="1:82">
      <c r="A121" s="93">
        <v>119</v>
      </c>
      <c r="B121" s="334" t="s">
        <v>410</v>
      </c>
      <c r="C121" s="342" t="s">
        <v>385</v>
      </c>
      <c r="D121" s="100" t="str">
        <f t="shared" si="70"/>
        <v>R3AEAB040PO_Z</v>
      </c>
      <c r="E121" s="335" t="s">
        <v>386</v>
      </c>
      <c r="F121" s="100" t="s">
        <v>234</v>
      </c>
      <c r="G121" s="331" t="s">
        <v>407</v>
      </c>
      <c r="H121" s="330" t="s">
        <v>124</v>
      </c>
      <c r="I121" s="98" t="str">
        <f t="shared" si="63"/>
        <v>FF211</v>
      </c>
      <c r="J121" s="98" t="str">
        <f t="shared" si="64"/>
        <v>207FF</v>
      </c>
      <c r="K121" s="100" t="str">
        <f t="shared" si="65"/>
        <v>3AEKC003AR207FF</v>
      </c>
      <c r="L121" s="102">
        <v>2</v>
      </c>
      <c r="M121" s="102">
        <v>7</v>
      </c>
      <c r="N121" s="102">
        <v>2</v>
      </c>
      <c r="O121" s="186">
        <v>2</v>
      </c>
      <c r="P121" s="102">
        <v>2</v>
      </c>
      <c r="Q121" s="98"/>
      <c r="R121" s="98"/>
      <c r="S121" s="98">
        <f t="shared" si="66"/>
        <v>17</v>
      </c>
      <c r="T121" s="98" t="str">
        <f t="shared" si="72"/>
        <v>TB271</v>
      </c>
      <c r="U121" s="98" t="str">
        <f t="shared" si="67"/>
        <v>207_2FI</v>
      </c>
      <c r="V121" s="98" t="str">
        <f t="shared" si="58"/>
        <v>a</v>
      </c>
      <c r="W121" s="98" t="str">
        <f t="shared" si="59"/>
        <v>b</v>
      </c>
      <c r="X121" s="98" t="str">
        <f t="shared" si="60"/>
        <v>IE-BUS</v>
      </c>
      <c r="Y121" s="98" t="str">
        <f t="shared" si="54"/>
        <v>--</v>
      </c>
      <c r="Z121" s="98" t="s">
        <v>388</v>
      </c>
      <c r="AA121" s="100" t="str">
        <f t="shared" si="71"/>
        <v>3AEKC-800BC_2_FS201</v>
      </c>
      <c r="AB121" s="102" t="str">
        <f t="shared" si="61"/>
        <v>2B</v>
      </c>
      <c r="AC121" s="102" t="str">
        <f t="shared" si="62"/>
        <v>2A</v>
      </c>
      <c r="AD121" s="98" t="s">
        <v>235</v>
      </c>
      <c r="AE121" s="98" t="s">
        <v>236</v>
      </c>
      <c r="AF121" s="331" t="s">
        <v>321</v>
      </c>
      <c r="AG121" s="98" t="s">
        <v>322</v>
      </c>
      <c r="AH121" s="98" t="str">
        <f t="shared" si="68"/>
        <v>DCS</v>
      </c>
      <c r="AI121" s="331" t="s">
        <v>323</v>
      </c>
      <c r="AJ121" s="191" t="s">
        <v>371</v>
      </c>
      <c r="AK121" s="102"/>
      <c r="AL121" s="102"/>
      <c r="AM121" s="102"/>
      <c r="AN121" s="100"/>
      <c r="AO121" s="100"/>
      <c r="AP121" s="102"/>
      <c r="AQ121" s="76" t="s">
        <v>31</v>
      </c>
      <c r="AR121" s="176"/>
      <c r="AS121" s="100"/>
      <c r="AT121" s="102"/>
      <c r="AU121" s="330" t="s">
        <v>245</v>
      </c>
      <c r="AV121" s="100"/>
      <c r="AW121" s="201"/>
      <c r="AX121" s="201"/>
      <c r="AY121" s="201"/>
      <c r="AZ121" s="201"/>
      <c r="BA121" s="201"/>
      <c r="BB121" s="201"/>
      <c r="BC121" s="201"/>
      <c r="BD121" s="201"/>
      <c r="BE121" s="201"/>
      <c r="BF121" s="201"/>
      <c r="BG121" s="201"/>
      <c r="BH121" s="201"/>
      <c r="BI121" s="201"/>
      <c r="BJ121" s="201"/>
      <c r="BK121" s="201"/>
      <c r="BL121" s="201"/>
      <c r="BM121" s="201"/>
      <c r="BN121" s="201"/>
      <c r="BO121" s="201"/>
      <c r="BP121" s="201"/>
      <c r="BQ121" s="201"/>
      <c r="BR121" s="201"/>
      <c r="BS121" s="201"/>
      <c r="BT121" s="201"/>
      <c r="BU121" s="201"/>
      <c r="BV121" s="201"/>
      <c r="BW121" s="201"/>
      <c r="BX121" s="201"/>
      <c r="BY121" s="201"/>
      <c r="BZ121" s="201"/>
      <c r="CA121" s="201"/>
      <c r="CB121" s="201"/>
      <c r="CC121" s="201"/>
      <c r="CD121" s="98" t="str">
        <f t="shared" si="69"/>
        <v/>
      </c>
    </row>
    <row r="122" s="123" customFormat="1" ht="21" customHeight="1" spans="1:82">
      <c r="A122" s="93">
        <v>120</v>
      </c>
      <c r="B122" s="334" t="s">
        <v>409</v>
      </c>
      <c r="C122" s="342" t="s">
        <v>392</v>
      </c>
      <c r="D122" s="100" t="str">
        <f t="shared" si="70"/>
        <v>R3AEAB042PO_PK</v>
      </c>
      <c r="E122" s="335" t="s">
        <v>393</v>
      </c>
      <c r="F122" s="100" t="s">
        <v>234</v>
      </c>
      <c r="G122" s="331" t="s">
        <v>407</v>
      </c>
      <c r="H122" s="330" t="s">
        <v>124</v>
      </c>
      <c r="I122" s="98" t="str">
        <f t="shared" si="63"/>
        <v>FF211</v>
      </c>
      <c r="J122" s="98" t="str">
        <f t="shared" si="64"/>
        <v>207FF</v>
      </c>
      <c r="K122" s="100" t="str">
        <f t="shared" si="65"/>
        <v>3AEKC003AR207FF</v>
      </c>
      <c r="L122" s="102">
        <v>2</v>
      </c>
      <c r="M122" s="102">
        <v>7</v>
      </c>
      <c r="N122" s="102">
        <v>2</v>
      </c>
      <c r="O122" s="186">
        <v>2</v>
      </c>
      <c r="P122" s="102">
        <v>3</v>
      </c>
      <c r="Q122" s="98"/>
      <c r="R122" s="98"/>
      <c r="S122" s="98">
        <f t="shared" si="66"/>
        <v>17</v>
      </c>
      <c r="T122" s="98" t="str">
        <f t="shared" si="72"/>
        <v>TB271</v>
      </c>
      <c r="U122" s="98" t="str">
        <f t="shared" si="67"/>
        <v>207_2FI</v>
      </c>
      <c r="V122" s="98" t="str">
        <f t="shared" si="58"/>
        <v>a</v>
      </c>
      <c r="W122" s="98" t="str">
        <f t="shared" si="59"/>
        <v>b</v>
      </c>
      <c r="X122" s="98" t="str">
        <f t="shared" si="60"/>
        <v>IE-BUS</v>
      </c>
      <c r="Y122" s="98" t="str">
        <f t="shared" si="54"/>
        <v>--</v>
      </c>
      <c r="Z122" s="98" t="s">
        <v>388</v>
      </c>
      <c r="AA122" s="100" t="str">
        <f t="shared" si="71"/>
        <v>3AEKC-800BC_2_FS201</v>
      </c>
      <c r="AB122" s="102" t="str">
        <f t="shared" si="61"/>
        <v>3C</v>
      </c>
      <c r="AC122" s="102" t="str">
        <f t="shared" si="62"/>
        <v>3B</v>
      </c>
      <c r="AD122" s="98" t="s">
        <v>235</v>
      </c>
      <c r="AE122" s="98" t="s">
        <v>236</v>
      </c>
      <c r="AF122" s="331" t="s">
        <v>352</v>
      </c>
      <c r="AG122" s="98" t="s">
        <v>322</v>
      </c>
      <c r="AH122" s="98" t="str">
        <f t="shared" si="68"/>
        <v>DCS</v>
      </c>
      <c r="AI122" s="331" t="s">
        <v>353</v>
      </c>
      <c r="AJ122" s="191" t="s">
        <v>371</v>
      </c>
      <c r="AK122" s="102"/>
      <c r="AL122" s="102"/>
      <c r="AM122" s="102"/>
      <c r="AN122" s="100"/>
      <c r="AO122" s="100"/>
      <c r="AP122" s="102"/>
      <c r="AQ122" s="76" t="s">
        <v>31</v>
      </c>
      <c r="AR122" s="176"/>
      <c r="AS122" s="100"/>
      <c r="AT122" s="102"/>
      <c r="AU122" s="330" t="s">
        <v>245</v>
      </c>
      <c r="AV122" s="100"/>
      <c r="AW122" s="201"/>
      <c r="AX122" s="201"/>
      <c r="AY122" s="201"/>
      <c r="AZ122" s="201"/>
      <c r="BA122" s="201"/>
      <c r="BB122" s="201"/>
      <c r="BC122" s="201"/>
      <c r="BD122" s="201"/>
      <c r="BE122" s="201"/>
      <c r="BF122" s="201"/>
      <c r="BG122" s="201"/>
      <c r="BH122" s="201"/>
      <c r="BI122" s="201"/>
      <c r="BJ122" s="201"/>
      <c r="BK122" s="201"/>
      <c r="BL122" s="201"/>
      <c r="BM122" s="201"/>
      <c r="BN122" s="201"/>
      <c r="BO122" s="201"/>
      <c r="BP122" s="201"/>
      <c r="BQ122" s="201"/>
      <c r="BR122" s="201"/>
      <c r="BS122" s="201"/>
      <c r="BT122" s="201"/>
      <c r="BU122" s="201"/>
      <c r="BV122" s="201"/>
      <c r="BW122" s="201"/>
      <c r="BX122" s="201"/>
      <c r="BY122" s="201"/>
      <c r="BZ122" s="201"/>
      <c r="CA122" s="201"/>
      <c r="CB122" s="201"/>
      <c r="CC122" s="201"/>
      <c r="CD122" s="98" t="str">
        <f t="shared" si="69"/>
        <v/>
      </c>
    </row>
    <row r="123" s="123" customFormat="1" ht="21" customHeight="1" spans="1:82">
      <c r="A123" s="93">
        <v>121</v>
      </c>
      <c r="B123" s="334" t="s">
        <v>410</v>
      </c>
      <c r="C123" s="342" t="s">
        <v>392</v>
      </c>
      <c r="D123" s="100" t="str">
        <f t="shared" si="70"/>
        <v>R3AEAB040PO_PK</v>
      </c>
      <c r="E123" s="335" t="s">
        <v>393</v>
      </c>
      <c r="F123" s="100" t="s">
        <v>234</v>
      </c>
      <c r="G123" s="331" t="s">
        <v>407</v>
      </c>
      <c r="H123" s="330" t="s">
        <v>124</v>
      </c>
      <c r="I123" s="98" t="str">
        <f t="shared" si="63"/>
        <v>FF211</v>
      </c>
      <c r="J123" s="98" t="str">
        <f t="shared" si="64"/>
        <v>207FF</v>
      </c>
      <c r="K123" s="100" t="str">
        <f t="shared" si="65"/>
        <v>3AEKC003AR207FF</v>
      </c>
      <c r="L123" s="102">
        <v>2</v>
      </c>
      <c r="M123" s="102">
        <v>7</v>
      </c>
      <c r="N123" s="102">
        <v>2</v>
      </c>
      <c r="O123" s="186">
        <v>2</v>
      </c>
      <c r="P123" s="102">
        <v>4</v>
      </c>
      <c r="Q123" s="98"/>
      <c r="R123" s="98"/>
      <c r="S123" s="98">
        <f t="shared" si="66"/>
        <v>17</v>
      </c>
      <c r="T123" s="98" t="str">
        <f t="shared" si="72"/>
        <v>TB271</v>
      </c>
      <c r="U123" s="98" t="str">
        <f t="shared" si="67"/>
        <v>207_2FI</v>
      </c>
      <c r="V123" s="98" t="str">
        <f t="shared" si="58"/>
        <v>a</v>
      </c>
      <c r="W123" s="98" t="str">
        <f t="shared" si="59"/>
        <v>b</v>
      </c>
      <c r="X123" s="98" t="str">
        <f t="shared" si="60"/>
        <v>IE-BUS</v>
      </c>
      <c r="Y123" s="98" t="str">
        <f t="shared" si="54"/>
        <v>--</v>
      </c>
      <c r="Z123" s="98" t="s">
        <v>388</v>
      </c>
      <c r="AA123" s="100" t="str">
        <f t="shared" si="71"/>
        <v>3AEKC-800BC_2_FS201</v>
      </c>
      <c r="AB123" s="102" t="str">
        <f t="shared" si="61"/>
        <v>4C</v>
      </c>
      <c r="AC123" s="102" t="str">
        <f t="shared" si="62"/>
        <v>4B</v>
      </c>
      <c r="AD123" s="98" t="s">
        <v>235</v>
      </c>
      <c r="AE123" s="98" t="s">
        <v>236</v>
      </c>
      <c r="AF123" s="331" t="s">
        <v>352</v>
      </c>
      <c r="AG123" s="98" t="s">
        <v>322</v>
      </c>
      <c r="AH123" s="98" t="str">
        <f t="shared" si="68"/>
        <v>DCS</v>
      </c>
      <c r="AI123" s="331" t="s">
        <v>353</v>
      </c>
      <c r="AJ123" s="191" t="s">
        <v>371</v>
      </c>
      <c r="AK123" s="102"/>
      <c r="AL123" s="102"/>
      <c r="AM123" s="102"/>
      <c r="AN123" s="100"/>
      <c r="AO123" s="100"/>
      <c r="AP123" s="102"/>
      <c r="AQ123" s="76" t="s">
        <v>31</v>
      </c>
      <c r="AR123" s="176"/>
      <c r="AS123" s="100"/>
      <c r="AT123" s="102"/>
      <c r="AU123" s="330" t="s">
        <v>245</v>
      </c>
      <c r="AV123" s="100"/>
      <c r="AW123" s="201"/>
      <c r="AX123" s="201"/>
      <c r="AY123" s="201"/>
      <c r="AZ123" s="201"/>
      <c r="BA123" s="201"/>
      <c r="BB123" s="201"/>
      <c r="BC123" s="201"/>
      <c r="BD123" s="201"/>
      <c r="BE123" s="201"/>
      <c r="BF123" s="201"/>
      <c r="BG123" s="201"/>
      <c r="BH123" s="201"/>
      <c r="BI123" s="201"/>
      <c r="BJ123" s="201"/>
      <c r="BK123" s="201"/>
      <c r="BL123" s="201"/>
      <c r="BM123" s="201"/>
      <c r="BN123" s="201"/>
      <c r="BO123" s="201"/>
      <c r="BP123" s="201"/>
      <c r="BQ123" s="201"/>
      <c r="BR123" s="201"/>
      <c r="BS123" s="201"/>
      <c r="BT123" s="201"/>
      <c r="BU123" s="201"/>
      <c r="BV123" s="201"/>
      <c r="BW123" s="201"/>
      <c r="BX123" s="201"/>
      <c r="BY123" s="201"/>
      <c r="BZ123" s="201"/>
      <c r="CA123" s="201"/>
      <c r="CB123" s="201"/>
      <c r="CC123" s="201"/>
      <c r="CD123" s="98" t="str">
        <f t="shared" si="69"/>
        <v/>
      </c>
    </row>
    <row r="124" s="123" customFormat="1" ht="21" customHeight="1" spans="1:82">
      <c r="A124" s="93">
        <v>122</v>
      </c>
      <c r="B124" s="334" t="s">
        <v>409</v>
      </c>
      <c r="C124" s="342" t="s">
        <v>365</v>
      </c>
      <c r="D124" s="100" t="str">
        <f t="shared" si="70"/>
        <v>R3AEAB042PO_QF</v>
      </c>
      <c r="E124" s="335" t="s">
        <v>394</v>
      </c>
      <c r="F124" s="100" t="s">
        <v>234</v>
      </c>
      <c r="G124" s="331" t="s">
        <v>407</v>
      </c>
      <c r="H124" s="330" t="s">
        <v>124</v>
      </c>
      <c r="I124" s="98" t="str">
        <f t="shared" si="63"/>
        <v>FF211</v>
      </c>
      <c r="J124" s="98" t="str">
        <f t="shared" si="64"/>
        <v>207FF</v>
      </c>
      <c r="K124" s="100" t="str">
        <f t="shared" si="65"/>
        <v>3AEKC003AR207FF</v>
      </c>
      <c r="L124" s="102">
        <v>2</v>
      </c>
      <c r="M124" s="102">
        <v>7</v>
      </c>
      <c r="N124" s="102">
        <v>2</v>
      </c>
      <c r="O124" s="186">
        <v>2</v>
      </c>
      <c r="P124" s="102">
        <v>5</v>
      </c>
      <c r="Q124" s="98"/>
      <c r="R124" s="98"/>
      <c r="S124" s="98">
        <f t="shared" si="66"/>
        <v>17</v>
      </c>
      <c r="T124" s="98" t="str">
        <f t="shared" si="72"/>
        <v>TB271</v>
      </c>
      <c r="U124" s="98" t="str">
        <f t="shared" si="67"/>
        <v>207_2FI</v>
      </c>
      <c r="V124" s="98" t="str">
        <f t="shared" si="58"/>
        <v>a</v>
      </c>
      <c r="W124" s="98" t="str">
        <f t="shared" si="59"/>
        <v>b</v>
      </c>
      <c r="X124" s="98" t="str">
        <f t="shared" si="60"/>
        <v>IE-BUS</v>
      </c>
      <c r="Y124" s="98" t="str">
        <f t="shared" si="54"/>
        <v>--</v>
      </c>
      <c r="Z124" s="98" t="s">
        <v>388</v>
      </c>
      <c r="AA124" s="100" t="str">
        <f t="shared" si="71"/>
        <v>3AEKC-800BC_2_FS201</v>
      </c>
      <c r="AB124" s="102" t="str">
        <f t="shared" si="61"/>
        <v>5A</v>
      </c>
      <c r="AC124" s="102" t="str">
        <f t="shared" si="62"/>
        <v>5B</v>
      </c>
      <c r="AD124" s="98" t="s">
        <v>235</v>
      </c>
      <c r="AE124" s="98" t="s">
        <v>236</v>
      </c>
      <c r="AF124" s="331" t="s">
        <v>369</v>
      </c>
      <c r="AG124" s="98" t="s">
        <v>322</v>
      </c>
      <c r="AH124" s="98" t="str">
        <f t="shared" si="68"/>
        <v>DCS</v>
      </c>
      <c r="AI124" s="331" t="s">
        <v>370</v>
      </c>
      <c r="AJ124" s="191" t="s">
        <v>371</v>
      </c>
      <c r="AK124" s="102"/>
      <c r="AL124" s="102"/>
      <c r="AM124" s="102"/>
      <c r="AN124" s="100"/>
      <c r="AO124" s="100"/>
      <c r="AP124" s="102"/>
      <c r="AQ124" s="76" t="s">
        <v>31</v>
      </c>
      <c r="AR124" s="176"/>
      <c r="AS124" s="100"/>
      <c r="AT124" s="102"/>
      <c r="AU124" s="330" t="s">
        <v>245</v>
      </c>
      <c r="AV124" s="100"/>
      <c r="AW124" s="201"/>
      <c r="AX124" s="201"/>
      <c r="AY124" s="201"/>
      <c r="AZ124" s="201"/>
      <c r="BA124" s="201"/>
      <c r="BB124" s="201"/>
      <c r="BC124" s="201"/>
      <c r="BD124" s="201"/>
      <c r="BE124" s="201"/>
      <c r="BF124" s="201"/>
      <c r="BG124" s="201"/>
      <c r="BH124" s="201"/>
      <c r="BI124" s="201"/>
      <c r="BJ124" s="201"/>
      <c r="BK124" s="201"/>
      <c r="BL124" s="201"/>
      <c r="BM124" s="201"/>
      <c r="BN124" s="201"/>
      <c r="BO124" s="201"/>
      <c r="BP124" s="201"/>
      <c r="BQ124" s="201"/>
      <c r="BR124" s="201"/>
      <c r="BS124" s="201"/>
      <c r="BT124" s="201"/>
      <c r="BU124" s="201"/>
      <c r="BV124" s="201"/>
      <c r="BW124" s="201"/>
      <c r="BX124" s="201"/>
      <c r="BY124" s="201"/>
      <c r="BZ124" s="201"/>
      <c r="CA124" s="201"/>
      <c r="CB124" s="201"/>
      <c r="CC124" s="201"/>
      <c r="CD124" s="98" t="str">
        <f t="shared" si="69"/>
        <v/>
      </c>
    </row>
    <row r="125" s="123" customFormat="1" ht="21" customHeight="1" spans="1:82">
      <c r="A125" s="93">
        <v>123</v>
      </c>
      <c r="B125" s="334" t="s">
        <v>409</v>
      </c>
      <c r="C125" s="342" t="s">
        <v>372</v>
      </c>
      <c r="D125" s="100" t="str">
        <f t="shared" si="70"/>
        <v>R3AEAB042PO_TF</v>
      </c>
      <c r="E125" s="335" t="s">
        <v>395</v>
      </c>
      <c r="F125" s="100" t="s">
        <v>234</v>
      </c>
      <c r="G125" s="331" t="s">
        <v>407</v>
      </c>
      <c r="H125" s="330" t="s">
        <v>124</v>
      </c>
      <c r="I125" s="98" t="str">
        <f t="shared" si="63"/>
        <v>FF211</v>
      </c>
      <c r="J125" s="98" t="str">
        <f t="shared" si="64"/>
        <v>207FF</v>
      </c>
      <c r="K125" s="100" t="str">
        <f t="shared" si="65"/>
        <v>3AEKC003AR207FF</v>
      </c>
      <c r="L125" s="102">
        <v>2</v>
      </c>
      <c r="M125" s="102">
        <v>7</v>
      </c>
      <c r="N125" s="102">
        <v>2</v>
      </c>
      <c r="O125" s="186">
        <v>2</v>
      </c>
      <c r="P125" s="102">
        <v>6</v>
      </c>
      <c r="Q125" s="98"/>
      <c r="R125" s="98"/>
      <c r="S125" s="98">
        <f t="shared" si="66"/>
        <v>17</v>
      </c>
      <c r="T125" s="98" t="str">
        <f t="shared" si="72"/>
        <v>TB271</v>
      </c>
      <c r="U125" s="98" t="str">
        <f t="shared" si="67"/>
        <v>207_2FI</v>
      </c>
      <c r="V125" s="98" t="str">
        <f t="shared" si="58"/>
        <v>a</v>
      </c>
      <c r="W125" s="98" t="str">
        <f t="shared" si="59"/>
        <v>b</v>
      </c>
      <c r="X125" s="98" t="str">
        <f t="shared" si="60"/>
        <v>IE-BUS</v>
      </c>
      <c r="Y125" s="98" t="str">
        <f t="shared" si="54"/>
        <v>--</v>
      </c>
      <c r="Z125" s="98" t="s">
        <v>388</v>
      </c>
      <c r="AA125" s="100" t="str">
        <f t="shared" si="71"/>
        <v>3AEKC-800BC_2_FS201</v>
      </c>
      <c r="AB125" s="102" t="str">
        <f t="shared" si="61"/>
        <v>6A</v>
      </c>
      <c r="AC125" s="102" t="str">
        <f t="shared" si="62"/>
        <v>6B</v>
      </c>
      <c r="AD125" s="98" t="s">
        <v>235</v>
      </c>
      <c r="AE125" s="98" t="s">
        <v>236</v>
      </c>
      <c r="AF125" s="331" t="s">
        <v>369</v>
      </c>
      <c r="AG125" s="98" t="s">
        <v>322</v>
      </c>
      <c r="AH125" s="98" t="str">
        <f t="shared" si="68"/>
        <v>DCS</v>
      </c>
      <c r="AI125" s="331" t="s">
        <v>370</v>
      </c>
      <c r="AJ125" s="191" t="s">
        <v>371</v>
      </c>
      <c r="AK125" s="102"/>
      <c r="AL125" s="102"/>
      <c r="AM125" s="102"/>
      <c r="AN125" s="100"/>
      <c r="AO125" s="100"/>
      <c r="AP125" s="102"/>
      <c r="AQ125" s="76" t="s">
        <v>31</v>
      </c>
      <c r="AR125" s="176"/>
      <c r="AS125" s="100"/>
      <c r="AT125" s="102"/>
      <c r="AU125" s="330" t="s">
        <v>245</v>
      </c>
      <c r="AV125" s="100"/>
      <c r="AW125" s="201"/>
      <c r="AX125" s="201"/>
      <c r="AY125" s="201"/>
      <c r="AZ125" s="201"/>
      <c r="BA125" s="201"/>
      <c r="BB125" s="201"/>
      <c r="BC125" s="201"/>
      <c r="BD125" s="201"/>
      <c r="BE125" s="201"/>
      <c r="BF125" s="201"/>
      <c r="BG125" s="201"/>
      <c r="BH125" s="201"/>
      <c r="BI125" s="201"/>
      <c r="BJ125" s="201"/>
      <c r="BK125" s="201"/>
      <c r="BL125" s="201"/>
      <c r="BM125" s="201"/>
      <c r="BN125" s="201"/>
      <c r="BO125" s="201"/>
      <c r="BP125" s="201"/>
      <c r="BQ125" s="201"/>
      <c r="BR125" s="201"/>
      <c r="BS125" s="201"/>
      <c r="BT125" s="201"/>
      <c r="BU125" s="201"/>
      <c r="BV125" s="201"/>
      <c r="BW125" s="201"/>
      <c r="BX125" s="201"/>
      <c r="BY125" s="201"/>
      <c r="BZ125" s="201"/>
      <c r="CA125" s="201"/>
      <c r="CB125" s="201"/>
      <c r="CC125" s="201"/>
      <c r="CD125" s="98" t="str">
        <f t="shared" si="69"/>
        <v/>
      </c>
    </row>
    <row r="126" s="123" customFormat="1" ht="21" customHeight="1" spans="1:82">
      <c r="A126" s="93">
        <v>124</v>
      </c>
      <c r="B126" s="334" t="s">
        <v>409</v>
      </c>
      <c r="C126" s="342" t="s">
        <v>374</v>
      </c>
      <c r="D126" s="100" t="str">
        <f t="shared" si="70"/>
        <v>R3AEAB042PO_GZ</v>
      </c>
      <c r="E126" s="335" t="s">
        <v>396</v>
      </c>
      <c r="F126" s="100" t="s">
        <v>234</v>
      </c>
      <c r="G126" s="331" t="s">
        <v>407</v>
      </c>
      <c r="H126" s="330" t="s">
        <v>124</v>
      </c>
      <c r="I126" s="98" t="str">
        <f t="shared" si="63"/>
        <v>FF211</v>
      </c>
      <c r="J126" s="98" t="str">
        <f t="shared" si="64"/>
        <v>207FF</v>
      </c>
      <c r="K126" s="100" t="str">
        <f t="shared" si="65"/>
        <v>3AEKC003AR207FF</v>
      </c>
      <c r="L126" s="102">
        <v>2</v>
      </c>
      <c r="M126" s="102">
        <v>7</v>
      </c>
      <c r="N126" s="102">
        <v>2</v>
      </c>
      <c r="O126" s="186">
        <v>2</v>
      </c>
      <c r="P126" s="102">
        <v>7</v>
      </c>
      <c r="Q126" s="98"/>
      <c r="R126" s="98"/>
      <c r="S126" s="98">
        <f t="shared" si="66"/>
        <v>17</v>
      </c>
      <c r="T126" s="98" t="str">
        <f t="shared" si="72"/>
        <v>TB271</v>
      </c>
      <c r="U126" s="98" t="str">
        <f t="shared" si="67"/>
        <v>207_2FI</v>
      </c>
      <c r="V126" s="98" t="str">
        <f t="shared" si="58"/>
        <v>a</v>
      </c>
      <c r="W126" s="98" t="str">
        <f t="shared" si="59"/>
        <v>b</v>
      </c>
      <c r="X126" s="98" t="str">
        <f t="shared" si="60"/>
        <v>IE-BUS</v>
      </c>
      <c r="Y126" s="98" t="str">
        <f t="shared" si="54"/>
        <v>--</v>
      </c>
      <c r="Z126" s="98" t="s">
        <v>388</v>
      </c>
      <c r="AA126" s="100" t="str">
        <f t="shared" ref="AA126:AA138" si="73">IF(IFERROR(SEARCH("FS",Z126),-1)&gt;0,G126&amp;"_"&amp;O126&amp;"_"&amp;Z126,"--")</f>
        <v>3AEKC-800BC_2_FS201</v>
      </c>
      <c r="AB126" s="102" t="str">
        <f t="shared" si="61"/>
        <v>7A</v>
      </c>
      <c r="AC126" s="102" t="str">
        <f t="shared" si="62"/>
        <v>7B</v>
      </c>
      <c r="AD126" s="98" t="s">
        <v>235</v>
      </c>
      <c r="AE126" s="98" t="s">
        <v>236</v>
      </c>
      <c r="AF126" s="331" t="s">
        <v>369</v>
      </c>
      <c r="AG126" s="98" t="s">
        <v>322</v>
      </c>
      <c r="AH126" s="98" t="str">
        <f t="shared" si="68"/>
        <v>DCS</v>
      </c>
      <c r="AI126" s="331" t="s">
        <v>370</v>
      </c>
      <c r="AJ126" s="191" t="s">
        <v>371</v>
      </c>
      <c r="AK126" s="102"/>
      <c r="AL126" s="102"/>
      <c r="AM126" s="102"/>
      <c r="AN126" s="100"/>
      <c r="AO126" s="100"/>
      <c r="AP126" s="102"/>
      <c r="AQ126" s="76" t="s">
        <v>31</v>
      </c>
      <c r="AR126" s="176"/>
      <c r="AS126" s="100"/>
      <c r="AT126" s="102"/>
      <c r="AU126" s="330" t="s">
        <v>245</v>
      </c>
      <c r="AV126" s="100"/>
      <c r="AW126" s="201"/>
      <c r="AX126" s="201"/>
      <c r="AY126" s="201"/>
      <c r="AZ126" s="201"/>
      <c r="BA126" s="201"/>
      <c r="BB126" s="201"/>
      <c r="BC126" s="201"/>
      <c r="BD126" s="201"/>
      <c r="BE126" s="201"/>
      <c r="BF126" s="201"/>
      <c r="BG126" s="201"/>
      <c r="BH126" s="201"/>
      <c r="BI126" s="201"/>
      <c r="BJ126" s="201"/>
      <c r="BK126" s="201"/>
      <c r="BL126" s="201"/>
      <c r="BM126" s="201"/>
      <c r="BN126" s="201"/>
      <c r="BO126" s="201"/>
      <c r="BP126" s="201"/>
      <c r="BQ126" s="201"/>
      <c r="BR126" s="201"/>
      <c r="BS126" s="201"/>
      <c r="BT126" s="201"/>
      <c r="BU126" s="201"/>
      <c r="BV126" s="201"/>
      <c r="BW126" s="201"/>
      <c r="BX126" s="201"/>
      <c r="BY126" s="201"/>
      <c r="BZ126" s="201"/>
      <c r="CA126" s="201"/>
      <c r="CB126" s="201"/>
      <c r="CC126" s="201"/>
      <c r="CD126" s="98" t="str">
        <f t="shared" si="69"/>
        <v/>
      </c>
    </row>
    <row r="127" s="123" customFormat="1" ht="21" customHeight="1" spans="1:82">
      <c r="A127" s="93">
        <v>125</v>
      </c>
      <c r="B127" s="334" t="s">
        <v>410</v>
      </c>
      <c r="C127" s="342" t="s">
        <v>365</v>
      </c>
      <c r="D127" s="100" t="str">
        <f t="shared" si="70"/>
        <v>R3AEAB040PO_QF</v>
      </c>
      <c r="E127" s="335" t="s">
        <v>394</v>
      </c>
      <c r="F127" s="100" t="s">
        <v>234</v>
      </c>
      <c r="G127" s="331" t="s">
        <v>407</v>
      </c>
      <c r="H127" s="330" t="s">
        <v>124</v>
      </c>
      <c r="I127" s="98" t="str">
        <f t="shared" si="63"/>
        <v>FF211</v>
      </c>
      <c r="J127" s="98" t="str">
        <f t="shared" si="64"/>
        <v>207FF</v>
      </c>
      <c r="K127" s="100" t="str">
        <f t="shared" si="65"/>
        <v>3AEKC003AR207FF</v>
      </c>
      <c r="L127" s="102">
        <v>2</v>
      </c>
      <c r="M127" s="102">
        <v>7</v>
      </c>
      <c r="N127" s="102">
        <v>2</v>
      </c>
      <c r="O127" s="186">
        <v>2</v>
      </c>
      <c r="P127" s="102">
        <v>8</v>
      </c>
      <c r="Q127" s="98"/>
      <c r="R127" s="98"/>
      <c r="S127" s="98">
        <f t="shared" si="66"/>
        <v>17</v>
      </c>
      <c r="T127" s="98" t="str">
        <f t="shared" si="72"/>
        <v>TB271</v>
      </c>
      <c r="U127" s="98" t="str">
        <f t="shared" si="67"/>
        <v>207_2FI</v>
      </c>
      <c r="V127" s="98" t="str">
        <f t="shared" si="58"/>
        <v>a</v>
      </c>
      <c r="W127" s="98" t="str">
        <f t="shared" si="59"/>
        <v>b</v>
      </c>
      <c r="X127" s="98" t="str">
        <f t="shared" si="60"/>
        <v>IE-BUS</v>
      </c>
      <c r="Y127" s="98" t="str">
        <f t="shared" si="54"/>
        <v>--</v>
      </c>
      <c r="Z127" s="98" t="s">
        <v>388</v>
      </c>
      <c r="AA127" s="100" t="str">
        <f t="shared" si="73"/>
        <v>3AEKC-800BC_2_FS201</v>
      </c>
      <c r="AB127" s="102" t="str">
        <f t="shared" si="61"/>
        <v>8A</v>
      </c>
      <c r="AC127" s="102" t="str">
        <f t="shared" si="62"/>
        <v>8B</v>
      </c>
      <c r="AD127" s="98" t="s">
        <v>235</v>
      </c>
      <c r="AE127" s="98" t="s">
        <v>236</v>
      </c>
      <c r="AF127" s="331" t="s">
        <v>369</v>
      </c>
      <c r="AG127" s="98" t="s">
        <v>322</v>
      </c>
      <c r="AH127" s="98" t="str">
        <f t="shared" si="68"/>
        <v>DCS</v>
      </c>
      <c r="AI127" s="331" t="s">
        <v>370</v>
      </c>
      <c r="AJ127" s="191" t="s">
        <v>371</v>
      </c>
      <c r="AK127" s="102"/>
      <c r="AL127" s="102"/>
      <c r="AM127" s="102"/>
      <c r="AN127" s="100"/>
      <c r="AO127" s="100"/>
      <c r="AP127" s="102"/>
      <c r="AQ127" s="76" t="s">
        <v>31</v>
      </c>
      <c r="AR127" s="176"/>
      <c r="AS127" s="100"/>
      <c r="AT127" s="102"/>
      <c r="AU127" s="330" t="s">
        <v>245</v>
      </c>
      <c r="AV127" s="100"/>
      <c r="AW127" s="201"/>
      <c r="AX127" s="201"/>
      <c r="AY127" s="201"/>
      <c r="AZ127" s="201"/>
      <c r="BA127" s="201"/>
      <c r="BB127" s="201"/>
      <c r="BC127" s="201"/>
      <c r="BD127" s="201"/>
      <c r="BE127" s="201"/>
      <c r="BF127" s="201"/>
      <c r="BG127" s="201"/>
      <c r="BH127" s="201"/>
      <c r="BI127" s="201"/>
      <c r="BJ127" s="201"/>
      <c r="BK127" s="201"/>
      <c r="BL127" s="201"/>
      <c r="BM127" s="201"/>
      <c r="BN127" s="201"/>
      <c r="BO127" s="201"/>
      <c r="BP127" s="201"/>
      <c r="BQ127" s="201"/>
      <c r="BR127" s="201"/>
      <c r="BS127" s="201"/>
      <c r="BT127" s="201"/>
      <c r="BU127" s="201"/>
      <c r="BV127" s="201"/>
      <c r="BW127" s="201"/>
      <c r="BX127" s="201"/>
      <c r="BY127" s="201"/>
      <c r="BZ127" s="201"/>
      <c r="CA127" s="201"/>
      <c r="CB127" s="201"/>
      <c r="CC127" s="201"/>
      <c r="CD127" s="98" t="str">
        <f t="shared" si="69"/>
        <v/>
      </c>
    </row>
    <row r="128" s="123" customFormat="1" ht="21" customHeight="1" spans="1:82">
      <c r="A128" s="93">
        <v>126</v>
      </c>
      <c r="B128" s="334" t="s">
        <v>410</v>
      </c>
      <c r="C128" s="342" t="s">
        <v>372</v>
      </c>
      <c r="D128" s="100" t="str">
        <f t="shared" si="70"/>
        <v>R3AEAB040PO_TF</v>
      </c>
      <c r="E128" s="335" t="s">
        <v>395</v>
      </c>
      <c r="F128" s="100" t="s">
        <v>234</v>
      </c>
      <c r="G128" s="331" t="s">
        <v>407</v>
      </c>
      <c r="H128" s="330" t="s">
        <v>124</v>
      </c>
      <c r="I128" s="98" t="str">
        <f t="shared" si="63"/>
        <v>FF211</v>
      </c>
      <c r="J128" s="98" t="str">
        <f t="shared" si="64"/>
        <v>207FF</v>
      </c>
      <c r="K128" s="100" t="str">
        <f t="shared" si="65"/>
        <v>3AEKC003AR207FF</v>
      </c>
      <c r="L128" s="102">
        <v>2</v>
      </c>
      <c r="M128" s="102">
        <v>7</v>
      </c>
      <c r="N128" s="102">
        <v>2</v>
      </c>
      <c r="O128" s="186">
        <v>2</v>
      </c>
      <c r="P128" s="102">
        <v>9</v>
      </c>
      <c r="Q128" s="98"/>
      <c r="R128" s="98"/>
      <c r="S128" s="98">
        <f t="shared" si="66"/>
        <v>17</v>
      </c>
      <c r="T128" s="98" t="str">
        <f t="shared" si="72"/>
        <v>TB271</v>
      </c>
      <c r="U128" s="98" t="str">
        <f t="shared" si="67"/>
        <v>207_2FI</v>
      </c>
      <c r="V128" s="98" t="str">
        <f t="shared" si="58"/>
        <v>a</v>
      </c>
      <c r="W128" s="98" t="str">
        <f t="shared" si="59"/>
        <v>b</v>
      </c>
      <c r="X128" s="98" t="str">
        <f t="shared" si="60"/>
        <v>IE-BUS</v>
      </c>
      <c r="Y128" s="98" t="str">
        <f t="shared" si="54"/>
        <v>--</v>
      </c>
      <c r="Z128" s="98" t="s">
        <v>388</v>
      </c>
      <c r="AA128" s="100" t="str">
        <f t="shared" si="73"/>
        <v>3AEKC-800BC_2_FS201</v>
      </c>
      <c r="AB128" s="102" t="str">
        <f t="shared" si="61"/>
        <v>9A</v>
      </c>
      <c r="AC128" s="102" t="str">
        <f t="shared" si="62"/>
        <v>9B</v>
      </c>
      <c r="AD128" s="98" t="s">
        <v>235</v>
      </c>
      <c r="AE128" s="98" t="s">
        <v>236</v>
      </c>
      <c r="AF128" s="331" t="s">
        <v>369</v>
      </c>
      <c r="AG128" s="98" t="s">
        <v>322</v>
      </c>
      <c r="AH128" s="98" t="str">
        <f t="shared" si="68"/>
        <v>DCS</v>
      </c>
      <c r="AI128" s="331" t="s">
        <v>370</v>
      </c>
      <c r="AJ128" s="191" t="s">
        <v>371</v>
      </c>
      <c r="AK128" s="102"/>
      <c r="AL128" s="102"/>
      <c r="AM128" s="102"/>
      <c r="AN128" s="100"/>
      <c r="AO128" s="100"/>
      <c r="AP128" s="102"/>
      <c r="AQ128" s="76" t="s">
        <v>31</v>
      </c>
      <c r="AR128" s="176"/>
      <c r="AS128" s="100"/>
      <c r="AT128" s="102"/>
      <c r="AU128" s="330" t="s">
        <v>245</v>
      </c>
      <c r="AV128" s="100"/>
      <c r="AW128" s="201"/>
      <c r="AX128" s="201"/>
      <c r="AY128" s="201"/>
      <c r="AZ128" s="201"/>
      <c r="BA128" s="201"/>
      <c r="BB128" s="201"/>
      <c r="BC128" s="201"/>
      <c r="BD128" s="201"/>
      <c r="BE128" s="201"/>
      <c r="BF128" s="201"/>
      <c r="BG128" s="201"/>
      <c r="BH128" s="201"/>
      <c r="BI128" s="201"/>
      <c r="BJ128" s="201"/>
      <c r="BK128" s="201"/>
      <c r="BL128" s="201"/>
      <c r="BM128" s="201"/>
      <c r="BN128" s="201"/>
      <c r="BO128" s="201"/>
      <c r="BP128" s="201"/>
      <c r="BQ128" s="201"/>
      <c r="BR128" s="201"/>
      <c r="BS128" s="201"/>
      <c r="BT128" s="201"/>
      <c r="BU128" s="201"/>
      <c r="BV128" s="201"/>
      <c r="BW128" s="201"/>
      <c r="BX128" s="201"/>
      <c r="BY128" s="201"/>
      <c r="BZ128" s="201"/>
      <c r="CA128" s="201"/>
      <c r="CB128" s="201"/>
      <c r="CC128" s="201"/>
      <c r="CD128" s="98" t="str">
        <f t="shared" si="69"/>
        <v/>
      </c>
    </row>
    <row r="129" s="123" customFormat="1" ht="21" customHeight="1" spans="1:82">
      <c r="A129" s="93">
        <v>127</v>
      </c>
      <c r="B129" s="334" t="s">
        <v>410</v>
      </c>
      <c r="C129" s="342" t="s">
        <v>374</v>
      </c>
      <c r="D129" s="100" t="str">
        <f t="shared" si="70"/>
        <v>R3AEAB040PO_GZ</v>
      </c>
      <c r="E129" s="335" t="s">
        <v>396</v>
      </c>
      <c r="F129" s="100" t="s">
        <v>234</v>
      </c>
      <c r="G129" s="331" t="s">
        <v>407</v>
      </c>
      <c r="H129" s="330" t="s">
        <v>124</v>
      </c>
      <c r="I129" s="98" t="str">
        <f t="shared" si="63"/>
        <v>FF211</v>
      </c>
      <c r="J129" s="98" t="str">
        <f t="shared" si="64"/>
        <v>207FF</v>
      </c>
      <c r="K129" s="100" t="str">
        <f t="shared" si="65"/>
        <v>3AEKC003AR207FF</v>
      </c>
      <c r="L129" s="102">
        <v>2</v>
      </c>
      <c r="M129" s="102">
        <v>7</v>
      </c>
      <c r="N129" s="102">
        <v>2</v>
      </c>
      <c r="O129" s="186">
        <v>2</v>
      </c>
      <c r="P129" s="102">
        <v>10</v>
      </c>
      <c r="Q129" s="98"/>
      <c r="R129" s="98"/>
      <c r="S129" s="98">
        <f t="shared" si="66"/>
        <v>17</v>
      </c>
      <c r="T129" s="98" t="str">
        <f t="shared" si="72"/>
        <v>TB271</v>
      </c>
      <c r="U129" s="98" t="str">
        <f t="shared" si="67"/>
        <v>207_2FI</v>
      </c>
      <c r="V129" s="98" t="str">
        <f t="shared" si="58"/>
        <v>a</v>
      </c>
      <c r="W129" s="98" t="str">
        <f t="shared" si="59"/>
        <v>b</v>
      </c>
      <c r="X129" s="98" t="str">
        <f t="shared" si="60"/>
        <v>IE-BUS</v>
      </c>
      <c r="Y129" s="98" t="str">
        <f t="shared" si="54"/>
        <v>--</v>
      </c>
      <c r="Z129" s="98" t="s">
        <v>388</v>
      </c>
      <c r="AA129" s="100" t="str">
        <f t="shared" si="73"/>
        <v>3AEKC-800BC_2_FS201</v>
      </c>
      <c r="AB129" s="102" t="str">
        <f t="shared" si="61"/>
        <v>10A</v>
      </c>
      <c r="AC129" s="102" t="str">
        <f t="shared" si="62"/>
        <v>10B</v>
      </c>
      <c r="AD129" s="98" t="s">
        <v>235</v>
      </c>
      <c r="AE129" s="98" t="s">
        <v>236</v>
      </c>
      <c r="AF129" s="331" t="s">
        <v>369</v>
      </c>
      <c r="AG129" s="98" t="s">
        <v>322</v>
      </c>
      <c r="AH129" s="98" t="str">
        <f t="shared" si="68"/>
        <v>DCS</v>
      </c>
      <c r="AI129" s="331" t="s">
        <v>370</v>
      </c>
      <c r="AJ129" s="191" t="s">
        <v>371</v>
      </c>
      <c r="AK129" s="102"/>
      <c r="AL129" s="102"/>
      <c r="AM129" s="102"/>
      <c r="AN129" s="100"/>
      <c r="AO129" s="100"/>
      <c r="AP129" s="102"/>
      <c r="AQ129" s="76" t="s">
        <v>31</v>
      </c>
      <c r="AR129" s="176"/>
      <c r="AS129" s="100"/>
      <c r="AT129" s="102"/>
      <c r="AU129" s="330" t="s">
        <v>245</v>
      </c>
      <c r="AV129" s="100"/>
      <c r="AW129" s="201"/>
      <c r="AX129" s="201"/>
      <c r="AY129" s="201"/>
      <c r="AZ129" s="201"/>
      <c r="BA129" s="201"/>
      <c r="BB129" s="201"/>
      <c r="BC129" s="201"/>
      <c r="BD129" s="201"/>
      <c r="BE129" s="201"/>
      <c r="BF129" s="201"/>
      <c r="BG129" s="201"/>
      <c r="BH129" s="201"/>
      <c r="BI129" s="201"/>
      <c r="BJ129" s="201"/>
      <c r="BK129" s="201"/>
      <c r="BL129" s="201"/>
      <c r="BM129" s="201"/>
      <c r="BN129" s="201"/>
      <c r="BO129" s="201"/>
      <c r="BP129" s="201"/>
      <c r="BQ129" s="201"/>
      <c r="BR129" s="201"/>
      <c r="BS129" s="201"/>
      <c r="BT129" s="201"/>
      <c r="BU129" s="201"/>
      <c r="BV129" s="201"/>
      <c r="BW129" s="201"/>
      <c r="BX129" s="201"/>
      <c r="BY129" s="201"/>
      <c r="BZ129" s="201"/>
      <c r="CA129" s="201"/>
      <c r="CB129" s="201"/>
      <c r="CC129" s="201"/>
      <c r="CD129" s="98" t="str">
        <f t="shared" si="69"/>
        <v/>
      </c>
    </row>
    <row r="130" s="123" customFormat="1" ht="21" customHeight="1" spans="1:82">
      <c r="A130" s="93">
        <v>128</v>
      </c>
      <c r="B130" s="334" t="s">
        <v>409</v>
      </c>
      <c r="C130" s="342" t="s">
        <v>377</v>
      </c>
      <c r="D130" s="100" t="str">
        <f t="shared" si="70"/>
        <v>R3AEAB042PO_Q</v>
      </c>
      <c r="E130" s="335" t="s">
        <v>397</v>
      </c>
      <c r="F130" s="100" t="s">
        <v>234</v>
      </c>
      <c r="G130" s="331" t="s">
        <v>407</v>
      </c>
      <c r="H130" s="330" t="s">
        <v>124</v>
      </c>
      <c r="I130" s="98" t="str">
        <f t="shared" si="63"/>
        <v>FF211</v>
      </c>
      <c r="J130" s="98" t="str">
        <f t="shared" si="64"/>
        <v>207FF</v>
      </c>
      <c r="K130" s="100" t="str">
        <f t="shared" si="65"/>
        <v>3AEKC003AR207FF</v>
      </c>
      <c r="L130" s="102">
        <v>2</v>
      </c>
      <c r="M130" s="102">
        <v>7</v>
      </c>
      <c r="N130" s="102">
        <v>2</v>
      </c>
      <c r="O130" s="186">
        <v>2</v>
      </c>
      <c r="P130" s="102">
        <v>11</v>
      </c>
      <c r="Q130" s="98"/>
      <c r="R130" s="98"/>
      <c r="S130" s="98">
        <f t="shared" si="66"/>
        <v>17</v>
      </c>
      <c r="T130" s="98" t="str">
        <f t="shared" si="72"/>
        <v>TB271</v>
      </c>
      <c r="U130" s="98" t="str">
        <f t="shared" si="67"/>
        <v>207_2FI</v>
      </c>
      <c r="V130" s="98" t="str">
        <f t="shared" si="58"/>
        <v>a</v>
      </c>
      <c r="W130" s="98" t="str">
        <f t="shared" si="59"/>
        <v>b</v>
      </c>
      <c r="X130" s="98" t="str">
        <f t="shared" si="60"/>
        <v>IE-BUS</v>
      </c>
      <c r="Y130" s="98" t="str">
        <f t="shared" si="54"/>
        <v>--</v>
      </c>
      <c r="Z130" s="98" t="s">
        <v>388</v>
      </c>
      <c r="AA130" s="100" t="str">
        <f t="shared" si="73"/>
        <v>3AEKC-800BC_2_FS201</v>
      </c>
      <c r="AB130" s="102" t="str">
        <f t="shared" si="61"/>
        <v>11B</v>
      </c>
      <c r="AC130" s="102" t="str">
        <f t="shared" si="62"/>
        <v>11D</v>
      </c>
      <c r="AD130" s="98" t="s">
        <v>235</v>
      </c>
      <c r="AE130" s="98" t="s">
        <v>236</v>
      </c>
      <c r="AF130" s="331" t="s">
        <v>379</v>
      </c>
      <c r="AG130" s="98" t="s">
        <v>322</v>
      </c>
      <c r="AH130" s="98" t="str">
        <f t="shared" si="68"/>
        <v>DCS</v>
      </c>
      <c r="AI130" s="331" t="s">
        <v>380</v>
      </c>
      <c r="AJ130" s="191" t="s">
        <v>371</v>
      </c>
      <c r="AK130" s="102"/>
      <c r="AL130" s="102"/>
      <c r="AM130" s="102"/>
      <c r="AN130" s="100"/>
      <c r="AO130" s="100"/>
      <c r="AP130" s="102"/>
      <c r="AQ130" s="76" t="s">
        <v>31</v>
      </c>
      <c r="AR130" s="176"/>
      <c r="AS130" s="100"/>
      <c r="AT130" s="102"/>
      <c r="AU130" s="330" t="s">
        <v>245</v>
      </c>
      <c r="AV130" s="100"/>
      <c r="AW130" s="201"/>
      <c r="AX130" s="201"/>
      <c r="AY130" s="201"/>
      <c r="AZ130" s="201"/>
      <c r="BA130" s="201"/>
      <c r="BB130" s="201"/>
      <c r="BC130" s="201"/>
      <c r="BD130" s="201"/>
      <c r="BE130" s="201"/>
      <c r="BF130" s="201"/>
      <c r="BG130" s="201"/>
      <c r="BH130" s="201"/>
      <c r="BI130" s="201"/>
      <c r="BJ130" s="201"/>
      <c r="BK130" s="201"/>
      <c r="BL130" s="201"/>
      <c r="BM130" s="201"/>
      <c r="BN130" s="201"/>
      <c r="BO130" s="201"/>
      <c r="BP130" s="201"/>
      <c r="BQ130" s="201"/>
      <c r="BR130" s="201"/>
      <c r="BS130" s="201"/>
      <c r="BT130" s="201"/>
      <c r="BU130" s="201"/>
      <c r="BV130" s="201"/>
      <c r="BW130" s="201"/>
      <c r="BX130" s="201"/>
      <c r="BY130" s="201"/>
      <c r="BZ130" s="201"/>
      <c r="CA130" s="201"/>
      <c r="CB130" s="201"/>
      <c r="CC130" s="201"/>
      <c r="CD130" s="98" t="str">
        <f t="shared" si="69"/>
        <v/>
      </c>
    </row>
    <row r="131" s="123" customFormat="1" ht="21" customHeight="1" spans="1:82">
      <c r="A131" s="93">
        <v>129</v>
      </c>
      <c r="B131" s="334" t="s">
        <v>409</v>
      </c>
      <c r="C131" s="342" t="s">
        <v>381</v>
      </c>
      <c r="D131" s="100" t="str">
        <f t="shared" si="70"/>
        <v>R3AEAB042PO_T</v>
      </c>
      <c r="E131" s="335" t="s">
        <v>398</v>
      </c>
      <c r="F131" s="100" t="s">
        <v>234</v>
      </c>
      <c r="G131" s="331" t="s">
        <v>407</v>
      </c>
      <c r="H131" s="330" t="s">
        <v>124</v>
      </c>
      <c r="I131" s="98" t="str">
        <f t="shared" si="63"/>
        <v>FF211</v>
      </c>
      <c r="J131" s="98" t="str">
        <f t="shared" si="64"/>
        <v>207FF</v>
      </c>
      <c r="K131" s="100" t="str">
        <f t="shared" si="65"/>
        <v>3AEKC003AR207FF</v>
      </c>
      <c r="L131" s="102">
        <v>2</v>
      </c>
      <c r="M131" s="102">
        <v>7</v>
      </c>
      <c r="N131" s="102">
        <v>2</v>
      </c>
      <c r="O131" s="186">
        <v>2</v>
      </c>
      <c r="P131" s="102">
        <v>12</v>
      </c>
      <c r="Q131" s="98"/>
      <c r="R131" s="98"/>
      <c r="S131" s="98">
        <f t="shared" si="66"/>
        <v>17</v>
      </c>
      <c r="T131" s="98" t="str">
        <f t="shared" si="72"/>
        <v>TB271</v>
      </c>
      <c r="U131" s="98" t="str">
        <f t="shared" si="67"/>
        <v>207_2FI</v>
      </c>
      <c r="V131" s="98" t="str">
        <f t="shared" si="58"/>
        <v>a</v>
      </c>
      <c r="W131" s="98" t="str">
        <f t="shared" si="59"/>
        <v>b</v>
      </c>
      <c r="X131" s="98" t="str">
        <f t="shared" si="60"/>
        <v>IE-BUS</v>
      </c>
      <c r="Y131" s="98" t="str">
        <f t="shared" si="54"/>
        <v>--</v>
      </c>
      <c r="Z131" s="98" t="s">
        <v>388</v>
      </c>
      <c r="AA131" s="100" t="str">
        <f t="shared" si="73"/>
        <v>3AEKC-800BC_2_FS201</v>
      </c>
      <c r="AB131" s="102" t="str">
        <f t="shared" si="61"/>
        <v>12B</v>
      </c>
      <c r="AC131" s="102" t="str">
        <f t="shared" si="62"/>
        <v>12D</v>
      </c>
      <c r="AD131" s="98" t="s">
        <v>235</v>
      </c>
      <c r="AE131" s="98" t="s">
        <v>236</v>
      </c>
      <c r="AF131" s="331" t="s">
        <v>379</v>
      </c>
      <c r="AG131" s="98" t="s">
        <v>322</v>
      </c>
      <c r="AH131" s="98" t="str">
        <f t="shared" si="68"/>
        <v>DCS</v>
      </c>
      <c r="AI131" s="331" t="s">
        <v>380</v>
      </c>
      <c r="AJ131" s="191" t="s">
        <v>371</v>
      </c>
      <c r="AK131" s="102"/>
      <c r="AL131" s="102"/>
      <c r="AM131" s="102"/>
      <c r="AN131" s="100"/>
      <c r="AO131" s="100"/>
      <c r="AP131" s="102"/>
      <c r="AQ131" s="76" t="s">
        <v>31</v>
      </c>
      <c r="AR131" s="176"/>
      <c r="AS131" s="100"/>
      <c r="AT131" s="102"/>
      <c r="AU131" s="330" t="s">
        <v>245</v>
      </c>
      <c r="AV131" s="100"/>
      <c r="AW131" s="201"/>
      <c r="AX131" s="201"/>
      <c r="AY131" s="201"/>
      <c r="AZ131" s="201"/>
      <c r="BA131" s="201"/>
      <c r="BB131" s="201"/>
      <c r="BC131" s="201"/>
      <c r="BD131" s="201"/>
      <c r="BE131" s="201"/>
      <c r="BF131" s="201"/>
      <c r="BG131" s="201"/>
      <c r="BH131" s="201"/>
      <c r="BI131" s="201"/>
      <c r="BJ131" s="201"/>
      <c r="BK131" s="201"/>
      <c r="BL131" s="201"/>
      <c r="BM131" s="201"/>
      <c r="BN131" s="201"/>
      <c r="BO131" s="201"/>
      <c r="BP131" s="201"/>
      <c r="BQ131" s="201"/>
      <c r="BR131" s="201"/>
      <c r="BS131" s="201"/>
      <c r="BT131" s="201"/>
      <c r="BU131" s="201"/>
      <c r="BV131" s="201"/>
      <c r="BW131" s="201"/>
      <c r="BX131" s="201"/>
      <c r="BY131" s="201"/>
      <c r="BZ131" s="201"/>
      <c r="CA131" s="201"/>
      <c r="CB131" s="201"/>
      <c r="CC131" s="201"/>
      <c r="CD131" s="98" t="str">
        <f t="shared" si="69"/>
        <v/>
      </c>
    </row>
    <row r="132" s="123" customFormat="1" ht="21" customHeight="1" spans="1:82">
      <c r="A132" s="93">
        <v>130</v>
      </c>
      <c r="B132" s="334" t="s">
        <v>410</v>
      </c>
      <c r="C132" s="342" t="s">
        <v>377</v>
      </c>
      <c r="D132" s="100" t="str">
        <f t="shared" si="70"/>
        <v>R3AEAB040PO_Q</v>
      </c>
      <c r="E132" s="335" t="s">
        <v>397</v>
      </c>
      <c r="F132" s="100" t="s">
        <v>234</v>
      </c>
      <c r="G132" s="331" t="s">
        <v>407</v>
      </c>
      <c r="H132" s="330" t="s">
        <v>124</v>
      </c>
      <c r="I132" s="98" t="str">
        <f t="shared" si="63"/>
        <v>FF211</v>
      </c>
      <c r="J132" s="98" t="str">
        <f t="shared" si="64"/>
        <v>207FF</v>
      </c>
      <c r="K132" s="100" t="str">
        <f t="shared" si="65"/>
        <v>3AEKC003AR207FF</v>
      </c>
      <c r="L132" s="102">
        <v>2</v>
      </c>
      <c r="M132" s="102">
        <v>7</v>
      </c>
      <c r="N132" s="102">
        <v>2</v>
      </c>
      <c r="O132" s="186">
        <v>2</v>
      </c>
      <c r="P132" s="102">
        <v>13</v>
      </c>
      <c r="Q132" s="98"/>
      <c r="R132" s="98"/>
      <c r="S132" s="98">
        <f t="shared" si="66"/>
        <v>17</v>
      </c>
      <c r="T132" s="98" t="str">
        <f t="shared" si="72"/>
        <v>TB271</v>
      </c>
      <c r="U132" s="98" t="str">
        <f t="shared" si="67"/>
        <v>207_2FI</v>
      </c>
      <c r="V132" s="98" t="str">
        <f t="shared" ref="V132:V162" si="74">IF(OR(T132="TB221",T132="TB222",T132="TB242",T132="TB243",T132="TB246"),N132&amp;"A",IF(AND(OR(T132="TB231",T132="TB232",T132="TB233"),OR(AN132="",AN132="NO")),N132&amp;"B",IF(AND(OR(T132="TB231",T132="TB232",T132="TB233"),AN132="NC"),N132&amp;"A",IF(AND(T132="TB241",OR(I132="AI212",I132="AI216")),N132&amp;CHOOSE(MID(AI132,3,1),"B","A","A","A","A","B"),IF(AND(T132="TB244",I132="AO215"),N132*2+22,IF(AND(T132="TB244",I132="PI211"),(N132-1)*4+2,IF(AND(T132="TB244",I132="MD211"),CHOOSE(N132,"8","28"),IF(T132="TB271","a",IF(OR(T132="TB272",T132="TB271"),"--",IF(T132="TB251",N132&amp;"B",IF(T132="--","--","Err")))))))))))</f>
        <v>a</v>
      </c>
      <c r="W132" s="98" t="str">
        <f t="shared" ref="W132:W162" si="75">IF(OR(T132="TB221",T132="TB222",T132="TB242",T132="TB246"),N132&amp;"B",IF(OR(T132="TB231",T132="TB233",T132="TB251"),N132&amp;"C",IF(AND(T132="TB241",OR(I132="AI212",I132="AI216")),N132&amp;CHOOSE(MID(AI132,3,1),"A","C","C","C","C","A"),IF(AND(T132="TB244",I132="AO215"),N132*2+19,IF(AND(T132="TB244",I132="PI211"),N132*4,IF(AND(T132="TB244",I132="MD211"),CHOOSE(N132,"12","32"),IF(T132="TB271","b",IF(OR(T132="TB272",T132="TB271"),"--",IF(T132="--","--","Err")))))))))</f>
        <v>b</v>
      </c>
      <c r="X132" s="98" t="str">
        <f t="shared" ref="X132:X162" si="76">IF(T132="TB271","IE-BUS",IF(OR(AI132="AI7",AI132="AI8",AI132="AI9"),N132&amp;"C",IF(AND(T132="TB244",I132="MD211"),"GND:"&amp;CHOOSE(N132,"10","30"),"--")))</f>
        <v>IE-BUS</v>
      </c>
      <c r="Y132" s="98" t="str">
        <f t="shared" si="54"/>
        <v>--</v>
      </c>
      <c r="Z132" s="98" t="s">
        <v>388</v>
      </c>
      <c r="AA132" s="100" t="str">
        <f t="shared" si="73"/>
        <v>3AEKC-800BC_2_FS201</v>
      </c>
      <c r="AB132" s="102" t="str">
        <f t="shared" ref="AB132:AB162" si="77">IF(IFERROR(SEARCH("FS",Z132),-1)&gt;0,IF(AND(IFERROR(SEARCH("A",AF132),-1)&gt;0,IFERROR(SEARCH("四",AJ132),-1)&gt;0),P132&amp;"A",IF(IFERROR(SEARCH("AI",AF132),-1)&gt;0,P132&amp;"B",IF(IFERROR(SEARCH("AO",AF132),-1)&gt;0,P132&amp;"C",IF(IFERROR(SEARCH("DI",AF132),-1)&gt;0,P132&amp;"A",IF(AND(IFERROR(SEARCH("DO",AF132),-1)&gt;0,IFERROR(SEARCH("NC",AN132),-1)&gt;0),P132&amp;"A",IF(IFERROR(SEARCH("DO",AF132),-1)&gt;0,P132&amp;"B","--")))))),"--")</f>
        <v>13B</v>
      </c>
      <c r="AC132" s="102" t="str">
        <f t="shared" ref="AC132:AC162" si="78">IF(IFERROR(SEARCH("FS",Z132),-1)&gt;0,IF(AND(IFERROR(SEARCH("A",AF132),-1)&gt;0,IFERROR(SEARCH("四",AJ132),-1)&gt;0),P132&amp;"C",IF(IFERROR(SEARCH("AI",AF132),-1)&gt;0,P132&amp;"A",IF(IFERROR(SEARCH("AO",AF132),-1)&gt;0,P132&amp;"B",IF(IFERROR(SEARCH("DI",AF132),-1)&gt;0,P132&amp;"B",IF(AND(IFERROR(SEARCH("DO",AF132),-1)&gt;0,IFERROR(SEARCH("无源",AJ132),-1)&gt;0),P132&amp;"C",IF(IFERROR(SEARCH("DO",AF132),-1)&gt;0,P132&amp;"D","--")))))),"--")</f>
        <v>13D</v>
      </c>
      <c r="AD132" s="98" t="s">
        <v>235</v>
      </c>
      <c r="AE132" s="98" t="s">
        <v>236</v>
      </c>
      <c r="AF132" s="331" t="s">
        <v>379</v>
      </c>
      <c r="AG132" s="98" t="s">
        <v>322</v>
      </c>
      <c r="AH132" s="98" t="str">
        <f t="shared" si="68"/>
        <v>DCS</v>
      </c>
      <c r="AI132" s="331" t="s">
        <v>380</v>
      </c>
      <c r="AJ132" s="191" t="s">
        <v>371</v>
      </c>
      <c r="AK132" s="102"/>
      <c r="AL132" s="102"/>
      <c r="AM132" s="102"/>
      <c r="AN132" s="100"/>
      <c r="AO132" s="100"/>
      <c r="AP132" s="102"/>
      <c r="AQ132" s="76" t="s">
        <v>31</v>
      </c>
      <c r="AR132" s="176"/>
      <c r="AS132" s="100"/>
      <c r="AT132" s="102"/>
      <c r="AU132" s="330" t="s">
        <v>245</v>
      </c>
      <c r="AV132" s="100"/>
      <c r="AW132" s="201"/>
      <c r="AX132" s="201"/>
      <c r="AY132" s="201"/>
      <c r="AZ132" s="201"/>
      <c r="BA132" s="201"/>
      <c r="BB132" s="201"/>
      <c r="BC132" s="201"/>
      <c r="BD132" s="201"/>
      <c r="BE132" s="201"/>
      <c r="BF132" s="201"/>
      <c r="BG132" s="201"/>
      <c r="BH132" s="201"/>
      <c r="BI132" s="201"/>
      <c r="BJ132" s="201"/>
      <c r="BK132" s="201"/>
      <c r="BL132" s="201"/>
      <c r="BM132" s="201"/>
      <c r="BN132" s="201"/>
      <c r="BO132" s="201"/>
      <c r="BP132" s="201"/>
      <c r="BQ132" s="201"/>
      <c r="BR132" s="201"/>
      <c r="BS132" s="201"/>
      <c r="BT132" s="201"/>
      <c r="BU132" s="201"/>
      <c r="BV132" s="201"/>
      <c r="BW132" s="201"/>
      <c r="BX132" s="201"/>
      <c r="BY132" s="201"/>
      <c r="BZ132" s="201"/>
      <c r="CA132" s="201"/>
      <c r="CB132" s="201"/>
      <c r="CC132" s="201"/>
      <c r="CD132" s="98" t="str">
        <f t="shared" si="69"/>
        <v/>
      </c>
    </row>
    <row r="133" s="123" customFormat="1" ht="21" customHeight="1" spans="1:82">
      <c r="A133" s="93">
        <v>131</v>
      </c>
      <c r="B133" s="334" t="s">
        <v>410</v>
      </c>
      <c r="C133" s="342" t="s">
        <v>381</v>
      </c>
      <c r="D133" s="100" t="str">
        <f t="shared" si="70"/>
        <v>R3AEAB040PO_T</v>
      </c>
      <c r="E133" s="335" t="s">
        <v>398</v>
      </c>
      <c r="F133" s="100" t="s">
        <v>234</v>
      </c>
      <c r="G133" s="331" t="s">
        <v>407</v>
      </c>
      <c r="H133" s="330" t="s">
        <v>124</v>
      </c>
      <c r="I133" s="98" t="str">
        <f t="shared" ref="I133:I162" si="79">IF(IFERROR(SEARCH("TCP",AG133),-1)&gt;0,"MD216",IF(IFERROR(SEARCH("RTU",AG133),-1)&gt;0,"MD211",IF(OR(IFERROR(SEARCH("DP",AG133),-1)&gt;0,IFERROR(SEARCH("PROFIBUS",AG133),-1)&gt;0),"DP211",IF(IFERROR(SEARCH("FF",AG133),-1)&gt;0,"FF211",IF(AND(AF133="AI",IFERROR(SEARCH("NH",AI133),-1)&gt;0),"AI212",IF(AND(AF133="AI",IFERROR(SEARCH("4*20mA",AG133),-1)&gt;0),"AI216",IF(AND(AF133="AI",IFERROR(SEARCH("TC",AG133),-1)&gt;0),"AI221",IF(AND(AF133="AI",IFERROR(SEARCH("PT",AG133),-1)&gt;0),"AI232",IF(AND(AF133="AO",OR(AI133="AO1",AI133="AO2")),"AO211",IF(AND(AF133="AO",AI133="AOH"),"AO215",IF(OR(AF133="PI",AE133="P"),"PI211",IF(AF133="DI","DI211",IF(AF133="DO","DO211",IF(IFERROR(SEARCH("OPC",AG133),-1)&gt;0,"--","未知板卡"))))))))))))))</f>
        <v>FF211</v>
      </c>
      <c r="J133" s="98" t="str">
        <f t="shared" ref="J133:J162" si="80">IF(I133="--","--",L133&amp;TEXT(M133,"00")&amp;IF(I133="AI232","RTD",IF(I133="AI221","TC",LEFT(I133,2))))</f>
        <v>207FF</v>
      </c>
      <c r="K133" s="100" t="str">
        <f t="shared" ref="K133:K162" si="81">IF(I133="--","--",H133&amp;J133)</f>
        <v>3AEKC003AR207FF</v>
      </c>
      <c r="L133" s="102">
        <v>2</v>
      </c>
      <c r="M133" s="102">
        <v>7</v>
      </c>
      <c r="N133" s="102">
        <v>2</v>
      </c>
      <c r="O133" s="186">
        <v>2</v>
      </c>
      <c r="P133" s="102">
        <v>14</v>
      </c>
      <c r="Q133" s="98"/>
      <c r="R133" s="98"/>
      <c r="S133" s="98">
        <f t="shared" ref="S133:S162" si="82">IF(I133="--","--",(L133-1)*10+M133)</f>
        <v>17</v>
      </c>
      <c r="T133" s="98" t="str">
        <f t="shared" si="72"/>
        <v>TB271</v>
      </c>
      <c r="U133" s="98" t="str">
        <f t="shared" ref="U133:U162" si="83">IF(I133="FF211",L133&amp;TEXT(M133,"00")&amp;"_"&amp;N133&amp;"FI",IF(OR(I133="MD216",I133="--"),"--",L133&amp;TEXT(M133,"00")&amp;"BN"))</f>
        <v>207_2FI</v>
      </c>
      <c r="V133" s="98" t="str">
        <f t="shared" si="74"/>
        <v>a</v>
      </c>
      <c r="W133" s="98" t="str">
        <f t="shared" si="75"/>
        <v>b</v>
      </c>
      <c r="X133" s="98" t="str">
        <f t="shared" si="76"/>
        <v>IE-BUS</v>
      </c>
      <c r="Y133" s="98" t="str">
        <f t="shared" si="54"/>
        <v>--</v>
      </c>
      <c r="Z133" s="98" t="s">
        <v>388</v>
      </c>
      <c r="AA133" s="100" t="str">
        <f t="shared" si="73"/>
        <v>3AEKC-800BC_2_FS201</v>
      </c>
      <c r="AB133" s="102" t="str">
        <f t="shared" si="77"/>
        <v>14B</v>
      </c>
      <c r="AC133" s="102" t="str">
        <f t="shared" si="78"/>
        <v>14D</v>
      </c>
      <c r="AD133" s="98" t="s">
        <v>235</v>
      </c>
      <c r="AE133" s="98" t="s">
        <v>236</v>
      </c>
      <c r="AF133" s="331" t="s">
        <v>379</v>
      </c>
      <c r="AG133" s="98" t="s">
        <v>322</v>
      </c>
      <c r="AH133" s="98" t="str">
        <f t="shared" ref="AH133:AH162" si="84">IF(OR(IFERROR(SEARCH("TCP",AG133),-1)&gt;0,IFERROR(SEARCH("RTU",AG133),-1)&gt;0),"--",IF(LEFT(AI133,2)="AI",CHOOSE(MID(AI133,3,IF(IFERROR(SEARCH("NH",AI133),-1)&gt;0,"1",LEN(AI133)-1)),"DCS","DCS(提供24VDC)","DCS(提供220VAC)","USER","USER","DCS(提供220VAC)","DCS","DCS","DCS","DCS"),IF(LEFT(AI133,2)="AO","DCS",IF(LEFT(AI133,1)="P",CHOOSE(MID(AI133,2,LEN(AI133)-1),"DCS(提供24VDC)","DCS(提供220VAC)","USER"),IF(LEFT(AI133,2)="DI",CHOOSE(MID(AI133,3,LEN(AI133)-1),"DCS","DCS(提供24VDC)","DCS(提供220VAC)","USER","USER","DCS(提供24VDC)"),IF(LEFT(AI133,2)="DO",CHOOSE(MID(AI133,3,LEN(AI133)-1),"DCS","DCS(提供24VDC)","DCS(提供220VAC)","USER","USER"),IF(LEFT(AI133,2)="FF",CHOOSE(MID(AI133,3,LEN(AI133)-1),"DCS","DCS(提供24VDC)","DCS(提供220VAC)","USER","USER","DCS","DCS","DCS"),IF(LEFT(AI133,2)="DP","DCS(提供220VAC)",IF(IFERROR(SEARCH("DP",AG133),-1)&gt;0,"--",IF(IFERROR(SEARCH("OPC",AG133),-1)&gt;0,"--","Err"))))))))))</f>
        <v>DCS</v>
      </c>
      <c r="AI133" s="331" t="s">
        <v>380</v>
      </c>
      <c r="AJ133" s="191" t="s">
        <v>371</v>
      </c>
      <c r="AK133" s="102"/>
      <c r="AL133" s="102"/>
      <c r="AM133" s="102"/>
      <c r="AN133" s="100"/>
      <c r="AO133" s="100"/>
      <c r="AP133" s="102"/>
      <c r="AQ133" s="76" t="s">
        <v>31</v>
      </c>
      <c r="AR133" s="176"/>
      <c r="AS133" s="100"/>
      <c r="AT133" s="102"/>
      <c r="AU133" s="330" t="s">
        <v>245</v>
      </c>
      <c r="AV133" s="100"/>
      <c r="AW133" s="201"/>
      <c r="AX133" s="201"/>
      <c r="AY133" s="201"/>
      <c r="AZ133" s="201"/>
      <c r="BA133" s="201"/>
      <c r="BB133" s="201"/>
      <c r="BC133" s="201"/>
      <c r="BD133" s="201"/>
      <c r="BE133" s="201"/>
      <c r="BF133" s="201"/>
      <c r="BG133" s="201"/>
      <c r="BH133" s="201"/>
      <c r="BI133" s="201"/>
      <c r="BJ133" s="201"/>
      <c r="BK133" s="201"/>
      <c r="BL133" s="201"/>
      <c r="BM133" s="201"/>
      <c r="BN133" s="201"/>
      <c r="BO133" s="201"/>
      <c r="BP133" s="201"/>
      <c r="BQ133" s="201"/>
      <c r="BR133" s="201"/>
      <c r="BS133" s="201"/>
      <c r="BT133" s="201"/>
      <c r="BU133" s="201"/>
      <c r="BV133" s="201"/>
      <c r="BW133" s="201"/>
      <c r="BX133" s="201"/>
      <c r="BY133" s="201"/>
      <c r="BZ133" s="201"/>
      <c r="CA133" s="201"/>
      <c r="CB133" s="201"/>
      <c r="CC133" s="201"/>
      <c r="CD133" s="98" t="str">
        <f t="shared" ref="CD133:CD158" si="85">IF(AM133="","",IF(AK133="r/min",0,IF(ABS(AM133-AL133)&lt;=10,3,IF(AND((10&lt;ABS(AM133-AL133)),(ABS(AM133-AL133)&lt;=100)),2,IF(100&lt;ABS(AM133-AL133),1,"")))))</f>
        <v/>
      </c>
    </row>
    <row r="134" s="123" customFormat="1" ht="21" customHeight="1" spans="1:82">
      <c r="A134" s="164">
        <v>132</v>
      </c>
      <c r="B134" s="164" t="s">
        <v>411</v>
      </c>
      <c r="C134" s="165" t="s">
        <v>412</v>
      </c>
      <c r="D134" s="166" t="str">
        <f t="shared" ref="D134:D162" si="86">IF(CLEAN(B134)="","","R")&amp;SUBSTITUTE(TRIM(B134),"-","")&amp;IF(CLEAN(C134)="","","_"&amp;C134)</f>
        <v>R3AEAB001VVE_KG</v>
      </c>
      <c r="E134" s="170" t="s">
        <v>413</v>
      </c>
      <c r="F134" s="166" t="s">
        <v>234</v>
      </c>
      <c r="G134" s="329" t="s">
        <v>414</v>
      </c>
      <c r="H134" s="328" t="s">
        <v>124</v>
      </c>
      <c r="I134" s="181" t="str">
        <f t="shared" si="79"/>
        <v>DP211</v>
      </c>
      <c r="J134" s="181" t="str">
        <f t="shared" si="80"/>
        <v>209DP</v>
      </c>
      <c r="K134" s="166" t="str">
        <f t="shared" si="81"/>
        <v>3AEKC003AR209DP</v>
      </c>
      <c r="L134" s="168">
        <v>2</v>
      </c>
      <c r="M134" s="168">
        <v>9</v>
      </c>
      <c r="N134" s="168">
        <v>1</v>
      </c>
      <c r="O134" s="182" t="s">
        <v>415</v>
      </c>
      <c r="P134" s="168">
        <v>1</v>
      </c>
      <c r="Q134" s="181"/>
      <c r="R134" s="181"/>
      <c r="S134" s="181">
        <f t="shared" si="82"/>
        <v>19</v>
      </c>
      <c r="T134" s="181" t="str">
        <f t="shared" si="72"/>
        <v>TB272</v>
      </c>
      <c r="U134" s="181" t="str">
        <f t="shared" si="83"/>
        <v>209BN</v>
      </c>
      <c r="V134" s="181" t="str">
        <f t="shared" si="74"/>
        <v>--</v>
      </c>
      <c r="W134" s="181" t="str">
        <f t="shared" si="75"/>
        <v>--</v>
      </c>
      <c r="X134" s="181" t="str">
        <f t="shared" si="76"/>
        <v>--</v>
      </c>
      <c r="Y134" s="181" t="str">
        <f t="shared" ref="Y126:Y162" si="87">IF(AI134="AI9",N134&amp;"D","--")</f>
        <v>--</v>
      </c>
      <c r="Z134" s="181"/>
      <c r="AA134" s="166" t="str">
        <f t="shared" si="73"/>
        <v>--</v>
      </c>
      <c r="AB134" s="168" t="str">
        <f t="shared" si="77"/>
        <v>--</v>
      </c>
      <c r="AC134" s="168" t="str">
        <f t="shared" si="78"/>
        <v>--</v>
      </c>
      <c r="AD134" s="181" t="s">
        <v>235</v>
      </c>
      <c r="AE134" s="181" t="s">
        <v>236</v>
      </c>
      <c r="AF134" s="168" t="s">
        <v>416</v>
      </c>
      <c r="AG134" s="181" t="s">
        <v>417</v>
      </c>
      <c r="AH134" s="181" t="str">
        <f t="shared" si="84"/>
        <v>DCS(提供220VAC)</v>
      </c>
      <c r="AI134" s="168" t="s">
        <v>418</v>
      </c>
      <c r="AJ134" s="189"/>
      <c r="AK134" s="168"/>
      <c r="AL134" s="168"/>
      <c r="AM134" s="168"/>
      <c r="AN134" s="190"/>
      <c r="AO134" s="190"/>
      <c r="AP134" s="168"/>
      <c r="AQ134" s="190" t="s">
        <v>31</v>
      </c>
      <c r="AR134" s="170"/>
      <c r="AS134" s="166"/>
      <c r="AT134" s="166"/>
      <c r="AU134" s="328" t="s">
        <v>245</v>
      </c>
      <c r="AV134" s="200"/>
      <c r="AW134" s="200"/>
      <c r="AX134" s="200"/>
      <c r="AY134" s="200"/>
      <c r="AZ134" s="200"/>
      <c r="BA134" s="200"/>
      <c r="BB134" s="200"/>
      <c r="BC134" s="200"/>
      <c r="BD134" s="200"/>
      <c r="BE134" s="200"/>
      <c r="BF134" s="200"/>
      <c r="BG134" s="200"/>
      <c r="BH134" s="200"/>
      <c r="BI134" s="200"/>
      <c r="BJ134" s="200"/>
      <c r="BK134" s="200"/>
      <c r="BL134" s="200"/>
      <c r="BM134" s="200"/>
      <c r="BN134" s="200"/>
      <c r="BO134" s="200"/>
      <c r="BP134" s="200"/>
      <c r="BQ134" s="200"/>
      <c r="BR134" s="200"/>
      <c r="BS134" s="200"/>
      <c r="BT134" s="200"/>
      <c r="BU134" s="200"/>
      <c r="BV134" s="200"/>
      <c r="BW134" s="200"/>
      <c r="BX134" s="200"/>
      <c r="BY134" s="200"/>
      <c r="BZ134" s="200"/>
      <c r="CA134" s="200"/>
      <c r="CB134" s="200"/>
      <c r="CC134" s="200"/>
      <c r="CD134" s="181" t="str">
        <f t="shared" si="85"/>
        <v/>
      </c>
    </row>
    <row r="135" s="123" customFormat="1" ht="21" customHeight="1" spans="1:82">
      <c r="A135" s="93">
        <v>133</v>
      </c>
      <c r="B135" s="93" t="s">
        <v>411</v>
      </c>
      <c r="C135" s="96" t="s">
        <v>419</v>
      </c>
      <c r="D135" s="100" t="str">
        <f t="shared" si="86"/>
        <v>R3AEAB001VVE_KW</v>
      </c>
      <c r="E135" s="169" t="s">
        <v>420</v>
      </c>
      <c r="F135" s="100" t="s">
        <v>234</v>
      </c>
      <c r="G135" s="331" t="s">
        <v>414</v>
      </c>
      <c r="H135" s="330" t="s">
        <v>124</v>
      </c>
      <c r="I135" s="98" t="str">
        <f t="shared" si="79"/>
        <v>DP211</v>
      </c>
      <c r="J135" s="98" t="str">
        <f t="shared" si="80"/>
        <v>209DP</v>
      </c>
      <c r="K135" s="100" t="str">
        <f t="shared" si="81"/>
        <v>3AEKC003AR209DP</v>
      </c>
      <c r="L135" s="102">
        <v>2</v>
      </c>
      <c r="M135" s="102">
        <v>9</v>
      </c>
      <c r="N135" s="102">
        <v>1</v>
      </c>
      <c r="O135" s="183">
        <v>1</v>
      </c>
      <c r="P135" s="102">
        <v>1</v>
      </c>
      <c r="Q135" s="98"/>
      <c r="R135" s="98"/>
      <c r="S135" s="98">
        <f t="shared" si="82"/>
        <v>19</v>
      </c>
      <c r="T135" s="98" t="str">
        <f t="shared" si="72"/>
        <v>TB272</v>
      </c>
      <c r="U135" s="98" t="str">
        <f t="shared" si="83"/>
        <v>209BN</v>
      </c>
      <c r="V135" s="98" t="str">
        <f t="shared" si="74"/>
        <v>--</v>
      </c>
      <c r="W135" s="98" t="str">
        <f t="shared" si="75"/>
        <v>--</v>
      </c>
      <c r="X135" s="98" t="str">
        <f t="shared" si="76"/>
        <v>--</v>
      </c>
      <c r="Y135" s="98" t="str">
        <f t="shared" si="87"/>
        <v>--</v>
      </c>
      <c r="Z135" s="98"/>
      <c r="AA135" s="100" t="str">
        <f t="shared" si="73"/>
        <v>--</v>
      </c>
      <c r="AB135" s="102" t="str">
        <f t="shared" si="77"/>
        <v>--</v>
      </c>
      <c r="AC135" s="102" t="str">
        <f t="shared" si="78"/>
        <v>--</v>
      </c>
      <c r="AD135" s="98" t="s">
        <v>235</v>
      </c>
      <c r="AE135" s="98" t="s">
        <v>236</v>
      </c>
      <c r="AF135" s="102" t="s">
        <v>421</v>
      </c>
      <c r="AG135" s="98" t="s">
        <v>417</v>
      </c>
      <c r="AH135" s="98" t="str">
        <f t="shared" si="84"/>
        <v>DCS(提供220VAC)</v>
      </c>
      <c r="AI135" s="102" t="s">
        <v>422</v>
      </c>
      <c r="AJ135" s="191"/>
      <c r="AK135" s="102"/>
      <c r="AL135" s="102"/>
      <c r="AM135" s="102"/>
      <c r="AN135" s="76"/>
      <c r="AO135" s="76"/>
      <c r="AP135" s="102"/>
      <c r="AQ135" s="76" t="s">
        <v>31</v>
      </c>
      <c r="AR135" s="169"/>
      <c r="AS135" s="100"/>
      <c r="AT135" s="100"/>
      <c r="AU135" s="330" t="s">
        <v>245</v>
      </c>
      <c r="AV135" s="201"/>
      <c r="AW135" s="201"/>
      <c r="AX135" s="201"/>
      <c r="AY135" s="201"/>
      <c r="AZ135" s="201"/>
      <c r="BA135" s="201"/>
      <c r="BB135" s="201"/>
      <c r="BC135" s="201"/>
      <c r="BD135" s="201"/>
      <c r="BE135" s="201"/>
      <c r="BF135" s="201"/>
      <c r="BG135" s="201"/>
      <c r="BH135" s="201"/>
      <c r="BI135" s="201"/>
      <c r="BJ135" s="201"/>
      <c r="BK135" s="201"/>
      <c r="BL135" s="201"/>
      <c r="BM135" s="201"/>
      <c r="BN135" s="201"/>
      <c r="BO135" s="201"/>
      <c r="BP135" s="201"/>
      <c r="BQ135" s="201"/>
      <c r="BR135" s="201"/>
      <c r="BS135" s="201"/>
      <c r="BT135" s="201"/>
      <c r="BU135" s="201"/>
      <c r="BV135" s="201"/>
      <c r="BW135" s="201"/>
      <c r="BX135" s="201"/>
      <c r="BY135" s="201"/>
      <c r="BZ135" s="201"/>
      <c r="CA135" s="201"/>
      <c r="CB135" s="201"/>
      <c r="CC135" s="201"/>
      <c r="CD135" s="98" t="str">
        <f t="shared" si="85"/>
        <v/>
      </c>
    </row>
    <row r="136" s="123" customFormat="1" ht="21" customHeight="1" spans="1:82">
      <c r="A136" s="93">
        <v>134</v>
      </c>
      <c r="B136" s="93" t="s">
        <v>411</v>
      </c>
      <c r="C136" s="96" t="s">
        <v>423</v>
      </c>
      <c r="D136" s="100" t="str">
        <f t="shared" si="86"/>
        <v>R3AEAB001VVE_GW</v>
      </c>
      <c r="E136" s="169" t="s">
        <v>424</v>
      </c>
      <c r="F136" s="100" t="s">
        <v>234</v>
      </c>
      <c r="G136" s="331" t="s">
        <v>414</v>
      </c>
      <c r="H136" s="330" t="s">
        <v>124</v>
      </c>
      <c r="I136" s="98" t="str">
        <f t="shared" si="79"/>
        <v>DP211</v>
      </c>
      <c r="J136" s="98" t="str">
        <f t="shared" si="80"/>
        <v>209DP</v>
      </c>
      <c r="K136" s="100" t="str">
        <f t="shared" si="81"/>
        <v>3AEKC003AR209DP</v>
      </c>
      <c r="L136" s="102">
        <v>2</v>
      </c>
      <c r="M136" s="102">
        <v>9</v>
      </c>
      <c r="N136" s="102">
        <v>1</v>
      </c>
      <c r="O136" s="183">
        <v>1</v>
      </c>
      <c r="P136" s="102">
        <v>1</v>
      </c>
      <c r="Q136" s="98"/>
      <c r="R136" s="98"/>
      <c r="S136" s="98">
        <f t="shared" si="82"/>
        <v>19</v>
      </c>
      <c r="T136" s="98" t="str">
        <f t="shared" si="72"/>
        <v>TB272</v>
      </c>
      <c r="U136" s="98" t="str">
        <f t="shared" si="83"/>
        <v>209BN</v>
      </c>
      <c r="V136" s="98" t="str">
        <f t="shared" si="74"/>
        <v>--</v>
      </c>
      <c r="W136" s="98" t="str">
        <f t="shared" si="75"/>
        <v>--</v>
      </c>
      <c r="X136" s="98" t="str">
        <f t="shared" si="76"/>
        <v>--</v>
      </c>
      <c r="Y136" s="98" t="str">
        <f t="shared" si="87"/>
        <v>--</v>
      </c>
      <c r="Z136" s="98"/>
      <c r="AA136" s="100" t="str">
        <f t="shared" si="73"/>
        <v>--</v>
      </c>
      <c r="AB136" s="102" t="str">
        <f t="shared" si="77"/>
        <v>--</v>
      </c>
      <c r="AC136" s="102" t="str">
        <f t="shared" si="78"/>
        <v>--</v>
      </c>
      <c r="AD136" s="98" t="s">
        <v>235</v>
      </c>
      <c r="AE136" s="98" t="s">
        <v>236</v>
      </c>
      <c r="AF136" s="102" t="s">
        <v>421</v>
      </c>
      <c r="AG136" s="98" t="s">
        <v>417</v>
      </c>
      <c r="AH136" s="98" t="str">
        <f t="shared" si="84"/>
        <v>DCS(提供220VAC)</v>
      </c>
      <c r="AI136" s="102" t="s">
        <v>422</v>
      </c>
      <c r="AJ136" s="191"/>
      <c r="AK136" s="102"/>
      <c r="AL136" s="102"/>
      <c r="AM136" s="102"/>
      <c r="AN136" s="76"/>
      <c r="AO136" s="76"/>
      <c r="AP136" s="102"/>
      <c r="AQ136" s="76" t="s">
        <v>31</v>
      </c>
      <c r="AR136" s="169"/>
      <c r="AS136" s="100"/>
      <c r="AT136" s="100"/>
      <c r="AU136" s="330" t="s">
        <v>245</v>
      </c>
      <c r="AV136" s="201"/>
      <c r="AW136" s="201"/>
      <c r="AX136" s="201"/>
      <c r="AY136" s="201"/>
      <c r="AZ136" s="201"/>
      <c r="BA136" s="201"/>
      <c r="BB136" s="201"/>
      <c r="BC136" s="201"/>
      <c r="BD136" s="201"/>
      <c r="BE136" s="201"/>
      <c r="BF136" s="201"/>
      <c r="BG136" s="201"/>
      <c r="BH136" s="201"/>
      <c r="BI136" s="201"/>
      <c r="BJ136" s="201"/>
      <c r="BK136" s="201"/>
      <c r="BL136" s="201"/>
      <c r="BM136" s="201"/>
      <c r="BN136" s="201"/>
      <c r="BO136" s="201"/>
      <c r="BP136" s="201"/>
      <c r="BQ136" s="201"/>
      <c r="BR136" s="201"/>
      <c r="BS136" s="201"/>
      <c r="BT136" s="201"/>
      <c r="BU136" s="201"/>
      <c r="BV136" s="201"/>
      <c r="BW136" s="201"/>
      <c r="BX136" s="201"/>
      <c r="BY136" s="201"/>
      <c r="BZ136" s="201"/>
      <c r="CA136" s="201"/>
      <c r="CB136" s="201"/>
      <c r="CC136" s="201"/>
      <c r="CD136" s="98" t="str">
        <f t="shared" si="85"/>
        <v/>
      </c>
    </row>
    <row r="137" s="123" customFormat="1" ht="21" customHeight="1" spans="1:82">
      <c r="A137" s="93">
        <v>135</v>
      </c>
      <c r="B137" s="93" t="s">
        <v>425</v>
      </c>
      <c r="C137" s="96" t="s">
        <v>412</v>
      </c>
      <c r="D137" s="100" t="str">
        <f t="shared" si="86"/>
        <v>R3AEAB007VDE_KG</v>
      </c>
      <c r="E137" s="169" t="s">
        <v>413</v>
      </c>
      <c r="F137" s="100" t="s">
        <v>234</v>
      </c>
      <c r="G137" s="331" t="s">
        <v>414</v>
      </c>
      <c r="H137" s="330" t="s">
        <v>124</v>
      </c>
      <c r="I137" s="98" t="str">
        <f t="shared" si="79"/>
        <v>DP211</v>
      </c>
      <c r="J137" s="98" t="str">
        <f t="shared" si="80"/>
        <v>209DP</v>
      </c>
      <c r="K137" s="100" t="str">
        <f t="shared" si="81"/>
        <v>3AEKC003AR209DP</v>
      </c>
      <c r="L137" s="102">
        <v>2</v>
      </c>
      <c r="M137" s="102">
        <v>9</v>
      </c>
      <c r="N137" s="102">
        <v>1</v>
      </c>
      <c r="O137" s="183">
        <v>1</v>
      </c>
      <c r="P137" s="102">
        <v>2</v>
      </c>
      <c r="Q137" s="98"/>
      <c r="R137" s="98"/>
      <c r="S137" s="98">
        <f t="shared" si="82"/>
        <v>19</v>
      </c>
      <c r="T137" s="98" t="str">
        <f t="shared" si="72"/>
        <v>TB272</v>
      </c>
      <c r="U137" s="98" t="str">
        <f t="shared" si="83"/>
        <v>209BN</v>
      </c>
      <c r="V137" s="98" t="str">
        <f t="shared" si="74"/>
        <v>--</v>
      </c>
      <c r="W137" s="98" t="str">
        <f t="shared" si="75"/>
        <v>--</v>
      </c>
      <c r="X137" s="98" t="str">
        <f t="shared" si="76"/>
        <v>--</v>
      </c>
      <c r="Y137" s="98" t="str">
        <f t="shared" si="87"/>
        <v>--</v>
      </c>
      <c r="Z137" s="98"/>
      <c r="AA137" s="100" t="str">
        <f t="shared" si="73"/>
        <v>--</v>
      </c>
      <c r="AB137" s="102" t="str">
        <f t="shared" si="77"/>
        <v>--</v>
      </c>
      <c r="AC137" s="102" t="str">
        <f t="shared" si="78"/>
        <v>--</v>
      </c>
      <c r="AD137" s="98" t="s">
        <v>235</v>
      </c>
      <c r="AE137" s="98" t="s">
        <v>236</v>
      </c>
      <c r="AF137" s="102" t="s">
        <v>416</v>
      </c>
      <c r="AG137" s="98" t="s">
        <v>417</v>
      </c>
      <c r="AH137" s="98" t="str">
        <f t="shared" si="84"/>
        <v>DCS(提供220VAC)</v>
      </c>
      <c r="AI137" s="102" t="s">
        <v>418</v>
      </c>
      <c r="AJ137" s="191"/>
      <c r="AK137" s="102"/>
      <c r="AL137" s="102"/>
      <c r="AM137" s="102"/>
      <c r="AN137" s="76"/>
      <c r="AO137" s="76"/>
      <c r="AP137" s="102"/>
      <c r="AQ137" s="76" t="s">
        <v>31</v>
      </c>
      <c r="AR137" s="169"/>
      <c r="AS137" s="100"/>
      <c r="AT137" s="100"/>
      <c r="AU137" s="330" t="s">
        <v>245</v>
      </c>
      <c r="AV137" s="201"/>
      <c r="AW137" s="201"/>
      <c r="AX137" s="201"/>
      <c r="AY137" s="201"/>
      <c r="AZ137" s="201"/>
      <c r="BA137" s="201"/>
      <c r="BB137" s="201"/>
      <c r="BC137" s="201"/>
      <c r="BD137" s="201"/>
      <c r="BE137" s="201"/>
      <c r="BF137" s="201"/>
      <c r="BG137" s="201"/>
      <c r="BH137" s="201"/>
      <c r="BI137" s="201"/>
      <c r="BJ137" s="201"/>
      <c r="BK137" s="201"/>
      <c r="BL137" s="201"/>
      <c r="BM137" s="201"/>
      <c r="BN137" s="201"/>
      <c r="BO137" s="201"/>
      <c r="BP137" s="201"/>
      <c r="BQ137" s="201"/>
      <c r="BR137" s="201"/>
      <c r="BS137" s="201"/>
      <c r="BT137" s="201"/>
      <c r="BU137" s="201"/>
      <c r="BV137" s="201"/>
      <c r="BW137" s="201"/>
      <c r="BX137" s="201"/>
      <c r="BY137" s="201"/>
      <c r="BZ137" s="201"/>
      <c r="CA137" s="201"/>
      <c r="CB137" s="201"/>
      <c r="CC137" s="201"/>
      <c r="CD137" s="98" t="str">
        <f t="shared" si="85"/>
        <v/>
      </c>
    </row>
    <row r="138" s="123" customFormat="1" ht="21" customHeight="1" spans="1:82">
      <c r="A138" s="93">
        <v>136</v>
      </c>
      <c r="B138" s="93" t="s">
        <v>425</v>
      </c>
      <c r="C138" s="96" t="s">
        <v>419</v>
      </c>
      <c r="D138" s="100" t="str">
        <f t="shared" si="86"/>
        <v>R3AEAB007VDE_KW</v>
      </c>
      <c r="E138" s="169" t="s">
        <v>420</v>
      </c>
      <c r="F138" s="100" t="s">
        <v>234</v>
      </c>
      <c r="G138" s="331" t="s">
        <v>414</v>
      </c>
      <c r="H138" s="330" t="s">
        <v>124</v>
      </c>
      <c r="I138" s="98" t="str">
        <f t="shared" si="79"/>
        <v>DP211</v>
      </c>
      <c r="J138" s="98" t="str">
        <f t="shared" si="80"/>
        <v>209DP</v>
      </c>
      <c r="K138" s="100" t="str">
        <f t="shared" si="81"/>
        <v>3AEKC003AR209DP</v>
      </c>
      <c r="L138" s="102">
        <v>2</v>
      </c>
      <c r="M138" s="102">
        <v>9</v>
      </c>
      <c r="N138" s="102">
        <v>1</v>
      </c>
      <c r="O138" s="183">
        <v>1</v>
      </c>
      <c r="P138" s="102">
        <v>2</v>
      </c>
      <c r="Q138" s="98"/>
      <c r="R138" s="98"/>
      <c r="S138" s="98">
        <f t="shared" si="82"/>
        <v>19</v>
      </c>
      <c r="T138" s="98" t="str">
        <f t="shared" si="72"/>
        <v>TB272</v>
      </c>
      <c r="U138" s="98" t="str">
        <f t="shared" si="83"/>
        <v>209BN</v>
      </c>
      <c r="V138" s="98" t="str">
        <f t="shared" si="74"/>
        <v>--</v>
      </c>
      <c r="W138" s="98" t="str">
        <f t="shared" si="75"/>
        <v>--</v>
      </c>
      <c r="X138" s="98" t="str">
        <f t="shared" si="76"/>
        <v>--</v>
      </c>
      <c r="Y138" s="98" t="str">
        <f t="shared" si="87"/>
        <v>--</v>
      </c>
      <c r="Z138" s="98"/>
      <c r="AA138" s="100" t="str">
        <f t="shared" si="73"/>
        <v>--</v>
      </c>
      <c r="AB138" s="102" t="str">
        <f t="shared" si="77"/>
        <v>--</v>
      </c>
      <c r="AC138" s="102" t="str">
        <f t="shared" si="78"/>
        <v>--</v>
      </c>
      <c r="AD138" s="98" t="s">
        <v>235</v>
      </c>
      <c r="AE138" s="98" t="s">
        <v>236</v>
      </c>
      <c r="AF138" s="102" t="s">
        <v>421</v>
      </c>
      <c r="AG138" s="98" t="s">
        <v>417</v>
      </c>
      <c r="AH138" s="98" t="str">
        <f t="shared" si="84"/>
        <v>DCS(提供220VAC)</v>
      </c>
      <c r="AI138" s="102" t="s">
        <v>422</v>
      </c>
      <c r="AJ138" s="191"/>
      <c r="AK138" s="102"/>
      <c r="AL138" s="102"/>
      <c r="AM138" s="102"/>
      <c r="AN138" s="76"/>
      <c r="AO138" s="76"/>
      <c r="AP138" s="102"/>
      <c r="AQ138" s="76" t="s">
        <v>31</v>
      </c>
      <c r="AR138" s="169"/>
      <c r="AS138" s="100"/>
      <c r="AT138" s="100"/>
      <c r="AU138" s="330" t="s">
        <v>245</v>
      </c>
      <c r="AV138" s="201"/>
      <c r="AW138" s="201"/>
      <c r="AX138" s="201"/>
      <c r="AY138" s="201"/>
      <c r="AZ138" s="201"/>
      <c r="BA138" s="201"/>
      <c r="BB138" s="201"/>
      <c r="BC138" s="201"/>
      <c r="BD138" s="201"/>
      <c r="BE138" s="201"/>
      <c r="BF138" s="201"/>
      <c r="BG138" s="201"/>
      <c r="BH138" s="201"/>
      <c r="BI138" s="201"/>
      <c r="BJ138" s="201"/>
      <c r="BK138" s="201"/>
      <c r="BL138" s="201"/>
      <c r="BM138" s="201"/>
      <c r="BN138" s="201"/>
      <c r="BO138" s="201"/>
      <c r="BP138" s="201"/>
      <c r="BQ138" s="201"/>
      <c r="BR138" s="201"/>
      <c r="BS138" s="201"/>
      <c r="BT138" s="201"/>
      <c r="BU138" s="201"/>
      <c r="BV138" s="201"/>
      <c r="BW138" s="201"/>
      <c r="BX138" s="201"/>
      <c r="BY138" s="201"/>
      <c r="BZ138" s="201"/>
      <c r="CA138" s="201"/>
      <c r="CB138" s="201"/>
      <c r="CC138" s="201"/>
      <c r="CD138" s="98" t="str">
        <f t="shared" si="85"/>
        <v/>
      </c>
    </row>
    <row r="139" s="123" customFormat="1" ht="21" customHeight="1" spans="1:82">
      <c r="A139" s="93">
        <v>137</v>
      </c>
      <c r="B139" s="93" t="s">
        <v>425</v>
      </c>
      <c r="C139" s="96" t="s">
        <v>423</v>
      </c>
      <c r="D139" s="100" t="str">
        <f t="shared" si="86"/>
        <v>R3AEAB007VDE_GW</v>
      </c>
      <c r="E139" s="169" t="s">
        <v>424</v>
      </c>
      <c r="F139" s="100" t="s">
        <v>234</v>
      </c>
      <c r="G139" s="331" t="s">
        <v>414</v>
      </c>
      <c r="H139" s="330" t="s">
        <v>124</v>
      </c>
      <c r="I139" s="98" t="str">
        <f t="shared" si="79"/>
        <v>DP211</v>
      </c>
      <c r="J139" s="98" t="str">
        <f t="shared" si="80"/>
        <v>209DP</v>
      </c>
      <c r="K139" s="100" t="str">
        <f t="shared" si="81"/>
        <v>3AEKC003AR209DP</v>
      </c>
      <c r="L139" s="102">
        <v>2</v>
      </c>
      <c r="M139" s="102">
        <v>9</v>
      </c>
      <c r="N139" s="102">
        <v>1</v>
      </c>
      <c r="O139" s="183">
        <v>1</v>
      </c>
      <c r="P139" s="102">
        <v>2</v>
      </c>
      <c r="Q139" s="98"/>
      <c r="R139" s="98"/>
      <c r="S139" s="98">
        <f t="shared" si="82"/>
        <v>19</v>
      </c>
      <c r="T139" s="98" t="str">
        <f t="shared" ref="T139:T162" si="88">IF(I139="DO211",CHOOSE(MID(AI139,3,LEN(AI139)-1),"TB233","TB233","TB231","TB231","TB231"),IF(AND(I139="DI211",AI139="DI4",IFERROR(SEARCH("继电器",AJ139),-1)&gt;0),"TB222",IF(I139="DI211",CHOOSE(MID(AI139,3,LEN(AI139)-1),"TB222","TB222","TB222","TB221","TB222","TB222"),IF(OR(I139="AI212",I139="AI216"),"TB241",IF(I139="AI221","TB242",IF(I139="AI232","TB246",IF(I139="AO211","TB251",IF(OR(I139="PI211",I139="AO215",I139="MD211"),"TB244",IF(I139="MD216","--",IF(I139="FF211","TB271",IF(I139="DP211","TB272",IF(I139="--","--","ERR"))))))))))))</f>
        <v>TB272</v>
      </c>
      <c r="U139" s="98" t="str">
        <f t="shared" si="83"/>
        <v>209BN</v>
      </c>
      <c r="V139" s="98" t="str">
        <f t="shared" si="74"/>
        <v>--</v>
      </c>
      <c r="W139" s="98" t="str">
        <f t="shared" si="75"/>
        <v>--</v>
      </c>
      <c r="X139" s="98" t="str">
        <f t="shared" si="76"/>
        <v>--</v>
      </c>
      <c r="Y139" s="98" t="str">
        <f t="shared" si="87"/>
        <v>--</v>
      </c>
      <c r="Z139" s="98"/>
      <c r="AA139" s="100" t="str">
        <f t="shared" ref="AA139:AA162" si="89">IF(IFERROR(SEARCH("FS",Z139),-1)&gt;0,G139&amp;"_"&amp;O139&amp;"_"&amp;Z139,"--")</f>
        <v>--</v>
      </c>
      <c r="AB139" s="102" t="str">
        <f t="shared" si="77"/>
        <v>--</v>
      </c>
      <c r="AC139" s="102" t="str">
        <f t="shared" si="78"/>
        <v>--</v>
      </c>
      <c r="AD139" s="98" t="s">
        <v>235</v>
      </c>
      <c r="AE139" s="98" t="s">
        <v>236</v>
      </c>
      <c r="AF139" s="102" t="s">
        <v>421</v>
      </c>
      <c r="AG139" s="98" t="s">
        <v>417</v>
      </c>
      <c r="AH139" s="98" t="str">
        <f t="shared" si="84"/>
        <v>DCS(提供220VAC)</v>
      </c>
      <c r="AI139" s="102" t="s">
        <v>422</v>
      </c>
      <c r="AJ139" s="191"/>
      <c r="AK139" s="102"/>
      <c r="AL139" s="102"/>
      <c r="AM139" s="102"/>
      <c r="AN139" s="76"/>
      <c r="AO139" s="76"/>
      <c r="AP139" s="102"/>
      <c r="AQ139" s="76" t="s">
        <v>31</v>
      </c>
      <c r="AR139" s="169"/>
      <c r="AS139" s="100"/>
      <c r="AT139" s="100"/>
      <c r="AU139" s="330" t="s">
        <v>245</v>
      </c>
      <c r="AV139" s="201"/>
      <c r="AW139" s="201"/>
      <c r="AX139" s="201"/>
      <c r="AY139" s="201"/>
      <c r="AZ139" s="201"/>
      <c r="BA139" s="201"/>
      <c r="BB139" s="201"/>
      <c r="BC139" s="201"/>
      <c r="BD139" s="201"/>
      <c r="BE139" s="201"/>
      <c r="BF139" s="201"/>
      <c r="BG139" s="201"/>
      <c r="BH139" s="201"/>
      <c r="BI139" s="201"/>
      <c r="BJ139" s="201"/>
      <c r="BK139" s="201"/>
      <c r="BL139" s="201"/>
      <c r="BM139" s="201"/>
      <c r="BN139" s="201"/>
      <c r="BO139" s="201"/>
      <c r="BP139" s="201"/>
      <c r="BQ139" s="201"/>
      <c r="BR139" s="201"/>
      <c r="BS139" s="201"/>
      <c r="BT139" s="201"/>
      <c r="BU139" s="201"/>
      <c r="BV139" s="201"/>
      <c r="BW139" s="201"/>
      <c r="BX139" s="201"/>
      <c r="BY139" s="201"/>
      <c r="BZ139" s="201"/>
      <c r="CA139" s="201"/>
      <c r="CB139" s="201"/>
      <c r="CC139" s="201"/>
      <c r="CD139" s="98" t="str">
        <f t="shared" si="85"/>
        <v/>
      </c>
    </row>
    <row r="140" s="123" customFormat="1" ht="21" customHeight="1" spans="1:82">
      <c r="A140" s="93">
        <v>138</v>
      </c>
      <c r="B140" s="93" t="s">
        <v>426</v>
      </c>
      <c r="C140" s="96" t="s">
        <v>427</v>
      </c>
      <c r="D140" s="100" t="str">
        <f t="shared" si="86"/>
        <v>R3AEAB901VIE_K</v>
      </c>
      <c r="E140" s="169" t="s">
        <v>428</v>
      </c>
      <c r="F140" s="100" t="s">
        <v>234</v>
      </c>
      <c r="G140" s="331" t="s">
        <v>429</v>
      </c>
      <c r="H140" s="330" t="s">
        <v>124</v>
      </c>
      <c r="I140" s="98" t="str">
        <f t="shared" si="79"/>
        <v>DP211</v>
      </c>
      <c r="J140" s="98" t="str">
        <f t="shared" si="80"/>
        <v>209DP</v>
      </c>
      <c r="K140" s="100" t="str">
        <f t="shared" si="81"/>
        <v>3AEKC003AR209DP</v>
      </c>
      <c r="L140" s="102">
        <v>2</v>
      </c>
      <c r="M140" s="102">
        <v>9</v>
      </c>
      <c r="N140" s="102">
        <v>1</v>
      </c>
      <c r="O140" s="209">
        <v>2</v>
      </c>
      <c r="P140" s="102">
        <v>1</v>
      </c>
      <c r="Q140" s="98"/>
      <c r="R140" s="98"/>
      <c r="S140" s="98">
        <f t="shared" si="82"/>
        <v>19</v>
      </c>
      <c r="T140" s="98" t="str">
        <f t="shared" si="88"/>
        <v>TB272</v>
      </c>
      <c r="U140" s="98" t="str">
        <f t="shared" si="83"/>
        <v>209BN</v>
      </c>
      <c r="V140" s="98" t="str">
        <f t="shared" si="74"/>
        <v>--</v>
      </c>
      <c r="W140" s="98" t="str">
        <f t="shared" si="75"/>
        <v>--</v>
      </c>
      <c r="X140" s="98" t="str">
        <f t="shared" si="76"/>
        <v>--</v>
      </c>
      <c r="Y140" s="98" t="str">
        <f t="shared" si="87"/>
        <v>--</v>
      </c>
      <c r="Z140" s="98"/>
      <c r="AA140" s="100" t="str">
        <f t="shared" si="89"/>
        <v>--</v>
      </c>
      <c r="AB140" s="102" t="str">
        <f t="shared" si="77"/>
        <v>--</v>
      </c>
      <c r="AC140" s="102" t="str">
        <f t="shared" si="78"/>
        <v>--</v>
      </c>
      <c r="AD140" s="98" t="s">
        <v>235</v>
      </c>
      <c r="AE140" s="98" t="s">
        <v>236</v>
      </c>
      <c r="AF140" s="102" t="s">
        <v>416</v>
      </c>
      <c r="AG140" s="98" t="s">
        <v>417</v>
      </c>
      <c r="AH140" s="98" t="str">
        <f t="shared" si="84"/>
        <v>DCS(提供220VAC)</v>
      </c>
      <c r="AI140" s="102" t="s">
        <v>418</v>
      </c>
      <c r="AJ140" s="191"/>
      <c r="AK140" s="102"/>
      <c r="AL140" s="102"/>
      <c r="AM140" s="102"/>
      <c r="AN140" s="76"/>
      <c r="AO140" s="76"/>
      <c r="AP140" s="102"/>
      <c r="AQ140" s="76" t="s">
        <v>31</v>
      </c>
      <c r="AR140" s="169" t="s">
        <v>430</v>
      </c>
      <c r="AS140" s="100"/>
      <c r="AT140" s="100"/>
      <c r="AU140" s="330" t="s">
        <v>245</v>
      </c>
      <c r="AV140" s="201"/>
      <c r="AW140" s="201"/>
      <c r="AX140" s="201"/>
      <c r="AY140" s="201"/>
      <c r="AZ140" s="201"/>
      <c r="BA140" s="201"/>
      <c r="BB140" s="201"/>
      <c r="BC140" s="201"/>
      <c r="BD140" s="201"/>
      <c r="BE140" s="201"/>
      <c r="BF140" s="201"/>
      <c r="BG140" s="201"/>
      <c r="BH140" s="201"/>
      <c r="BI140" s="201"/>
      <c r="BJ140" s="201"/>
      <c r="BK140" s="201"/>
      <c r="BL140" s="201"/>
      <c r="BM140" s="201"/>
      <c r="BN140" s="201"/>
      <c r="BO140" s="201"/>
      <c r="BP140" s="201"/>
      <c r="BQ140" s="201"/>
      <c r="BR140" s="201"/>
      <c r="BS140" s="201"/>
      <c r="BT140" s="201"/>
      <c r="BU140" s="201"/>
      <c r="BV140" s="201"/>
      <c r="BW140" s="201"/>
      <c r="BX140" s="201"/>
      <c r="BY140" s="201"/>
      <c r="BZ140" s="201"/>
      <c r="CA140" s="201"/>
      <c r="CB140" s="201"/>
      <c r="CC140" s="201"/>
      <c r="CD140" s="98" t="str">
        <f t="shared" si="85"/>
        <v/>
      </c>
    </row>
    <row r="141" s="123" customFormat="1" ht="21" customHeight="1" spans="1:82">
      <c r="A141" s="93">
        <v>139</v>
      </c>
      <c r="B141" s="93" t="s">
        <v>426</v>
      </c>
      <c r="C141" s="96" t="s">
        <v>419</v>
      </c>
      <c r="D141" s="100" t="str">
        <f t="shared" si="86"/>
        <v>R3AEAB901VIE_KW</v>
      </c>
      <c r="E141" s="169" t="s">
        <v>431</v>
      </c>
      <c r="F141" s="100" t="s">
        <v>234</v>
      </c>
      <c r="G141" s="331" t="s">
        <v>429</v>
      </c>
      <c r="H141" s="330" t="s">
        <v>124</v>
      </c>
      <c r="I141" s="98" t="str">
        <f t="shared" si="79"/>
        <v>DP211</v>
      </c>
      <c r="J141" s="98" t="str">
        <f t="shared" si="80"/>
        <v>209DP</v>
      </c>
      <c r="K141" s="100" t="str">
        <f t="shared" si="81"/>
        <v>3AEKC003AR209DP</v>
      </c>
      <c r="L141" s="102">
        <v>2</v>
      </c>
      <c r="M141" s="102">
        <v>9</v>
      </c>
      <c r="N141" s="102">
        <v>1</v>
      </c>
      <c r="O141" s="209">
        <v>2</v>
      </c>
      <c r="P141" s="102">
        <v>1</v>
      </c>
      <c r="Q141" s="98"/>
      <c r="R141" s="98"/>
      <c r="S141" s="98">
        <f t="shared" si="82"/>
        <v>19</v>
      </c>
      <c r="T141" s="98" t="str">
        <f t="shared" si="88"/>
        <v>TB272</v>
      </c>
      <c r="U141" s="98" t="str">
        <f t="shared" si="83"/>
        <v>209BN</v>
      </c>
      <c r="V141" s="98" t="str">
        <f t="shared" si="74"/>
        <v>--</v>
      </c>
      <c r="W141" s="98" t="str">
        <f t="shared" si="75"/>
        <v>--</v>
      </c>
      <c r="X141" s="98" t="str">
        <f t="shared" si="76"/>
        <v>--</v>
      </c>
      <c r="Y141" s="98" t="str">
        <f t="shared" si="87"/>
        <v>--</v>
      </c>
      <c r="Z141" s="98"/>
      <c r="AA141" s="100" t="str">
        <f t="shared" si="89"/>
        <v>--</v>
      </c>
      <c r="AB141" s="102" t="str">
        <f t="shared" si="77"/>
        <v>--</v>
      </c>
      <c r="AC141" s="102" t="str">
        <f t="shared" si="78"/>
        <v>--</v>
      </c>
      <c r="AD141" s="98" t="s">
        <v>235</v>
      </c>
      <c r="AE141" s="98" t="s">
        <v>236</v>
      </c>
      <c r="AF141" s="102" t="s">
        <v>421</v>
      </c>
      <c r="AG141" s="98" t="s">
        <v>417</v>
      </c>
      <c r="AH141" s="98" t="str">
        <f t="shared" si="84"/>
        <v>DCS(提供220VAC)</v>
      </c>
      <c r="AI141" s="102" t="s">
        <v>422</v>
      </c>
      <c r="AJ141" s="191"/>
      <c r="AK141" s="102"/>
      <c r="AL141" s="102"/>
      <c r="AM141" s="102"/>
      <c r="AN141" s="76"/>
      <c r="AO141" s="76"/>
      <c r="AP141" s="102"/>
      <c r="AQ141" s="76" t="s">
        <v>31</v>
      </c>
      <c r="AR141" s="169" t="s">
        <v>430</v>
      </c>
      <c r="AS141" s="100"/>
      <c r="AT141" s="100"/>
      <c r="AU141" s="330" t="s">
        <v>245</v>
      </c>
      <c r="AV141" s="201"/>
      <c r="AW141" s="201"/>
      <c r="AX141" s="201"/>
      <c r="AY141" s="201"/>
      <c r="AZ141" s="201"/>
      <c r="BA141" s="201"/>
      <c r="BB141" s="201"/>
      <c r="BC141" s="201"/>
      <c r="BD141" s="201"/>
      <c r="BE141" s="201"/>
      <c r="BF141" s="201"/>
      <c r="BG141" s="201"/>
      <c r="BH141" s="201"/>
      <c r="BI141" s="201"/>
      <c r="BJ141" s="201"/>
      <c r="BK141" s="201"/>
      <c r="BL141" s="201"/>
      <c r="BM141" s="201"/>
      <c r="BN141" s="201"/>
      <c r="BO141" s="201"/>
      <c r="BP141" s="201"/>
      <c r="BQ141" s="201"/>
      <c r="BR141" s="201"/>
      <c r="BS141" s="201"/>
      <c r="BT141" s="201"/>
      <c r="BU141" s="201"/>
      <c r="BV141" s="201"/>
      <c r="BW141" s="201"/>
      <c r="BX141" s="201"/>
      <c r="BY141" s="201"/>
      <c r="BZ141" s="201"/>
      <c r="CA141" s="201"/>
      <c r="CB141" s="201"/>
      <c r="CC141" s="201"/>
      <c r="CD141" s="98" t="str">
        <f t="shared" si="85"/>
        <v/>
      </c>
    </row>
    <row r="142" s="123" customFormat="1" ht="21" customHeight="1" spans="1:82">
      <c r="A142" s="93">
        <v>140</v>
      </c>
      <c r="B142" s="93" t="s">
        <v>426</v>
      </c>
      <c r="C142" s="96" t="s">
        <v>432</v>
      </c>
      <c r="D142" s="100" t="str">
        <f t="shared" si="86"/>
        <v>R3AEAB901VIE_G</v>
      </c>
      <c r="E142" s="169" t="s">
        <v>433</v>
      </c>
      <c r="F142" s="100" t="s">
        <v>234</v>
      </c>
      <c r="G142" s="331" t="s">
        <v>429</v>
      </c>
      <c r="H142" s="330" t="s">
        <v>124</v>
      </c>
      <c r="I142" s="98" t="str">
        <f t="shared" si="79"/>
        <v>DP211</v>
      </c>
      <c r="J142" s="98" t="str">
        <f t="shared" si="80"/>
        <v>209DP</v>
      </c>
      <c r="K142" s="100" t="str">
        <f t="shared" si="81"/>
        <v>3AEKC003AR209DP</v>
      </c>
      <c r="L142" s="102">
        <v>2</v>
      </c>
      <c r="M142" s="102">
        <v>9</v>
      </c>
      <c r="N142" s="102">
        <v>1</v>
      </c>
      <c r="O142" s="209">
        <v>2</v>
      </c>
      <c r="P142" s="102">
        <v>1</v>
      </c>
      <c r="Q142" s="98"/>
      <c r="R142" s="98"/>
      <c r="S142" s="98">
        <f t="shared" si="82"/>
        <v>19</v>
      </c>
      <c r="T142" s="98" t="str">
        <f t="shared" si="88"/>
        <v>TB272</v>
      </c>
      <c r="U142" s="98" t="str">
        <f t="shared" si="83"/>
        <v>209BN</v>
      </c>
      <c r="V142" s="98" t="str">
        <f t="shared" si="74"/>
        <v>--</v>
      </c>
      <c r="W142" s="98" t="str">
        <f t="shared" si="75"/>
        <v>--</v>
      </c>
      <c r="X142" s="98" t="str">
        <f t="shared" si="76"/>
        <v>--</v>
      </c>
      <c r="Y142" s="98" t="str">
        <f t="shared" si="87"/>
        <v>--</v>
      </c>
      <c r="Z142" s="98"/>
      <c r="AA142" s="100" t="str">
        <f t="shared" si="89"/>
        <v>--</v>
      </c>
      <c r="AB142" s="102" t="str">
        <f t="shared" si="77"/>
        <v>--</v>
      </c>
      <c r="AC142" s="102" t="str">
        <f t="shared" si="78"/>
        <v>--</v>
      </c>
      <c r="AD142" s="98" t="s">
        <v>235</v>
      </c>
      <c r="AE142" s="98" t="s">
        <v>236</v>
      </c>
      <c r="AF142" s="102" t="s">
        <v>416</v>
      </c>
      <c r="AG142" s="98" t="s">
        <v>417</v>
      </c>
      <c r="AH142" s="98" t="str">
        <f t="shared" si="84"/>
        <v>DCS(提供220VAC)</v>
      </c>
      <c r="AI142" s="102" t="s">
        <v>418</v>
      </c>
      <c r="AJ142" s="191"/>
      <c r="AK142" s="102"/>
      <c r="AL142" s="102"/>
      <c r="AM142" s="102"/>
      <c r="AN142" s="76"/>
      <c r="AO142" s="76"/>
      <c r="AP142" s="102"/>
      <c r="AQ142" s="76" t="s">
        <v>31</v>
      </c>
      <c r="AR142" s="169" t="s">
        <v>430</v>
      </c>
      <c r="AS142" s="100"/>
      <c r="AT142" s="100"/>
      <c r="AU142" s="330" t="s">
        <v>245</v>
      </c>
      <c r="AV142" s="201"/>
      <c r="AW142" s="201"/>
      <c r="AX142" s="201"/>
      <c r="AY142" s="201"/>
      <c r="AZ142" s="201"/>
      <c r="BA142" s="201"/>
      <c r="BB142" s="201"/>
      <c r="BC142" s="201"/>
      <c r="BD142" s="201"/>
      <c r="BE142" s="201"/>
      <c r="BF142" s="201"/>
      <c r="BG142" s="201"/>
      <c r="BH142" s="201"/>
      <c r="BI142" s="201"/>
      <c r="BJ142" s="201"/>
      <c r="BK142" s="201"/>
      <c r="BL142" s="201"/>
      <c r="BM142" s="201"/>
      <c r="BN142" s="201"/>
      <c r="BO142" s="201"/>
      <c r="BP142" s="201"/>
      <c r="BQ142" s="201"/>
      <c r="BR142" s="201"/>
      <c r="BS142" s="201"/>
      <c r="BT142" s="201"/>
      <c r="BU142" s="201"/>
      <c r="BV142" s="201"/>
      <c r="BW142" s="201"/>
      <c r="BX142" s="201"/>
      <c r="BY142" s="201"/>
      <c r="BZ142" s="201"/>
      <c r="CA142" s="201"/>
      <c r="CB142" s="201"/>
      <c r="CC142" s="201"/>
      <c r="CD142" s="98" t="str">
        <f t="shared" si="85"/>
        <v/>
      </c>
    </row>
    <row r="143" s="123" customFormat="1" ht="21" customHeight="1" spans="1:82">
      <c r="A143" s="93">
        <v>141</v>
      </c>
      <c r="B143" s="93" t="s">
        <v>426</v>
      </c>
      <c r="C143" s="96" t="s">
        <v>423</v>
      </c>
      <c r="D143" s="100" t="str">
        <f t="shared" si="86"/>
        <v>R3AEAB901VIE_GW</v>
      </c>
      <c r="E143" s="169" t="s">
        <v>434</v>
      </c>
      <c r="F143" s="100" t="s">
        <v>234</v>
      </c>
      <c r="G143" s="331" t="s">
        <v>429</v>
      </c>
      <c r="H143" s="330" t="s">
        <v>124</v>
      </c>
      <c r="I143" s="98" t="str">
        <f t="shared" si="79"/>
        <v>DP211</v>
      </c>
      <c r="J143" s="98" t="str">
        <f t="shared" si="80"/>
        <v>209DP</v>
      </c>
      <c r="K143" s="100" t="str">
        <f t="shared" si="81"/>
        <v>3AEKC003AR209DP</v>
      </c>
      <c r="L143" s="102">
        <v>2</v>
      </c>
      <c r="M143" s="102">
        <v>9</v>
      </c>
      <c r="N143" s="102">
        <v>1</v>
      </c>
      <c r="O143" s="209">
        <v>2</v>
      </c>
      <c r="P143" s="102">
        <v>1</v>
      </c>
      <c r="Q143" s="98"/>
      <c r="R143" s="98"/>
      <c r="S143" s="98">
        <f t="shared" si="82"/>
        <v>19</v>
      </c>
      <c r="T143" s="98" t="str">
        <f t="shared" si="88"/>
        <v>TB272</v>
      </c>
      <c r="U143" s="98" t="str">
        <f t="shared" si="83"/>
        <v>209BN</v>
      </c>
      <c r="V143" s="98" t="str">
        <f t="shared" si="74"/>
        <v>--</v>
      </c>
      <c r="W143" s="98" t="str">
        <f t="shared" si="75"/>
        <v>--</v>
      </c>
      <c r="X143" s="98" t="str">
        <f t="shared" si="76"/>
        <v>--</v>
      </c>
      <c r="Y143" s="98" t="str">
        <f t="shared" si="87"/>
        <v>--</v>
      </c>
      <c r="Z143" s="98"/>
      <c r="AA143" s="100" t="str">
        <f t="shared" si="89"/>
        <v>--</v>
      </c>
      <c r="AB143" s="102" t="str">
        <f t="shared" si="77"/>
        <v>--</v>
      </c>
      <c r="AC143" s="102" t="str">
        <f t="shared" si="78"/>
        <v>--</v>
      </c>
      <c r="AD143" s="98" t="s">
        <v>235</v>
      </c>
      <c r="AE143" s="98" t="s">
        <v>236</v>
      </c>
      <c r="AF143" s="102" t="s">
        <v>421</v>
      </c>
      <c r="AG143" s="98" t="s">
        <v>417</v>
      </c>
      <c r="AH143" s="98" t="str">
        <f t="shared" si="84"/>
        <v>DCS(提供220VAC)</v>
      </c>
      <c r="AI143" s="102" t="s">
        <v>422</v>
      </c>
      <c r="AJ143" s="191"/>
      <c r="AK143" s="102"/>
      <c r="AL143" s="102"/>
      <c r="AM143" s="102"/>
      <c r="AN143" s="76"/>
      <c r="AO143" s="76"/>
      <c r="AP143" s="102"/>
      <c r="AQ143" s="76" t="s">
        <v>31</v>
      </c>
      <c r="AR143" s="169" t="s">
        <v>430</v>
      </c>
      <c r="AS143" s="100"/>
      <c r="AT143" s="100"/>
      <c r="AU143" s="330" t="s">
        <v>245</v>
      </c>
      <c r="AV143" s="201"/>
      <c r="AW143" s="201"/>
      <c r="AX143" s="201"/>
      <c r="AY143" s="201"/>
      <c r="AZ143" s="201"/>
      <c r="BA143" s="201"/>
      <c r="BB143" s="201"/>
      <c r="BC143" s="201"/>
      <c r="BD143" s="201"/>
      <c r="BE143" s="201"/>
      <c r="BF143" s="201"/>
      <c r="BG143" s="201"/>
      <c r="BH143" s="201"/>
      <c r="BI143" s="201"/>
      <c r="BJ143" s="201"/>
      <c r="BK143" s="201"/>
      <c r="BL143" s="201"/>
      <c r="BM143" s="201"/>
      <c r="BN143" s="201"/>
      <c r="BO143" s="201"/>
      <c r="BP143" s="201"/>
      <c r="BQ143" s="201"/>
      <c r="BR143" s="201"/>
      <c r="BS143" s="201"/>
      <c r="BT143" s="201"/>
      <c r="BU143" s="201"/>
      <c r="BV143" s="201"/>
      <c r="BW143" s="201"/>
      <c r="BX143" s="201"/>
      <c r="BY143" s="201"/>
      <c r="BZ143" s="201"/>
      <c r="CA143" s="201"/>
      <c r="CB143" s="201"/>
      <c r="CC143" s="201"/>
      <c r="CD143" s="98" t="str">
        <f t="shared" si="85"/>
        <v/>
      </c>
    </row>
    <row r="144" s="123" customFormat="1" ht="21" customHeight="1" spans="1:82">
      <c r="A144" s="93">
        <v>142</v>
      </c>
      <c r="B144" s="93" t="s">
        <v>435</v>
      </c>
      <c r="C144" s="96" t="s">
        <v>427</v>
      </c>
      <c r="D144" s="100" t="str">
        <f t="shared" si="86"/>
        <v>R3AEAB902VIE_K</v>
      </c>
      <c r="E144" s="169" t="s">
        <v>428</v>
      </c>
      <c r="F144" s="100" t="s">
        <v>234</v>
      </c>
      <c r="G144" s="331" t="s">
        <v>429</v>
      </c>
      <c r="H144" s="330" t="s">
        <v>124</v>
      </c>
      <c r="I144" s="98" t="str">
        <f t="shared" si="79"/>
        <v>DP211</v>
      </c>
      <c r="J144" s="98" t="str">
        <f t="shared" si="80"/>
        <v>209DP</v>
      </c>
      <c r="K144" s="100" t="str">
        <f t="shared" si="81"/>
        <v>3AEKC003AR209DP</v>
      </c>
      <c r="L144" s="102">
        <v>2</v>
      </c>
      <c r="M144" s="102">
        <v>9</v>
      </c>
      <c r="N144" s="102">
        <v>1</v>
      </c>
      <c r="O144" s="209">
        <v>2</v>
      </c>
      <c r="P144" s="102">
        <v>3</v>
      </c>
      <c r="Q144" s="98"/>
      <c r="R144" s="98"/>
      <c r="S144" s="98">
        <f t="shared" si="82"/>
        <v>19</v>
      </c>
      <c r="T144" s="98" t="str">
        <f t="shared" si="88"/>
        <v>TB272</v>
      </c>
      <c r="U144" s="98" t="str">
        <f t="shared" si="83"/>
        <v>209BN</v>
      </c>
      <c r="V144" s="98" t="str">
        <f t="shared" si="74"/>
        <v>--</v>
      </c>
      <c r="W144" s="98" t="str">
        <f t="shared" si="75"/>
        <v>--</v>
      </c>
      <c r="X144" s="98" t="str">
        <f t="shared" si="76"/>
        <v>--</v>
      </c>
      <c r="Y144" s="98" t="str">
        <f t="shared" si="87"/>
        <v>--</v>
      </c>
      <c r="Z144" s="98"/>
      <c r="AA144" s="100" t="str">
        <f t="shared" si="89"/>
        <v>--</v>
      </c>
      <c r="AB144" s="102" t="str">
        <f t="shared" si="77"/>
        <v>--</v>
      </c>
      <c r="AC144" s="102" t="str">
        <f t="shared" si="78"/>
        <v>--</v>
      </c>
      <c r="AD144" s="98" t="s">
        <v>235</v>
      </c>
      <c r="AE144" s="98" t="s">
        <v>236</v>
      </c>
      <c r="AF144" s="102" t="s">
        <v>416</v>
      </c>
      <c r="AG144" s="98" t="s">
        <v>417</v>
      </c>
      <c r="AH144" s="98" t="str">
        <f t="shared" si="84"/>
        <v>DCS(提供220VAC)</v>
      </c>
      <c r="AI144" s="102" t="s">
        <v>418</v>
      </c>
      <c r="AJ144" s="191"/>
      <c r="AK144" s="102"/>
      <c r="AL144" s="102"/>
      <c r="AM144" s="102"/>
      <c r="AN144" s="76"/>
      <c r="AO144" s="76"/>
      <c r="AP144" s="102"/>
      <c r="AQ144" s="76" t="s">
        <v>31</v>
      </c>
      <c r="AR144" s="169" t="s">
        <v>430</v>
      </c>
      <c r="AS144" s="100"/>
      <c r="AT144" s="100"/>
      <c r="AU144" s="330" t="s">
        <v>245</v>
      </c>
      <c r="AV144" s="201"/>
      <c r="AW144" s="201"/>
      <c r="AX144" s="201"/>
      <c r="AY144" s="201"/>
      <c r="AZ144" s="201"/>
      <c r="BA144" s="201"/>
      <c r="BB144" s="201"/>
      <c r="BC144" s="201"/>
      <c r="BD144" s="201"/>
      <c r="BE144" s="201"/>
      <c r="BF144" s="201"/>
      <c r="BG144" s="201"/>
      <c r="BH144" s="201"/>
      <c r="BI144" s="201"/>
      <c r="BJ144" s="201"/>
      <c r="BK144" s="201"/>
      <c r="BL144" s="201"/>
      <c r="BM144" s="201"/>
      <c r="BN144" s="201"/>
      <c r="BO144" s="201"/>
      <c r="BP144" s="201"/>
      <c r="BQ144" s="201"/>
      <c r="BR144" s="201"/>
      <c r="BS144" s="201"/>
      <c r="BT144" s="201"/>
      <c r="BU144" s="201"/>
      <c r="BV144" s="201"/>
      <c r="BW144" s="201"/>
      <c r="BX144" s="201"/>
      <c r="BY144" s="201"/>
      <c r="BZ144" s="201"/>
      <c r="CA144" s="201"/>
      <c r="CB144" s="201"/>
      <c r="CC144" s="201"/>
      <c r="CD144" s="98" t="str">
        <f t="shared" si="85"/>
        <v/>
      </c>
    </row>
    <row r="145" s="123" customFormat="1" ht="21" customHeight="1" spans="1:82">
      <c r="A145" s="93">
        <v>143</v>
      </c>
      <c r="B145" s="93" t="s">
        <v>435</v>
      </c>
      <c r="C145" s="96" t="s">
        <v>419</v>
      </c>
      <c r="D145" s="100" t="str">
        <f t="shared" si="86"/>
        <v>R3AEAB902VIE_KW</v>
      </c>
      <c r="E145" s="169" t="s">
        <v>431</v>
      </c>
      <c r="F145" s="100" t="s">
        <v>234</v>
      </c>
      <c r="G145" s="331" t="s">
        <v>429</v>
      </c>
      <c r="H145" s="330" t="s">
        <v>124</v>
      </c>
      <c r="I145" s="98" t="str">
        <f t="shared" si="79"/>
        <v>DP211</v>
      </c>
      <c r="J145" s="98" t="str">
        <f t="shared" si="80"/>
        <v>209DP</v>
      </c>
      <c r="K145" s="100" t="str">
        <f t="shared" si="81"/>
        <v>3AEKC003AR209DP</v>
      </c>
      <c r="L145" s="102">
        <v>2</v>
      </c>
      <c r="M145" s="102">
        <v>9</v>
      </c>
      <c r="N145" s="102">
        <v>1</v>
      </c>
      <c r="O145" s="209">
        <v>2</v>
      </c>
      <c r="P145" s="102">
        <v>3</v>
      </c>
      <c r="Q145" s="98"/>
      <c r="R145" s="98"/>
      <c r="S145" s="98">
        <f t="shared" si="82"/>
        <v>19</v>
      </c>
      <c r="T145" s="98" t="str">
        <f t="shared" si="88"/>
        <v>TB272</v>
      </c>
      <c r="U145" s="98" t="str">
        <f t="shared" si="83"/>
        <v>209BN</v>
      </c>
      <c r="V145" s="98" t="str">
        <f t="shared" si="74"/>
        <v>--</v>
      </c>
      <c r="W145" s="98" t="str">
        <f t="shared" si="75"/>
        <v>--</v>
      </c>
      <c r="X145" s="98" t="str">
        <f t="shared" si="76"/>
        <v>--</v>
      </c>
      <c r="Y145" s="98" t="str">
        <f t="shared" si="87"/>
        <v>--</v>
      </c>
      <c r="Z145" s="98"/>
      <c r="AA145" s="100" t="str">
        <f t="shared" si="89"/>
        <v>--</v>
      </c>
      <c r="AB145" s="102" t="str">
        <f t="shared" si="77"/>
        <v>--</v>
      </c>
      <c r="AC145" s="102" t="str">
        <f t="shared" si="78"/>
        <v>--</v>
      </c>
      <c r="AD145" s="98" t="s">
        <v>235</v>
      </c>
      <c r="AE145" s="98" t="s">
        <v>236</v>
      </c>
      <c r="AF145" s="102" t="s">
        <v>421</v>
      </c>
      <c r="AG145" s="98" t="s">
        <v>417</v>
      </c>
      <c r="AH145" s="98" t="str">
        <f t="shared" si="84"/>
        <v>DCS(提供220VAC)</v>
      </c>
      <c r="AI145" s="102" t="s">
        <v>422</v>
      </c>
      <c r="AJ145" s="191"/>
      <c r="AK145" s="102"/>
      <c r="AL145" s="102"/>
      <c r="AM145" s="102"/>
      <c r="AN145" s="76"/>
      <c r="AO145" s="76"/>
      <c r="AP145" s="102"/>
      <c r="AQ145" s="76" t="s">
        <v>31</v>
      </c>
      <c r="AR145" s="169" t="s">
        <v>430</v>
      </c>
      <c r="AS145" s="100"/>
      <c r="AT145" s="100"/>
      <c r="AU145" s="330" t="s">
        <v>245</v>
      </c>
      <c r="AV145" s="201"/>
      <c r="AW145" s="201"/>
      <c r="AX145" s="201"/>
      <c r="AY145" s="201"/>
      <c r="AZ145" s="201"/>
      <c r="BA145" s="201"/>
      <c r="BB145" s="201"/>
      <c r="BC145" s="201"/>
      <c r="BD145" s="201"/>
      <c r="BE145" s="201"/>
      <c r="BF145" s="201"/>
      <c r="BG145" s="201"/>
      <c r="BH145" s="201"/>
      <c r="BI145" s="201"/>
      <c r="BJ145" s="201"/>
      <c r="BK145" s="201"/>
      <c r="BL145" s="201"/>
      <c r="BM145" s="201"/>
      <c r="BN145" s="201"/>
      <c r="BO145" s="201"/>
      <c r="BP145" s="201"/>
      <c r="BQ145" s="201"/>
      <c r="BR145" s="201"/>
      <c r="BS145" s="201"/>
      <c r="BT145" s="201"/>
      <c r="BU145" s="201"/>
      <c r="BV145" s="201"/>
      <c r="BW145" s="201"/>
      <c r="BX145" s="201"/>
      <c r="BY145" s="201"/>
      <c r="BZ145" s="201"/>
      <c r="CA145" s="201"/>
      <c r="CB145" s="201"/>
      <c r="CC145" s="201"/>
      <c r="CD145" s="98" t="str">
        <f t="shared" si="85"/>
        <v/>
      </c>
    </row>
    <row r="146" s="123" customFormat="1" ht="21" customHeight="1" spans="1:82">
      <c r="A146" s="93">
        <v>144</v>
      </c>
      <c r="B146" s="93" t="s">
        <v>435</v>
      </c>
      <c r="C146" s="96" t="s">
        <v>432</v>
      </c>
      <c r="D146" s="100" t="str">
        <f t="shared" si="86"/>
        <v>R3AEAB902VIE_G</v>
      </c>
      <c r="E146" s="169" t="s">
        <v>433</v>
      </c>
      <c r="F146" s="100" t="s">
        <v>234</v>
      </c>
      <c r="G146" s="331" t="s">
        <v>429</v>
      </c>
      <c r="H146" s="330" t="s">
        <v>124</v>
      </c>
      <c r="I146" s="98" t="str">
        <f t="shared" si="79"/>
        <v>DP211</v>
      </c>
      <c r="J146" s="98" t="str">
        <f t="shared" si="80"/>
        <v>209DP</v>
      </c>
      <c r="K146" s="100" t="str">
        <f t="shared" si="81"/>
        <v>3AEKC003AR209DP</v>
      </c>
      <c r="L146" s="102">
        <v>2</v>
      </c>
      <c r="M146" s="102">
        <v>9</v>
      </c>
      <c r="N146" s="102">
        <v>1</v>
      </c>
      <c r="O146" s="209">
        <v>2</v>
      </c>
      <c r="P146" s="102">
        <v>3</v>
      </c>
      <c r="Q146" s="98"/>
      <c r="R146" s="98"/>
      <c r="S146" s="98">
        <f t="shared" si="82"/>
        <v>19</v>
      </c>
      <c r="T146" s="98" t="str">
        <f t="shared" si="88"/>
        <v>TB272</v>
      </c>
      <c r="U146" s="98" t="str">
        <f t="shared" si="83"/>
        <v>209BN</v>
      </c>
      <c r="V146" s="98" t="str">
        <f t="shared" si="74"/>
        <v>--</v>
      </c>
      <c r="W146" s="98" t="str">
        <f t="shared" si="75"/>
        <v>--</v>
      </c>
      <c r="X146" s="98" t="str">
        <f t="shared" si="76"/>
        <v>--</v>
      </c>
      <c r="Y146" s="98" t="str">
        <f t="shared" si="87"/>
        <v>--</v>
      </c>
      <c r="Z146" s="98"/>
      <c r="AA146" s="100" t="str">
        <f t="shared" si="89"/>
        <v>--</v>
      </c>
      <c r="AB146" s="102" t="str">
        <f t="shared" si="77"/>
        <v>--</v>
      </c>
      <c r="AC146" s="102" t="str">
        <f t="shared" si="78"/>
        <v>--</v>
      </c>
      <c r="AD146" s="98" t="s">
        <v>235</v>
      </c>
      <c r="AE146" s="98" t="s">
        <v>236</v>
      </c>
      <c r="AF146" s="102" t="s">
        <v>416</v>
      </c>
      <c r="AG146" s="98" t="s">
        <v>417</v>
      </c>
      <c r="AH146" s="98" t="str">
        <f t="shared" si="84"/>
        <v>DCS(提供220VAC)</v>
      </c>
      <c r="AI146" s="102" t="s">
        <v>418</v>
      </c>
      <c r="AJ146" s="191"/>
      <c r="AK146" s="102"/>
      <c r="AL146" s="102"/>
      <c r="AM146" s="102"/>
      <c r="AN146" s="76"/>
      <c r="AO146" s="76"/>
      <c r="AP146" s="102"/>
      <c r="AQ146" s="76" t="s">
        <v>31</v>
      </c>
      <c r="AR146" s="169" t="s">
        <v>430</v>
      </c>
      <c r="AS146" s="100"/>
      <c r="AT146" s="100"/>
      <c r="AU146" s="330" t="s">
        <v>245</v>
      </c>
      <c r="AV146" s="201"/>
      <c r="AW146" s="201"/>
      <c r="AX146" s="201"/>
      <c r="AY146" s="201"/>
      <c r="AZ146" s="201"/>
      <c r="BA146" s="201"/>
      <c r="BB146" s="201"/>
      <c r="BC146" s="201"/>
      <c r="BD146" s="201"/>
      <c r="BE146" s="201"/>
      <c r="BF146" s="201"/>
      <c r="BG146" s="201"/>
      <c r="BH146" s="201"/>
      <c r="BI146" s="201"/>
      <c r="BJ146" s="201"/>
      <c r="BK146" s="201"/>
      <c r="BL146" s="201"/>
      <c r="BM146" s="201"/>
      <c r="BN146" s="201"/>
      <c r="BO146" s="201"/>
      <c r="BP146" s="201"/>
      <c r="BQ146" s="201"/>
      <c r="BR146" s="201"/>
      <c r="BS146" s="201"/>
      <c r="BT146" s="201"/>
      <c r="BU146" s="201"/>
      <c r="BV146" s="201"/>
      <c r="BW146" s="201"/>
      <c r="BX146" s="201"/>
      <c r="BY146" s="201"/>
      <c r="BZ146" s="201"/>
      <c r="CA146" s="201"/>
      <c r="CB146" s="201"/>
      <c r="CC146" s="201"/>
      <c r="CD146" s="98" t="str">
        <f t="shared" si="85"/>
        <v/>
      </c>
    </row>
    <row r="147" s="123" customFormat="1" ht="21" customHeight="1" spans="1:82">
      <c r="A147" s="93">
        <v>145</v>
      </c>
      <c r="B147" s="93" t="s">
        <v>435</v>
      </c>
      <c r="C147" s="96" t="s">
        <v>423</v>
      </c>
      <c r="D147" s="100" t="str">
        <f t="shared" si="86"/>
        <v>R3AEAB902VIE_GW</v>
      </c>
      <c r="E147" s="169" t="s">
        <v>434</v>
      </c>
      <c r="F147" s="100" t="s">
        <v>234</v>
      </c>
      <c r="G147" s="331" t="s">
        <v>429</v>
      </c>
      <c r="H147" s="330" t="s">
        <v>124</v>
      </c>
      <c r="I147" s="98" t="str">
        <f t="shared" si="79"/>
        <v>DP211</v>
      </c>
      <c r="J147" s="98" t="str">
        <f t="shared" si="80"/>
        <v>209DP</v>
      </c>
      <c r="K147" s="100" t="str">
        <f t="shared" si="81"/>
        <v>3AEKC003AR209DP</v>
      </c>
      <c r="L147" s="102">
        <v>2</v>
      </c>
      <c r="M147" s="102">
        <v>9</v>
      </c>
      <c r="N147" s="102">
        <v>1</v>
      </c>
      <c r="O147" s="209">
        <v>2</v>
      </c>
      <c r="P147" s="102">
        <v>3</v>
      </c>
      <c r="Q147" s="98"/>
      <c r="R147" s="98"/>
      <c r="S147" s="98">
        <f t="shared" si="82"/>
        <v>19</v>
      </c>
      <c r="T147" s="98" t="str">
        <f t="shared" si="88"/>
        <v>TB272</v>
      </c>
      <c r="U147" s="98" t="str">
        <f t="shared" si="83"/>
        <v>209BN</v>
      </c>
      <c r="V147" s="98" t="str">
        <f t="shared" si="74"/>
        <v>--</v>
      </c>
      <c r="W147" s="98" t="str">
        <f t="shared" si="75"/>
        <v>--</v>
      </c>
      <c r="X147" s="98" t="str">
        <f t="shared" si="76"/>
        <v>--</v>
      </c>
      <c r="Y147" s="98" t="str">
        <f t="shared" si="87"/>
        <v>--</v>
      </c>
      <c r="Z147" s="98"/>
      <c r="AA147" s="100" t="str">
        <f t="shared" si="89"/>
        <v>--</v>
      </c>
      <c r="AB147" s="102" t="str">
        <f t="shared" si="77"/>
        <v>--</v>
      </c>
      <c r="AC147" s="102" t="str">
        <f t="shared" si="78"/>
        <v>--</v>
      </c>
      <c r="AD147" s="98" t="s">
        <v>235</v>
      </c>
      <c r="AE147" s="98" t="s">
        <v>236</v>
      </c>
      <c r="AF147" s="102" t="s">
        <v>421</v>
      </c>
      <c r="AG147" s="98" t="s">
        <v>417</v>
      </c>
      <c r="AH147" s="98" t="str">
        <f t="shared" si="84"/>
        <v>DCS(提供220VAC)</v>
      </c>
      <c r="AI147" s="102" t="s">
        <v>422</v>
      </c>
      <c r="AJ147" s="191"/>
      <c r="AK147" s="102"/>
      <c r="AL147" s="102"/>
      <c r="AM147" s="102"/>
      <c r="AN147" s="76"/>
      <c r="AO147" s="76"/>
      <c r="AP147" s="102"/>
      <c r="AQ147" s="76" t="s">
        <v>31</v>
      </c>
      <c r="AR147" s="169" t="s">
        <v>430</v>
      </c>
      <c r="AS147" s="100"/>
      <c r="AT147" s="100"/>
      <c r="AU147" s="330" t="s">
        <v>245</v>
      </c>
      <c r="AV147" s="201"/>
      <c r="AW147" s="201"/>
      <c r="AX147" s="201"/>
      <c r="AY147" s="201"/>
      <c r="AZ147" s="201"/>
      <c r="BA147" s="201"/>
      <c r="BB147" s="201"/>
      <c r="BC147" s="201"/>
      <c r="BD147" s="201"/>
      <c r="BE147" s="201"/>
      <c r="BF147" s="201"/>
      <c r="BG147" s="201"/>
      <c r="BH147" s="201"/>
      <c r="BI147" s="201"/>
      <c r="BJ147" s="201"/>
      <c r="BK147" s="201"/>
      <c r="BL147" s="201"/>
      <c r="BM147" s="201"/>
      <c r="BN147" s="201"/>
      <c r="BO147" s="201"/>
      <c r="BP147" s="201"/>
      <c r="BQ147" s="201"/>
      <c r="BR147" s="201"/>
      <c r="BS147" s="201"/>
      <c r="BT147" s="201"/>
      <c r="BU147" s="201"/>
      <c r="BV147" s="201"/>
      <c r="BW147" s="201"/>
      <c r="BX147" s="201"/>
      <c r="BY147" s="201"/>
      <c r="BZ147" s="201"/>
      <c r="CA147" s="201"/>
      <c r="CB147" s="201"/>
      <c r="CC147" s="201"/>
      <c r="CD147" s="98" t="str">
        <f t="shared" si="85"/>
        <v/>
      </c>
    </row>
    <row r="148" s="123" customFormat="1" ht="21" customHeight="1" spans="1:82">
      <c r="A148" s="164">
        <v>146</v>
      </c>
      <c r="B148" s="332" t="s">
        <v>436</v>
      </c>
      <c r="C148" s="343" t="s">
        <v>437</v>
      </c>
      <c r="D148" s="166" t="str">
        <f t="shared" si="86"/>
        <v>R3AEAB001RX/1_ZT1</v>
      </c>
      <c r="E148" s="333" t="s">
        <v>438</v>
      </c>
      <c r="F148" s="166" t="s">
        <v>234</v>
      </c>
      <c r="G148" s="168"/>
      <c r="H148" s="328" t="s">
        <v>124</v>
      </c>
      <c r="I148" s="181" t="str">
        <f t="shared" si="79"/>
        <v>DP211</v>
      </c>
      <c r="J148" s="181" t="str">
        <f t="shared" si="80"/>
        <v>210DP</v>
      </c>
      <c r="K148" s="166" t="str">
        <f t="shared" si="81"/>
        <v>3AEKC003AR210DP</v>
      </c>
      <c r="L148" s="168">
        <v>2</v>
      </c>
      <c r="M148" s="168">
        <v>10</v>
      </c>
      <c r="N148" s="168">
        <v>1</v>
      </c>
      <c r="O148" s="182"/>
      <c r="P148" s="168"/>
      <c r="Q148" s="181"/>
      <c r="R148" s="181"/>
      <c r="S148" s="181">
        <f t="shared" si="82"/>
        <v>20</v>
      </c>
      <c r="T148" s="181" t="str">
        <f t="shared" si="88"/>
        <v>TB272</v>
      </c>
      <c r="U148" s="181" t="str">
        <f t="shared" si="83"/>
        <v>210BN</v>
      </c>
      <c r="V148" s="181" t="str">
        <f t="shared" si="74"/>
        <v>--</v>
      </c>
      <c r="W148" s="181" t="str">
        <f t="shared" si="75"/>
        <v>--</v>
      </c>
      <c r="X148" s="181" t="str">
        <f t="shared" si="76"/>
        <v>--</v>
      </c>
      <c r="Y148" s="181" t="str">
        <f t="shared" si="87"/>
        <v>--</v>
      </c>
      <c r="Z148" s="181"/>
      <c r="AA148" s="166" t="str">
        <f t="shared" si="89"/>
        <v>--</v>
      </c>
      <c r="AB148" s="168" t="str">
        <f t="shared" si="77"/>
        <v>--</v>
      </c>
      <c r="AC148" s="168" t="str">
        <f t="shared" si="78"/>
        <v>--</v>
      </c>
      <c r="AD148" s="181" t="s">
        <v>235</v>
      </c>
      <c r="AE148" s="181" t="s">
        <v>236</v>
      </c>
      <c r="AF148" s="344" t="s">
        <v>439</v>
      </c>
      <c r="AG148" s="181" t="s">
        <v>417</v>
      </c>
      <c r="AH148" s="181" t="str">
        <f t="shared" si="84"/>
        <v>--</v>
      </c>
      <c r="AI148" s="168"/>
      <c r="AJ148" s="345" t="s">
        <v>440</v>
      </c>
      <c r="AK148" s="168"/>
      <c r="AL148" s="168"/>
      <c r="AM148" s="168"/>
      <c r="AN148" s="190"/>
      <c r="AO148" s="190"/>
      <c r="AP148" s="168"/>
      <c r="AQ148" s="190" t="s">
        <v>31</v>
      </c>
      <c r="AR148" s="170"/>
      <c r="AS148" s="166"/>
      <c r="AT148" s="166"/>
      <c r="AU148" s="328" t="s">
        <v>245</v>
      </c>
      <c r="AV148" s="200"/>
      <c r="AW148" s="200"/>
      <c r="AX148" s="200"/>
      <c r="AY148" s="200"/>
      <c r="AZ148" s="200"/>
      <c r="BA148" s="200"/>
      <c r="BB148" s="200"/>
      <c r="BC148" s="200"/>
      <c r="BD148" s="200"/>
      <c r="BE148" s="200"/>
      <c r="BF148" s="200"/>
      <c r="BG148" s="200"/>
      <c r="BH148" s="200"/>
      <c r="BI148" s="200"/>
      <c r="BJ148" s="200"/>
      <c r="BK148" s="200"/>
      <c r="BL148" s="200"/>
      <c r="BM148" s="200"/>
      <c r="BN148" s="200"/>
      <c r="BO148" s="200"/>
      <c r="BP148" s="200"/>
      <c r="BQ148" s="200"/>
      <c r="BR148" s="200"/>
      <c r="BS148" s="200"/>
      <c r="BT148" s="200"/>
      <c r="BU148" s="200"/>
      <c r="BV148" s="200"/>
      <c r="BW148" s="200"/>
      <c r="BX148" s="200"/>
      <c r="BY148" s="200"/>
      <c r="BZ148" s="200"/>
      <c r="CA148" s="200"/>
      <c r="CB148" s="200"/>
      <c r="CC148" s="200"/>
      <c r="CD148" s="181" t="str">
        <f t="shared" si="85"/>
        <v/>
      </c>
    </row>
    <row r="149" s="123" customFormat="1" ht="21" customHeight="1" spans="1:82">
      <c r="A149" s="93">
        <v>147</v>
      </c>
      <c r="B149" s="334" t="s">
        <v>436</v>
      </c>
      <c r="C149" s="342" t="s">
        <v>441</v>
      </c>
      <c r="D149" s="100" t="str">
        <f t="shared" si="86"/>
        <v>R3AEAB001RX/1_DL</v>
      </c>
      <c r="E149" s="335" t="s">
        <v>442</v>
      </c>
      <c r="F149" s="100" t="s">
        <v>234</v>
      </c>
      <c r="G149" s="102"/>
      <c r="H149" s="330" t="s">
        <v>124</v>
      </c>
      <c r="I149" s="98" t="str">
        <f t="shared" si="79"/>
        <v>DP211</v>
      </c>
      <c r="J149" s="98" t="str">
        <f t="shared" si="80"/>
        <v>210DP</v>
      </c>
      <c r="K149" s="100" t="str">
        <f t="shared" si="81"/>
        <v>3AEKC003AR210DP</v>
      </c>
      <c r="L149" s="102">
        <v>2</v>
      </c>
      <c r="M149" s="102">
        <v>10</v>
      </c>
      <c r="N149" s="102">
        <v>1</v>
      </c>
      <c r="O149" s="183"/>
      <c r="P149" s="102"/>
      <c r="Q149" s="98"/>
      <c r="R149" s="98"/>
      <c r="S149" s="98">
        <f t="shared" si="82"/>
        <v>20</v>
      </c>
      <c r="T149" s="98" t="str">
        <f t="shared" si="88"/>
        <v>TB272</v>
      </c>
      <c r="U149" s="98" t="str">
        <f t="shared" si="83"/>
        <v>210BN</v>
      </c>
      <c r="V149" s="98" t="str">
        <f t="shared" si="74"/>
        <v>--</v>
      </c>
      <c r="W149" s="98" t="str">
        <f t="shared" si="75"/>
        <v>--</v>
      </c>
      <c r="X149" s="98" t="str">
        <f t="shared" si="76"/>
        <v>--</v>
      </c>
      <c r="Y149" s="98" t="str">
        <f t="shared" si="87"/>
        <v>--</v>
      </c>
      <c r="Z149" s="98"/>
      <c r="AA149" s="100" t="str">
        <f t="shared" si="89"/>
        <v>--</v>
      </c>
      <c r="AB149" s="102" t="str">
        <f t="shared" si="77"/>
        <v>--</v>
      </c>
      <c r="AC149" s="102" t="str">
        <f t="shared" si="78"/>
        <v>--</v>
      </c>
      <c r="AD149" s="98" t="s">
        <v>235</v>
      </c>
      <c r="AE149" s="98" t="s">
        <v>236</v>
      </c>
      <c r="AF149" s="346" t="s">
        <v>439</v>
      </c>
      <c r="AG149" s="98" t="s">
        <v>417</v>
      </c>
      <c r="AH149" s="98" t="str">
        <f t="shared" si="84"/>
        <v>--</v>
      </c>
      <c r="AI149" s="102"/>
      <c r="AJ149" s="336" t="s">
        <v>440</v>
      </c>
      <c r="AK149" s="102"/>
      <c r="AL149" s="102"/>
      <c r="AM149" s="102"/>
      <c r="AN149" s="76"/>
      <c r="AO149" s="76"/>
      <c r="AP149" s="102"/>
      <c r="AQ149" s="76" t="s">
        <v>31</v>
      </c>
      <c r="AR149" s="169"/>
      <c r="AS149" s="100"/>
      <c r="AT149" s="100"/>
      <c r="AU149" s="330" t="s">
        <v>245</v>
      </c>
      <c r="AV149" s="201"/>
      <c r="AW149" s="201"/>
      <c r="AX149" s="201"/>
      <c r="AY149" s="201"/>
      <c r="AZ149" s="201"/>
      <c r="BA149" s="201"/>
      <c r="BB149" s="201"/>
      <c r="BC149" s="201"/>
      <c r="BD149" s="201"/>
      <c r="BE149" s="201"/>
      <c r="BF149" s="201"/>
      <c r="BG149" s="201"/>
      <c r="BH149" s="201"/>
      <c r="BI149" s="201"/>
      <c r="BJ149" s="201"/>
      <c r="BK149" s="201"/>
      <c r="BL149" s="201"/>
      <c r="BM149" s="201"/>
      <c r="BN149" s="201"/>
      <c r="BO149" s="201"/>
      <c r="BP149" s="201"/>
      <c r="BQ149" s="201"/>
      <c r="BR149" s="201"/>
      <c r="BS149" s="201"/>
      <c r="BT149" s="201"/>
      <c r="BU149" s="201"/>
      <c r="BV149" s="201"/>
      <c r="BW149" s="201"/>
      <c r="BX149" s="201"/>
      <c r="BY149" s="201"/>
      <c r="BZ149" s="201"/>
      <c r="CA149" s="201"/>
      <c r="CB149" s="201"/>
      <c r="CC149" s="201"/>
      <c r="CD149" s="98" t="str">
        <f t="shared" si="85"/>
        <v/>
      </c>
    </row>
    <row r="150" s="123" customFormat="1" ht="21" customHeight="1" spans="1:82">
      <c r="A150" s="93">
        <v>148</v>
      </c>
      <c r="B150" s="334" t="s">
        <v>436</v>
      </c>
      <c r="C150" s="342" t="s">
        <v>443</v>
      </c>
      <c r="D150" s="100" t="str">
        <f t="shared" si="86"/>
        <v>R3AEAB001RX/1_ZT2</v>
      </c>
      <c r="E150" s="335" t="s">
        <v>444</v>
      </c>
      <c r="F150" s="100" t="s">
        <v>234</v>
      </c>
      <c r="G150" s="102"/>
      <c r="H150" s="330" t="s">
        <v>124</v>
      </c>
      <c r="I150" s="98" t="str">
        <f t="shared" si="79"/>
        <v>DP211</v>
      </c>
      <c r="J150" s="98" t="str">
        <f t="shared" si="80"/>
        <v>210DP</v>
      </c>
      <c r="K150" s="100" t="str">
        <f t="shared" si="81"/>
        <v>3AEKC003AR210DP</v>
      </c>
      <c r="L150" s="102">
        <v>2</v>
      </c>
      <c r="M150" s="102">
        <v>10</v>
      </c>
      <c r="N150" s="102">
        <v>1</v>
      </c>
      <c r="O150" s="183"/>
      <c r="P150" s="102"/>
      <c r="Q150" s="98"/>
      <c r="R150" s="98"/>
      <c r="S150" s="98">
        <f t="shared" si="82"/>
        <v>20</v>
      </c>
      <c r="T150" s="98" t="str">
        <f t="shared" si="88"/>
        <v>TB272</v>
      </c>
      <c r="U150" s="98" t="str">
        <f t="shared" si="83"/>
        <v>210BN</v>
      </c>
      <c r="V150" s="98" t="str">
        <f t="shared" si="74"/>
        <v>--</v>
      </c>
      <c r="W150" s="98" t="str">
        <f t="shared" si="75"/>
        <v>--</v>
      </c>
      <c r="X150" s="98" t="str">
        <f t="shared" si="76"/>
        <v>--</v>
      </c>
      <c r="Y150" s="98" t="str">
        <f t="shared" si="87"/>
        <v>--</v>
      </c>
      <c r="Z150" s="98"/>
      <c r="AA150" s="100" t="str">
        <f t="shared" si="89"/>
        <v>--</v>
      </c>
      <c r="AB150" s="102" t="str">
        <f t="shared" si="77"/>
        <v>--</v>
      </c>
      <c r="AC150" s="102" t="str">
        <f t="shared" si="78"/>
        <v>--</v>
      </c>
      <c r="AD150" s="98" t="s">
        <v>235</v>
      </c>
      <c r="AE150" s="98" t="s">
        <v>236</v>
      </c>
      <c r="AF150" s="346" t="s">
        <v>439</v>
      </c>
      <c r="AG150" s="98" t="s">
        <v>417</v>
      </c>
      <c r="AH150" s="98" t="str">
        <f t="shared" si="84"/>
        <v>--</v>
      </c>
      <c r="AI150" s="102"/>
      <c r="AJ150" s="336" t="s">
        <v>440</v>
      </c>
      <c r="AK150" s="102"/>
      <c r="AL150" s="102"/>
      <c r="AM150" s="102"/>
      <c r="AN150" s="76"/>
      <c r="AO150" s="76"/>
      <c r="AP150" s="102"/>
      <c r="AQ150" s="76" t="s">
        <v>31</v>
      </c>
      <c r="AR150" s="169"/>
      <c r="AS150" s="100"/>
      <c r="AT150" s="100"/>
      <c r="AU150" s="330" t="s">
        <v>245</v>
      </c>
      <c r="AV150" s="201"/>
      <c r="AW150" s="201"/>
      <c r="AX150" s="201"/>
      <c r="AY150" s="201"/>
      <c r="AZ150" s="201"/>
      <c r="BA150" s="201"/>
      <c r="BB150" s="201"/>
      <c r="BC150" s="201"/>
      <c r="BD150" s="201"/>
      <c r="BE150" s="201"/>
      <c r="BF150" s="201"/>
      <c r="BG150" s="201"/>
      <c r="BH150" s="201"/>
      <c r="BI150" s="201"/>
      <c r="BJ150" s="201"/>
      <c r="BK150" s="201"/>
      <c r="BL150" s="201"/>
      <c r="BM150" s="201"/>
      <c r="BN150" s="201"/>
      <c r="BO150" s="201"/>
      <c r="BP150" s="201"/>
      <c r="BQ150" s="201"/>
      <c r="BR150" s="201"/>
      <c r="BS150" s="201"/>
      <c r="BT150" s="201"/>
      <c r="BU150" s="201"/>
      <c r="BV150" s="201"/>
      <c r="BW150" s="201"/>
      <c r="BX150" s="201"/>
      <c r="BY150" s="201"/>
      <c r="BZ150" s="201"/>
      <c r="CA150" s="201"/>
      <c r="CB150" s="201"/>
      <c r="CC150" s="201"/>
      <c r="CD150" s="98" t="str">
        <f t="shared" si="85"/>
        <v/>
      </c>
    </row>
    <row r="151" s="123" customFormat="1" ht="21" customHeight="1" spans="1:82">
      <c r="A151" s="93">
        <v>149</v>
      </c>
      <c r="B151" s="334" t="s">
        <v>436</v>
      </c>
      <c r="C151" s="342" t="s">
        <v>445</v>
      </c>
      <c r="D151" s="100" t="str">
        <f t="shared" si="86"/>
        <v>R3AEAB001RX/1_KZ1</v>
      </c>
      <c r="E151" s="335" t="s">
        <v>446</v>
      </c>
      <c r="F151" s="100" t="s">
        <v>234</v>
      </c>
      <c r="G151" s="102"/>
      <c r="H151" s="330" t="s">
        <v>124</v>
      </c>
      <c r="I151" s="98" t="str">
        <f t="shared" si="79"/>
        <v>DP211</v>
      </c>
      <c r="J151" s="98" t="str">
        <f t="shared" si="80"/>
        <v>210DP</v>
      </c>
      <c r="K151" s="100" t="str">
        <f t="shared" si="81"/>
        <v>3AEKC003AR210DP</v>
      </c>
      <c r="L151" s="102">
        <v>2</v>
      </c>
      <c r="M151" s="102">
        <v>10</v>
      </c>
      <c r="N151" s="102">
        <v>1</v>
      </c>
      <c r="O151" s="183"/>
      <c r="P151" s="102"/>
      <c r="Q151" s="98"/>
      <c r="R151" s="98"/>
      <c r="S151" s="98">
        <f t="shared" si="82"/>
        <v>20</v>
      </c>
      <c r="T151" s="98" t="str">
        <f t="shared" si="88"/>
        <v>TB272</v>
      </c>
      <c r="U151" s="98" t="str">
        <f t="shared" si="83"/>
        <v>210BN</v>
      </c>
      <c r="V151" s="98" t="str">
        <f t="shared" si="74"/>
        <v>--</v>
      </c>
      <c r="W151" s="98" t="str">
        <f t="shared" si="75"/>
        <v>--</v>
      </c>
      <c r="X151" s="98" t="str">
        <f t="shared" si="76"/>
        <v>--</v>
      </c>
      <c r="Y151" s="98" t="str">
        <f t="shared" si="87"/>
        <v>--</v>
      </c>
      <c r="Z151" s="98"/>
      <c r="AA151" s="100" t="str">
        <f t="shared" si="89"/>
        <v>--</v>
      </c>
      <c r="AB151" s="102" t="str">
        <f t="shared" si="77"/>
        <v>--</v>
      </c>
      <c r="AC151" s="102" t="str">
        <f t="shared" si="78"/>
        <v>--</v>
      </c>
      <c r="AD151" s="98" t="s">
        <v>235</v>
      </c>
      <c r="AE151" s="98" t="s">
        <v>236</v>
      </c>
      <c r="AF151" s="346" t="s">
        <v>447</v>
      </c>
      <c r="AG151" s="98" t="s">
        <v>417</v>
      </c>
      <c r="AH151" s="98" t="str">
        <f t="shared" si="84"/>
        <v>--</v>
      </c>
      <c r="AI151" s="102"/>
      <c r="AJ151" s="336" t="s">
        <v>440</v>
      </c>
      <c r="AK151" s="102"/>
      <c r="AL151" s="102"/>
      <c r="AM151" s="102"/>
      <c r="AN151" s="76"/>
      <c r="AO151" s="76"/>
      <c r="AP151" s="102"/>
      <c r="AQ151" s="76" t="s">
        <v>31</v>
      </c>
      <c r="AR151" s="169"/>
      <c r="AS151" s="100"/>
      <c r="AT151" s="100"/>
      <c r="AU151" s="330" t="s">
        <v>245</v>
      </c>
      <c r="AV151" s="201"/>
      <c r="AW151" s="201"/>
      <c r="AX151" s="201"/>
      <c r="AY151" s="201"/>
      <c r="AZ151" s="201"/>
      <c r="BA151" s="201"/>
      <c r="BB151" s="201"/>
      <c r="BC151" s="201"/>
      <c r="BD151" s="201"/>
      <c r="BE151" s="201"/>
      <c r="BF151" s="201"/>
      <c r="BG151" s="201"/>
      <c r="BH151" s="201"/>
      <c r="BI151" s="201"/>
      <c r="BJ151" s="201"/>
      <c r="BK151" s="201"/>
      <c r="BL151" s="201"/>
      <c r="BM151" s="201"/>
      <c r="BN151" s="201"/>
      <c r="BO151" s="201"/>
      <c r="BP151" s="201"/>
      <c r="BQ151" s="201"/>
      <c r="BR151" s="201"/>
      <c r="BS151" s="201"/>
      <c r="BT151" s="201"/>
      <c r="BU151" s="201"/>
      <c r="BV151" s="201"/>
      <c r="BW151" s="201"/>
      <c r="BX151" s="201"/>
      <c r="BY151" s="201"/>
      <c r="BZ151" s="201"/>
      <c r="CA151" s="201"/>
      <c r="CB151" s="201"/>
      <c r="CC151" s="201"/>
      <c r="CD151" s="98" t="str">
        <f t="shared" si="85"/>
        <v/>
      </c>
    </row>
    <row r="152" s="123" customFormat="1" ht="21" customHeight="1" spans="1:82">
      <c r="A152" s="164">
        <v>150</v>
      </c>
      <c r="B152" s="332" t="s">
        <v>448</v>
      </c>
      <c r="C152" s="343" t="s">
        <v>372</v>
      </c>
      <c r="D152" s="166" t="str">
        <f t="shared" si="86"/>
        <v>R3AEAN003ZV_TF</v>
      </c>
      <c r="E152" s="333" t="s">
        <v>449</v>
      </c>
      <c r="F152" s="166" t="s">
        <v>234</v>
      </c>
      <c r="G152" s="168"/>
      <c r="H152" s="328" t="s">
        <v>124</v>
      </c>
      <c r="I152" s="181" t="str">
        <f t="shared" si="79"/>
        <v>MD216</v>
      </c>
      <c r="J152" s="181" t="str">
        <f t="shared" si="80"/>
        <v>301MD</v>
      </c>
      <c r="K152" s="166" t="str">
        <f t="shared" si="81"/>
        <v>3AEKC003AR301MD</v>
      </c>
      <c r="L152" s="168">
        <v>3</v>
      </c>
      <c r="M152" s="168">
        <v>1</v>
      </c>
      <c r="N152" s="168"/>
      <c r="O152" s="182"/>
      <c r="P152" s="168"/>
      <c r="Q152" s="181"/>
      <c r="R152" s="181"/>
      <c r="S152" s="181">
        <f t="shared" si="82"/>
        <v>21</v>
      </c>
      <c r="T152" s="181" t="str">
        <f t="shared" si="88"/>
        <v>--</v>
      </c>
      <c r="U152" s="181" t="str">
        <f t="shared" si="83"/>
        <v>--</v>
      </c>
      <c r="V152" s="181" t="str">
        <f t="shared" si="74"/>
        <v>--</v>
      </c>
      <c r="W152" s="181" t="str">
        <f t="shared" si="75"/>
        <v>--</v>
      </c>
      <c r="X152" s="181" t="str">
        <f t="shared" si="76"/>
        <v>--</v>
      </c>
      <c r="Y152" s="181" t="str">
        <f t="shared" si="87"/>
        <v>--</v>
      </c>
      <c r="Z152" s="181"/>
      <c r="AA152" s="166" t="str">
        <f t="shared" si="89"/>
        <v>--</v>
      </c>
      <c r="AB152" s="168" t="str">
        <f t="shared" si="77"/>
        <v>--</v>
      </c>
      <c r="AC152" s="168" t="str">
        <f t="shared" si="78"/>
        <v>--</v>
      </c>
      <c r="AD152" s="181" t="s">
        <v>235</v>
      </c>
      <c r="AE152" s="181" t="s">
        <v>236</v>
      </c>
      <c r="AF152" s="329" t="s">
        <v>450</v>
      </c>
      <c r="AG152" s="181" t="s">
        <v>451</v>
      </c>
      <c r="AH152" s="181" t="str">
        <f t="shared" si="84"/>
        <v>--</v>
      </c>
      <c r="AI152" s="168"/>
      <c r="AJ152" s="345" t="s">
        <v>452</v>
      </c>
      <c r="AK152" s="168"/>
      <c r="AL152" s="168"/>
      <c r="AM152" s="168"/>
      <c r="AN152" s="190"/>
      <c r="AO152" s="190"/>
      <c r="AP152" s="168"/>
      <c r="AQ152" s="190" t="s">
        <v>31</v>
      </c>
      <c r="AR152" s="170"/>
      <c r="AS152" s="166"/>
      <c r="AT152" s="166"/>
      <c r="AU152" s="328" t="s">
        <v>245</v>
      </c>
      <c r="AV152" s="200"/>
      <c r="AW152" s="200"/>
      <c r="AX152" s="200"/>
      <c r="AY152" s="200"/>
      <c r="AZ152" s="200"/>
      <c r="BA152" s="200"/>
      <c r="BB152" s="200"/>
      <c r="BC152" s="200"/>
      <c r="BD152" s="200"/>
      <c r="BE152" s="200"/>
      <c r="BF152" s="200"/>
      <c r="BG152" s="200"/>
      <c r="BH152" s="200"/>
      <c r="BI152" s="200"/>
      <c r="BJ152" s="200"/>
      <c r="BK152" s="200"/>
      <c r="BL152" s="200"/>
      <c r="BM152" s="200"/>
      <c r="BN152" s="200"/>
      <c r="BO152" s="200"/>
      <c r="BP152" s="200"/>
      <c r="BQ152" s="200"/>
      <c r="BR152" s="200"/>
      <c r="BS152" s="200"/>
      <c r="BT152" s="200"/>
      <c r="BU152" s="200"/>
      <c r="BV152" s="200"/>
      <c r="BW152" s="200"/>
      <c r="BX152" s="200"/>
      <c r="BY152" s="200"/>
      <c r="BZ152" s="200"/>
      <c r="CA152" s="200"/>
      <c r="CB152" s="200"/>
      <c r="CC152" s="200"/>
      <c r="CD152" s="181" t="str">
        <f t="shared" si="85"/>
        <v/>
      </c>
    </row>
    <row r="153" s="123" customFormat="1" ht="21" customHeight="1" spans="1:82">
      <c r="A153" s="93">
        <v>151</v>
      </c>
      <c r="B153" s="334" t="s">
        <v>448</v>
      </c>
      <c r="C153" s="342" t="s">
        <v>381</v>
      </c>
      <c r="D153" s="100" t="str">
        <f t="shared" si="86"/>
        <v>R3AEAN003ZV_T</v>
      </c>
      <c r="E153" s="335" t="s">
        <v>453</v>
      </c>
      <c r="F153" s="100" t="s">
        <v>234</v>
      </c>
      <c r="G153" s="102"/>
      <c r="H153" s="330" t="s">
        <v>124</v>
      </c>
      <c r="I153" s="98" t="str">
        <f t="shared" si="79"/>
        <v>MD216</v>
      </c>
      <c r="J153" s="98" t="str">
        <f t="shared" si="80"/>
        <v>301MD</v>
      </c>
      <c r="K153" s="100" t="str">
        <f t="shared" si="81"/>
        <v>3AEKC003AR301MD</v>
      </c>
      <c r="L153" s="102">
        <v>3</v>
      </c>
      <c r="M153" s="102">
        <v>1</v>
      </c>
      <c r="N153" s="102"/>
      <c r="O153" s="183"/>
      <c r="P153" s="102"/>
      <c r="Q153" s="98"/>
      <c r="R153" s="98"/>
      <c r="S153" s="98">
        <f t="shared" si="82"/>
        <v>21</v>
      </c>
      <c r="T153" s="98" t="str">
        <f t="shared" si="88"/>
        <v>--</v>
      </c>
      <c r="U153" s="98" t="str">
        <f t="shared" si="83"/>
        <v>--</v>
      </c>
      <c r="V153" s="98" t="str">
        <f t="shared" si="74"/>
        <v>--</v>
      </c>
      <c r="W153" s="98" t="str">
        <f t="shared" si="75"/>
        <v>--</v>
      </c>
      <c r="X153" s="98" t="str">
        <f t="shared" si="76"/>
        <v>--</v>
      </c>
      <c r="Y153" s="98" t="str">
        <f t="shared" si="87"/>
        <v>--</v>
      </c>
      <c r="Z153" s="98"/>
      <c r="AA153" s="100" t="str">
        <f t="shared" si="89"/>
        <v>--</v>
      </c>
      <c r="AB153" s="102" t="str">
        <f t="shared" si="77"/>
        <v>--</v>
      </c>
      <c r="AC153" s="102" t="str">
        <f t="shared" si="78"/>
        <v>--</v>
      </c>
      <c r="AD153" s="98" t="s">
        <v>235</v>
      </c>
      <c r="AE153" s="98" t="s">
        <v>236</v>
      </c>
      <c r="AF153" s="331" t="s">
        <v>454</v>
      </c>
      <c r="AG153" s="98" t="s">
        <v>451</v>
      </c>
      <c r="AH153" s="98" t="str">
        <f t="shared" si="84"/>
        <v>--</v>
      </c>
      <c r="AI153" s="102"/>
      <c r="AJ153" s="336" t="s">
        <v>452</v>
      </c>
      <c r="AK153" s="102"/>
      <c r="AL153" s="102"/>
      <c r="AM153" s="102"/>
      <c r="AN153" s="76"/>
      <c r="AO153" s="76"/>
      <c r="AP153" s="102"/>
      <c r="AQ153" s="76" t="s">
        <v>31</v>
      </c>
      <c r="AR153" s="169"/>
      <c r="AS153" s="100"/>
      <c r="AT153" s="100"/>
      <c r="AU153" s="330" t="s">
        <v>245</v>
      </c>
      <c r="AV153" s="201"/>
      <c r="AW153" s="201"/>
      <c r="AX153" s="201"/>
      <c r="AY153" s="201"/>
      <c r="AZ153" s="201"/>
      <c r="BA153" s="201"/>
      <c r="BB153" s="201"/>
      <c r="BC153" s="201"/>
      <c r="BD153" s="201"/>
      <c r="BE153" s="201"/>
      <c r="BF153" s="201"/>
      <c r="BG153" s="201"/>
      <c r="BH153" s="201"/>
      <c r="BI153" s="201"/>
      <c r="BJ153" s="201"/>
      <c r="BK153" s="201"/>
      <c r="BL153" s="201"/>
      <c r="BM153" s="201"/>
      <c r="BN153" s="201"/>
      <c r="BO153" s="201"/>
      <c r="BP153" s="201"/>
      <c r="BQ153" s="201"/>
      <c r="BR153" s="201"/>
      <c r="BS153" s="201"/>
      <c r="BT153" s="201"/>
      <c r="BU153" s="201"/>
      <c r="BV153" s="201"/>
      <c r="BW153" s="201"/>
      <c r="BX153" s="201"/>
      <c r="BY153" s="201"/>
      <c r="BZ153" s="201"/>
      <c r="CA153" s="201"/>
      <c r="CB153" s="201"/>
      <c r="CC153" s="201"/>
      <c r="CD153" s="98" t="str">
        <f t="shared" si="85"/>
        <v/>
      </c>
    </row>
    <row r="154" s="123" customFormat="1" ht="21" customHeight="1" spans="1:82">
      <c r="A154" s="93">
        <v>152</v>
      </c>
      <c r="B154" s="334" t="s">
        <v>448</v>
      </c>
      <c r="C154" s="342" t="s">
        <v>377</v>
      </c>
      <c r="D154" s="100" t="str">
        <f t="shared" si="86"/>
        <v>R3AEAN003ZV_Q</v>
      </c>
      <c r="E154" s="335" t="s">
        <v>455</v>
      </c>
      <c r="F154" s="100" t="s">
        <v>234</v>
      </c>
      <c r="G154" s="102"/>
      <c r="H154" s="330" t="s">
        <v>124</v>
      </c>
      <c r="I154" s="98" t="str">
        <f t="shared" si="79"/>
        <v>MD216</v>
      </c>
      <c r="J154" s="98" t="str">
        <f t="shared" si="80"/>
        <v>301MD</v>
      </c>
      <c r="K154" s="100" t="str">
        <f t="shared" si="81"/>
        <v>3AEKC003AR301MD</v>
      </c>
      <c r="L154" s="102">
        <v>3</v>
      </c>
      <c r="M154" s="102">
        <v>1</v>
      </c>
      <c r="N154" s="102"/>
      <c r="O154" s="183"/>
      <c r="P154" s="102"/>
      <c r="Q154" s="98"/>
      <c r="R154" s="98"/>
      <c r="S154" s="98">
        <f t="shared" si="82"/>
        <v>21</v>
      </c>
      <c r="T154" s="98" t="str">
        <f t="shared" si="88"/>
        <v>--</v>
      </c>
      <c r="U154" s="98" t="str">
        <f t="shared" si="83"/>
        <v>--</v>
      </c>
      <c r="V154" s="98" t="str">
        <f t="shared" si="74"/>
        <v>--</v>
      </c>
      <c r="W154" s="98" t="str">
        <f t="shared" si="75"/>
        <v>--</v>
      </c>
      <c r="X154" s="98" t="str">
        <f t="shared" si="76"/>
        <v>--</v>
      </c>
      <c r="Y154" s="98" t="str">
        <f t="shared" si="87"/>
        <v>--</v>
      </c>
      <c r="Z154" s="98"/>
      <c r="AA154" s="100" t="str">
        <f t="shared" si="89"/>
        <v>--</v>
      </c>
      <c r="AB154" s="102" t="str">
        <f t="shared" si="77"/>
        <v>--</v>
      </c>
      <c r="AC154" s="102" t="str">
        <f t="shared" si="78"/>
        <v>--</v>
      </c>
      <c r="AD154" s="98" t="s">
        <v>235</v>
      </c>
      <c r="AE154" s="98" t="s">
        <v>236</v>
      </c>
      <c r="AF154" s="331" t="s">
        <v>454</v>
      </c>
      <c r="AG154" s="98" t="s">
        <v>451</v>
      </c>
      <c r="AH154" s="98" t="str">
        <f t="shared" si="84"/>
        <v>--</v>
      </c>
      <c r="AI154" s="102"/>
      <c r="AJ154" s="336" t="s">
        <v>452</v>
      </c>
      <c r="AK154" s="102"/>
      <c r="AL154" s="102"/>
      <c r="AM154" s="102"/>
      <c r="AN154" s="76"/>
      <c r="AO154" s="76"/>
      <c r="AP154" s="102"/>
      <c r="AQ154" s="76" t="s">
        <v>31</v>
      </c>
      <c r="AR154" s="169"/>
      <c r="AS154" s="100"/>
      <c r="AT154" s="100"/>
      <c r="AU154" s="330" t="s">
        <v>245</v>
      </c>
      <c r="AV154" s="201"/>
      <c r="AW154" s="201"/>
      <c r="AX154" s="201"/>
      <c r="AY154" s="201"/>
      <c r="AZ154" s="201"/>
      <c r="BA154" s="201"/>
      <c r="BB154" s="201"/>
      <c r="BC154" s="201"/>
      <c r="BD154" s="201"/>
      <c r="BE154" s="201"/>
      <c r="BF154" s="201"/>
      <c r="BG154" s="201"/>
      <c r="BH154" s="201"/>
      <c r="BI154" s="201"/>
      <c r="BJ154" s="201"/>
      <c r="BK154" s="201"/>
      <c r="BL154" s="201"/>
      <c r="BM154" s="201"/>
      <c r="BN154" s="201"/>
      <c r="BO154" s="201"/>
      <c r="BP154" s="201"/>
      <c r="BQ154" s="201"/>
      <c r="BR154" s="201"/>
      <c r="BS154" s="201"/>
      <c r="BT154" s="201"/>
      <c r="BU154" s="201"/>
      <c r="BV154" s="201"/>
      <c r="BW154" s="201"/>
      <c r="BX154" s="201"/>
      <c r="BY154" s="201"/>
      <c r="BZ154" s="201"/>
      <c r="CA154" s="201"/>
      <c r="CB154" s="201"/>
      <c r="CC154" s="201"/>
      <c r="CD154" s="98" t="str">
        <f t="shared" si="85"/>
        <v/>
      </c>
    </row>
    <row r="155" s="123" customFormat="1" ht="21" customHeight="1" spans="1:82">
      <c r="A155" s="164">
        <v>153</v>
      </c>
      <c r="B155" s="332" t="s">
        <v>456</v>
      </c>
      <c r="C155" s="343" t="s">
        <v>372</v>
      </c>
      <c r="D155" s="166" t="str">
        <f t="shared" si="86"/>
        <v>R3AEAN004ZV_TF</v>
      </c>
      <c r="E155" s="333" t="s">
        <v>457</v>
      </c>
      <c r="F155" s="166" t="s">
        <v>234</v>
      </c>
      <c r="G155" s="168"/>
      <c r="H155" s="328" t="s">
        <v>124</v>
      </c>
      <c r="I155" s="181" t="str">
        <f t="shared" si="79"/>
        <v>MD211</v>
      </c>
      <c r="J155" s="181" t="str">
        <f t="shared" si="80"/>
        <v>302MD</v>
      </c>
      <c r="K155" s="166" t="str">
        <f t="shared" si="81"/>
        <v>3AEKC003AR302MD</v>
      </c>
      <c r="L155" s="168">
        <v>3</v>
      </c>
      <c r="M155" s="168">
        <v>2</v>
      </c>
      <c r="N155" s="168">
        <v>1</v>
      </c>
      <c r="O155" s="182"/>
      <c r="P155" s="168"/>
      <c r="Q155" s="181"/>
      <c r="R155" s="181"/>
      <c r="S155" s="181">
        <f t="shared" si="82"/>
        <v>22</v>
      </c>
      <c r="T155" s="181" t="str">
        <f t="shared" si="88"/>
        <v>TB244</v>
      </c>
      <c r="U155" s="181" t="str">
        <f t="shared" si="83"/>
        <v>302BN</v>
      </c>
      <c r="V155" s="181" t="str">
        <f t="shared" si="74"/>
        <v>8</v>
      </c>
      <c r="W155" s="181" t="str">
        <f t="shared" si="75"/>
        <v>12</v>
      </c>
      <c r="X155" s="181" t="str">
        <f t="shared" si="76"/>
        <v>GND:10</v>
      </c>
      <c r="Y155" s="181" t="str">
        <f t="shared" si="87"/>
        <v>--</v>
      </c>
      <c r="Z155" s="181"/>
      <c r="AA155" s="166" t="str">
        <f t="shared" si="89"/>
        <v>--</v>
      </c>
      <c r="AB155" s="168" t="str">
        <f t="shared" si="77"/>
        <v>--</v>
      </c>
      <c r="AC155" s="168" t="str">
        <f t="shared" si="78"/>
        <v>--</v>
      </c>
      <c r="AD155" s="181" t="s">
        <v>235</v>
      </c>
      <c r="AE155" s="181" t="s">
        <v>236</v>
      </c>
      <c r="AF155" s="329" t="s">
        <v>458</v>
      </c>
      <c r="AG155" s="181" t="s">
        <v>459</v>
      </c>
      <c r="AH155" s="181" t="str">
        <f t="shared" si="84"/>
        <v>--</v>
      </c>
      <c r="AI155" s="168"/>
      <c r="AJ155" s="345" t="s">
        <v>452</v>
      </c>
      <c r="AK155" s="168"/>
      <c r="AL155" s="168"/>
      <c r="AM155" s="168"/>
      <c r="AN155" s="190"/>
      <c r="AO155" s="190"/>
      <c r="AP155" s="168"/>
      <c r="AQ155" s="190" t="s">
        <v>31</v>
      </c>
      <c r="AR155" s="170"/>
      <c r="AS155" s="166"/>
      <c r="AT155" s="166"/>
      <c r="AU155" s="328" t="s">
        <v>245</v>
      </c>
      <c r="AV155" s="200"/>
      <c r="AW155" s="200"/>
      <c r="AX155" s="200"/>
      <c r="AY155" s="200"/>
      <c r="AZ155" s="200"/>
      <c r="BA155" s="200"/>
      <c r="BB155" s="200"/>
      <c r="BC155" s="200"/>
      <c r="BD155" s="200"/>
      <c r="BE155" s="200"/>
      <c r="BF155" s="200"/>
      <c r="BG155" s="200"/>
      <c r="BH155" s="200"/>
      <c r="BI155" s="200"/>
      <c r="BJ155" s="200"/>
      <c r="BK155" s="200"/>
      <c r="BL155" s="200"/>
      <c r="BM155" s="200"/>
      <c r="BN155" s="200"/>
      <c r="BO155" s="200"/>
      <c r="BP155" s="200"/>
      <c r="BQ155" s="200"/>
      <c r="BR155" s="200"/>
      <c r="BS155" s="200"/>
      <c r="BT155" s="200"/>
      <c r="BU155" s="200"/>
      <c r="BV155" s="200"/>
      <c r="BW155" s="200"/>
      <c r="BX155" s="200"/>
      <c r="BY155" s="200"/>
      <c r="BZ155" s="200"/>
      <c r="CA155" s="200"/>
      <c r="CB155" s="200"/>
      <c r="CC155" s="200"/>
      <c r="CD155" s="181" t="str">
        <f t="shared" si="85"/>
        <v/>
      </c>
    </row>
    <row r="156" s="123" customFormat="1" ht="21" customHeight="1" spans="1:82">
      <c r="A156" s="93">
        <v>154</v>
      </c>
      <c r="B156" s="334" t="s">
        <v>456</v>
      </c>
      <c r="C156" s="342" t="s">
        <v>381</v>
      </c>
      <c r="D156" s="100" t="str">
        <f t="shared" si="86"/>
        <v>R3AEAN004ZV_T</v>
      </c>
      <c r="E156" s="335" t="s">
        <v>460</v>
      </c>
      <c r="F156" s="100" t="s">
        <v>234</v>
      </c>
      <c r="G156" s="102"/>
      <c r="H156" s="330" t="s">
        <v>124</v>
      </c>
      <c r="I156" s="98" t="str">
        <f t="shared" si="79"/>
        <v>MD211</v>
      </c>
      <c r="J156" s="98" t="str">
        <f t="shared" si="80"/>
        <v>302MD</v>
      </c>
      <c r="K156" s="100" t="str">
        <f t="shared" si="81"/>
        <v>3AEKC003AR302MD</v>
      </c>
      <c r="L156" s="102">
        <v>3</v>
      </c>
      <c r="M156" s="102">
        <v>2</v>
      </c>
      <c r="N156" s="102">
        <v>1</v>
      </c>
      <c r="O156" s="183"/>
      <c r="P156" s="102"/>
      <c r="Q156" s="98"/>
      <c r="R156" s="98"/>
      <c r="S156" s="98">
        <f t="shared" si="82"/>
        <v>22</v>
      </c>
      <c r="T156" s="98" t="str">
        <f t="shared" si="88"/>
        <v>TB244</v>
      </c>
      <c r="U156" s="98" t="str">
        <f t="shared" si="83"/>
        <v>302BN</v>
      </c>
      <c r="V156" s="98" t="str">
        <f t="shared" si="74"/>
        <v>8</v>
      </c>
      <c r="W156" s="98" t="str">
        <f t="shared" si="75"/>
        <v>12</v>
      </c>
      <c r="X156" s="98" t="str">
        <f t="shared" si="76"/>
        <v>GND:10</v>
      </c>
      <c r="Y156" s="98" t="str">
        <f t="shared" si="87"/>
        <v>--</v>
      </c>
      <c r="Z156" s="98"/>
      <c r="AA156" s="100" t="str">
        <f t="shared" si="89"/>
        <v>--</v>
      </c>
      <c r="AB156" s="102" t="str">
        <f t="shared" si="77"/>
        <v>--</v>
      </c>
      <c r="AC156" s="102" t="str">
        <f t="shared" si="78"/>
        <v>--</v>
      </c>
      <c r="AD156" s="98" t="s">
        <v>235</v>
      </c>
      <c r="AE156" s="98" t="s">
        <v>236</v>
      </c>
      <c r="AF156" s="331" t="s">
        <v>461</v>
      </c>
      <c r="AG156" s="98" t="s">
        <v>459</v>
      </c>
      <c r="AH156" s="98" t="str">
        <f t="shared" si="84"/>
        <v>--</v>
      </c>
      <c r="AI156" s="102"/>
      <c r="AJ156" s="336" t="s">
        <v>452</v>
      </c>
      <c r="AK156" s="102"/>
      <c r="AL156" s="102"/>
      <c r="AM156" s="102"/>
      <c r="AN156" s="76"/>
      <c r="AO156" s="76"/>
      <c r="AP156" s="102"/>
      <c r="AQ156" s="76" t="s">
        <v>31</v>
      </c>
      <c r="AR156" s="169"/>
      <c r="AS156" s="100"/>
      <c r="AT156" s="100"/>
      <c r="AU156" s="330" t="s">
        <v>245</v>
      </c>
      <c r="AV156" s="201"/>
      <c r="AW156" s="201"/>
      <c r="AX156" s="201"/>
      <c r="AY156" s="201"/>
      <c r="AZ156" s="201"/>
      <c r="BA156" s="201"/>
      <c r="BB156" s="201"/>
      <c r="BC156" s="201"/>
      <c r="BD156" s="201"/>
      <c r="BE156" s="201"/>
      <c r="BF156" s="201"/>
      <c r="BG156" s="201"/>
      <c r="BH156" s="201"/>
      <c r="BI156" s="201"/>
      <c r="BJ156" s="201"/>
      <c r="BK156" s="201"/>
      <c r="BL156" s="201"/>
      <c r="BM156" s="201"/>
      <c r="BN156" s="201"/>
      <c r="BO156" s="201"/>
      <c r="BP156" s="201"/>
      <c r="BQ156" s="201"/>
      <c r="BR156" s="201"/>
      <c r="BS156" s="201"/>
      <c r="BT156" s="201"/>
      <c r="BU156" s="201"/>
      <c r="BV156" s="201"/>
      <c r="BW156" s="201"/>
      <c r="BX156" s="201"/>
      <c r="BY156" s="201"/>
      <c r="BZ156" s="201"/>
      <c r="CA156" s="201"/>
      <c r="CB156" s="201"/>
      <c r="CC156" s="201"/>
      <c r="CD156" s="98" t="str">
        <f t="shared" si="85"/>
        <v/>
      </c>
    </row>
    <row r="157" s="123" customFormat="1" ht="21" customHeight="1" spans="1:82">
      <c r="A157" s="93">
        <v>155</v>
      </c>
      <c r="B157" s="334" t="s">
        <v>456</v>
      </c>
      <c r="C157" s="342" t="s">
        <v>365</v>
      </c>
      <c r="D157" s="100" t="str">
        <f t="shared" si="86"/>
        <v>R3AEAN004ZV_QF</v>
      </c>
      <c r="E157" s="335" t="s">
        <v>462</v>
      </c>
      <c r="F157" s="100" t="s">
        <v>234</v>
      </c>
      <c r="G157" s="102"/>
      <c r="H157" s="330" t="s">
        <v>124</v>
      </c>
      <c r="I157" s="98" t="str">
        <f t="shared" si="79"/>
        <v>MD211</v>
      </c>
      <c r="J157" s="98" t="str">
        <f t="shared" si="80"/>
        <v>302MD</v>
      </c>
      <c r="K157" s="100" t="str">
        <f t="shared" si="81"/>
        <v>3AEKC003AR302MD</v>
      </c>
      <c r="L157" s="102">
        <v>3</v>
      </c>
      <c r="M157" s="102">
        <v>2</v>
      </c>
      <c r="N157" s="102">
        <v>2</v>
      </c>
      <c r="O157" s="183"/>
      <c r="P157" s="102"/>
      <c r="Q157" s="98"/>
      <c r="R157" s="98"/>
      <c r="S157" s="98">
        <f t="shared" si="82"/>
        <v>22</v>
      </c>
      <c r="T157" s="98" t="str">
        <f t="shared" si="88"/>
        <v>TB244</v>
      </c>
      <c r="U157" s="98" t="str">
        <f t="shared" si="83"/>
        <v>302BN</v>
      </c>
      <c r="V157" s="98" t="str">
        <f t="shared" si="74"/>
        <v>28</v>
      </c>
      <c r="W157" s="98" t="str">
        <f t="shared" si="75"/>
        <v>32</v>
      </c>
      <c r="X157" s="98" t="str">
        <f t="shared" si="76"/>
        <v>GND:30</v>
      </c>
      <c r="Y157" s="98" t="str">
        <f t="shared" si="87"/>
        <v>--</v>
      </c>
      <c r="Z157" s="98"/>
      <c r="AA157" s="100" t="str">
        <f t="shared" si="89"/>
        <v>--</v>
      </c>
      <c r="AB157" s="102" t="str">
        <f t="shared" si="77"/>
        <v>--</v>
      </c>
      <c r="AC157" s="102" t="str">
        <f t="shared" si="78"/>
        <v>--</v>
      </c>
      <c r="AD157" s="98" t="s">
        <v>235</v>
      </c>
      <c r="AE157" s="98" t="s">
        <v>236</v>
      </c>
      <c r="AF157" s="331" t="s">
        <v>463</v>
      </c>
      <c r="AG157" s="98" t="s">
        <v>459</v>
      </c>
      <c r="AH157" s="98" t="str">
        <f t="shared" si="84"/>
        <v>--</v>
      </c>
      <c r="AI157" s="102"/>
      <c r="AJ157" s="336" t="s">
        <v>452</v>
      </c>
      <c r="AK157" s="102"/>
      <c r="AL157" s="102"/>
      <c r="AM157" s="102"/>
      <c r="AN157" s="76"/>
      <c r="AO157" s="76"/>
      <c r="AP157" s="102"/>
      <c r="AQ157" s="76" t="s">
        <v>31</v>
      </c>
      <c r="AR157" s="169"/>
      <c r="AS157" s="100"/>
      <c r="AT157" s="100"/>
      <c r="AU157" s="330" t="s">
        <v>245</v>
      </c>
      <c r="AV157" s="201"/>
      <c r="AW157" s="201"/>
      <c r="AX157" s="201"/>
      <c r="AY157" s="201"/>
      <c r="AZ157" s="201"/>
      <c r="BA157" s="201"/>
      <c r="BB157" s="201"/>
      <c r="BC157" s="201"/>
      <c r="BD157" s="201"/>
      <c r="BE157" s="201"/>
      <c r="BF157" s="201"/>
      <c r="BG157" s="201"/>
      <c r="BH157" s="201"/>
      <c r="BI157" s="201"/>
      <c r="BJ157" s="201"/>
      <c r="BK157" s="201"/>
      <c r="BL157" s="201"/>
      <c r="BM157" s="201"/>
      <c r="BN157" s="201"/>
      <c r="BO157" s="201"/>
      <c r="BP157" s="201"/>
      <c r="BQ157" s="201"/>
      <c r="BR157" s="201"/>
      <c r="BS157" s="201"/>
      <c r="BT157" s="201"/>
      <c r="BU157" s="201"/>
      <c r="BV157" s="201"/>
      <c r="BW157" s="201"/>
      <c r="BX157" s="201"/>
      <c r="BY157" s="201"/>
      <c r="BZ157" s="201"/>
      <c r="CA157" s="201"/>
      <c r="CB157" s="201"/>
      <c r="CC157" s="201"/>
      <c r="CD157" s="98" t="str">
        <f t="shared" si="85"/>
        <v/>
      </c>
    </row>
    <row r="158" s="123" customFormat="1" ht="21" customHeight="1" spans="1:82">
      <c r="A158" s="93">
        <v>156</v>
      </c>
      <c r="B158" s="334" t="s">
        <v>456</v>
      </c>
      <c r="C158" s="342" t="s">
        <v>377</v>
      </c>
      <c r="D158" s="100" t="str">
        <f t="shared" si="86"/>
        <v>R3AEAN004ZV_Q</v>
      </c>
      <c r="E158" s="335" t="s">
        <v>462</v>
      </c>
      <c r="F158" s="100" t="s">
        <v>234</v>
      </c>
      <c r="G158" s="102"/>
      <c r="H158" s="330" t="s">
        <v>124</v>
      </c>
      <c r="I158" s="98" t="str">
        <f t="shared" si="79"/>
        <v>MD211</v>
      </c>
      <c r="J158" s="98" t="str">
        <f t="shared" si="80"/>
        <v>302MD</v>
      </c>
      <c r="K158" s="100" t="str">
        <f t="shared" si="81"/>
        <v>3AEKC003AR302MD</v>
      </c>
      <c r="L158" s="102">
        <v>3</v>
      </c>
      <c r="M158" s="102">
        <v>2</v>
      </c>
      <c r="N158" s="102">
        <v>2</v>
      </c>
      <c r="O158" s="183"/>
      <c r="P158" s="102"/>
      <c r="Q158" s="98"/>
      <c r="R158" s="98"/>
      <c r="S158" s="98">
        <f t="shared" si="82"/>
        <v>22</v>
      </c>
      <c r="T158" s="98" t="str">
        <f t="shared" si="88"/>
        <v>TB244</v>
      </c>
      <c r="U158" s="98" t="str">
        <f t="shared" si="83"/>
        <v>302BN</v>
      </c>
      <c r="V158" s="98" t="str">
        <f t="shared" si="74"/>
        <v>28</v>
      </c>
      <c r="W158" s="98" t="str">
        <f t="shared" si="75"/>
        <v>32</v>
      </c>
      <c r="X158" s="98" t="str">
        <f t="shared" si="76"/>
        <v>GND:30</v>
      </c>
      <c r="Y158" s="98" t="str">
        <f t="shared" si="87"/>
        <v>--</v>
      </c>
      <c r="Z158" s="98"/>
      <c r="AA158" s="100" t="str">
        <f t="shared" si="89"/>
        <v>--</v>
      </c>
      <c r="AB158" s="102" t="str">
        <f t="shared" si="77"/>
        <v>--</v>
      </c>
      <c r="AC158" s="102" t="str">
        <f t="shared" si="78"/>
        <v>--</v>
      </c>
      <c r="AD158" s="98" t="s">
        <v>235</v>
      </c>
      <c r="AE158" s="98" t="s">
        <v>236</v>
      </c>
      <c r="AF158" s="331" t="s">
        <v>461</v>
      </c>
      <c r="AG158" s="98" t="s">
        <v>459</v>
      </c>
      <c r="AH158" s="98" t="str">
        <f t="shared" si="84"/>
        <v>--</v>
      </c>
      <c r="AI158" s="102"/>
      <c r="AJ158" s="336" t="s">
        <v>452</v>
      </c>
      <c r="AK158" s="102"/>
      <c r="AL158" s="102"/>
      <c r="AM158" s="102"/>
      <c r="AN158" s="76"/>
      <c r="AO158" s="76"/>
      <c r="AP158" s="102"/>
      <c r="AQ158" s="76" t="s">
        <v>31</v>
      </c>
      <c r="AR158" s="169"/>
      <c r="AS158" s="100"/>
      <c r="AT158" s="100"/>
      <c r="AU158" s="330" t="s">
        <v>245</v>
      </c>
      <c r="AV158" s="201"/>
      <c r="AW158" s="201"/>
      <c r="AX158" s="201"/>
      <c r="AY158" s="201"/>
      <c r="AZ158" s="201"/>
      <c r="BA158" s="201"/>
      <c r="BB158" s="201"/>
      <c r="BC158" s="201"/>
      <c r="BD158" s="201"/>
      <c r="BE158" s="201"/>
      <c r="BF158" s="201"/>
      <c r="BG158" s="201"/>
      <c r="BH158" s="201"/>
      <c r="BI158" s="201"/>
      <c r="BJ158" s="201"/>
      <c r="BK158" s="201"/>
      <c r="BL158" s="201"/>
      <c r="BM158" s="201"/>
      <c r="BN158" s="201"/>
      <c r="BO158" s="201"/>
      <c r="BP158" s="201"/>
      <c r="BQ158" s="201"/>
      <c r="BR158" s="201"/>
      <c r="BS158" s="201"/>
      <c r="BT158" s="201"/>
      <c r="BU158" s="201"/>
      <c r="BV158" s="201"/>
      <c r="BW158" s="201"/>
      <c r="BX158" s="201"/>
      <c r="BY158" s="201"/>
      <c r="BZ158" s="201"/>
      <c r="CA158" s="201"/>
      <c r="CB158" s="201"/>
      <c r="CC158" s="201"/>
      <c r="CD158" s="98" t="str">
        <f t="shared" si="85"/>
        <v/>
      </c>
    </row>
    <row r="159" s="123" customFormat="1" ht="21" customHeight="1" spans="1:82">
      <c r="A159" s="164">
        <v>157</v>
      </c>
      <c r="B159" s="332" t="s">
        <v>464</v>
      </c>
      <c r="C159" s="343" t="s">
        <v>423</v>
      </c>
      <c r="D159" s="166" t="str">
        <f t="shared" si="86"/>
        <v>R3AEAS001VAB_GW</v>
      </c>
      <c r="E159" s="333" t="s">
        <v>465</v>
      </c>
      <c r="F159" s="166" t="s">
        <v>466</v>
      </c>
      <c r="G159" s="168"/>
      <c r="H159" s="328" t="s">
        <v>467</v>
      </c>
      <c r="I159" s="181" t="str">
        <f t="shared" si="79"/>
        <v>--</v>
      </c>
      <c r="J159" s="181" t="str">
        <f t="shared" si="80"/>
        <v>--</v>
      </c>
      <c r="K159" s="166" t="str">
        <f t="shared" si="81"/>
        <v>--</v>
      </c>
      <c r="L159" s="168"/>
      <c r="M159" s="168"/>
      <c r="N159" s="168"/>
      <c r="O159" s="182"/>
      <c r="P159" s="168"/>
      <c r="Q159" s="181"/>
      <c r="R159" s="181"/>
      <c r="S159" s="181" t="str">
        <f t="shared" si="82"/>
        <v>--</v>
      </c>
      <c r="T159" s="181" t="str">
        <f t="shared" si="88"/>
        <v>--</v>
      </c>
      <c r="U159" s="181" t="str">
        <f t="shared" si="83"/>
        <v>--</v>
      </c>
      <c r="V159" s="181" t="str">
        <f t="shared" si="74"/>
        <v>--</v>
      </c>
      <c r="W159" s="181" t="str">
        <f t="shared" si="75"/>
        <v>--</v>
      </c>
      <c r="X159" s="181" t="str">
        <f t="shared" si="76"/>
        <v>--</v>
      </c>
      <c r="Y159" s="181" t="str">
        <f t="shared" si="87"/>
        <v>--</v>
      </c>
      <c r="Z159" s="181"/>
      <c r="AA159" s="166" t="str">
        <f t="shared" si="89"/>
        <v>--</v>
      </c>
      <c r="AB159" s="168" t="str">
        <f t="shared" si="77"/>
        <v>--</v>
      </c>
      <c r="AC159" s="168" t="str">
        <f t="shared" si="78"/>
        <v>--</v>
      </c>
      <c r="AD159" s="181" t="s">
        <v>235</v>
      </c>
      <c r="AE159" s="181" t="s">
        <v>236</v>
      </c>
      <c r="AF159" s="329" t="s">
        <v>468</v>
      </c>
      <c r="AG159" s="181" t="s">
        <v>469</v>
      </c>
      <c r="AH159" s="181" t="str">
        <f t="shared" si="84"/>
        <v>--</v>
      </c>
      <c r="AI159" s="168"/>
      <c r="AJ159" s="345" t="s">
        <v>470</v>
      </c>
      <c r="AK159" s="168"/>
      <c r="AL159" s="168"/>
      <c r="AM159" s="168"/>
      <c r="AN159" s="190"/>
      <c r="AO159" s="190"/>
      <c r="AP159" s="168"/>
      <c r="AQ159" s="190" t="s">
        <v>31</v>
      </c>
      <c r="AR159" s="170"/>
      <c r="AS159" s="166"/>
      <c r="AT159" s="166"/>
      <c r="AU159" s="166"/>
      <c r="AV159" s="200"/>
      <c r="AW159" s="200"/>
      <c r="AX159" s="200"/>
      <c r="AY159" s="200"/>
      <c r="AZ159" s="200"/>
      <c r="BA159" s="200"/>
      <c r="BB159" s="200"/>
      <c r="BC159" s="200"/>
      <c r="BD159" s="200"/>
      <c r="BE159" s="200"/>
      <c r="BF159" s="200"/>
      <c r="BG159" s="200"/>
      <c r="BH159" s="200"/>
      <c r="BI159" s="200"/>
      <c r="BJ159" s="200"/>
      <c r="BK159" s="200"/>
      <c r="BL159" s="200"/>
      <c r="BM159" s="200"/>
      <c r="BN159" s="200"/>
      <c r="BO159" s="200"/>
      <c r="BP159" s="200"/>
      <c r="BQ159" s="200"/>
      <c r="BR159" s="200"/>
      <c r="BS159" s="200"/>
      <c r="BT159" s="200"/>
      <c r="BU159" s="200"/>
      <c r="BV159" s="200"/>
      <c r="BW159" s="200"/>
      <c r="BX159" s="200"/>
      <c r="BY159" s="200"/>
      <c r="BZ159" s="200"/>
      <c r="CA159" s="200"/>
      <c r="CB159" s="200"/>
      <c r="CC159" s="200"/>
      <c r="CD159" s="181"/>
    </row>
    <row r="160" s="123" customFormat="1" ht="21" customHeight="1" spans="1:82">
      <c r="A160" s="93">
        <v>158</v>
      </c>
      <c r="B160" s="334" t="s">
        <v>464</v>
      </c>
      <c r="C160" s="342" t="s">
        <v>419</v>
      </c>
      <c r="D160" s="100" t="str">
        <f t="shared" si="86"/>
        <v>R3AEAS001VAB_KW</v>
      </c>
      <c r="E160" s="335" t="s">
        <v>471</v>
      </c>
      <c r="F160" s="100" t="s">
        <v>466</v>
      </c>
      <c r="G160" s="102"/>
      <c r="H160" s="330" t="s">
        <v>467</v>
      </c>
      <c r="I160" s="98" t="str">
        <f t="shared" si="79"/>
        <v>--</v>
      </c>
      <c r="J160" s="98" t="str">
        <f t="shared" si="80"/>
        <v>--</v>
      </c>
      <c r="K160" s="100" t="str">
        <f t="shared" si="81"/>
        <v>--</v>
      </c>
      <c r="L160" s="102"/>
      <c r="M160" s="102"/>
      <c r="N160" s="102"/>
      <c r="O160" s="183"/>
      <c r="P160" s="102"/>
      <c r="Q160" s="98"/>
      <c r="R160" s="98"/>
      <c r="S160" s="98" t="str">
        <f t="shared" si="82"/>
        <v>--</v>
      </c>
      <c r="T160" s="98" t="str">
        <f t="shared" si="88"/>
        <v>--</v>
      </c>
      <c r="U160" s="98" t="str">
        <f t="shared" si="83"/>
        <v>--</v>
      </c>
      <c r="V160" s="98" t="str">
        <f t="shared" si="74"/>
        <v>--</v>
      </c>
      <c r="W160" s="98" t="str">
        <f t="shared" si="75"/>
        <v>--</v>
      </c>
      <c r="X160" s="98" t="str">
        <f t="shared" si="76"/>
        <v>--</v>
      </c>
      <c r="Y160" s="98" t="str">
        <f t="shared" si="87"/>
        <v>--</v>
      </c>
      <c r="Z160" s="98"/>
      <c r="AA160" s="100" t="str">
        <f t="shared" si="89"/>
        <v>--</v>
      </c>
      <c r="AB160" s="102" t="str">
        <f t="shared" si="77"/>
        <v>--</v>
      </c>
      <c r="AC160" s="102" t="str">
        <f t="shared" si="78"/>
        <v>--</v>
      </c>
      <c r="AD160" s="98" t="s">
        <v>235</v>
      </c>
      <c r="AE160" s="98" t="s">
        <v>236</v>
      </c>
      <c r="AF160" s="331" t="s">
        <v>468</v>
      </c>
      <c r="AG160" s="98" t="s">
        <v>469</v>
      </c>
      <c r="AH160" s="98" t="str">
        <f t="shared" si="84"/>
        <v>--</v>
      </c>
      <c r="AI160" s="102"/>
      <c r="AJ160" s="336" t="s">
        <v>470</v>
      </c>
      <c r="AK160" s="102"/>
      <c r="AL160" s="102"/>
      <c r="AM160" s="102"/>
      <c r="AN160" s="76"/>
      <c r="AO160" s="76"/>
      <c r="AP160" s="102"/>
      <c r="AQ160" s="76" t="s">
        <v>31</v>
      </c>
      <c r="AR160" s="169"/>
      <c r="AS160" s="100"/>
      <c r="AT160" s="100"/>
      <c r="AU160" s="100"/>
      <c r="AV160" s="201"/>
      <c r="AW160" s="201"/>
      <c r="AX160" s="201"/>
      <c r="AY160" s="201"/>
      <c r="AZ160" s="201"/>
      <c r="BA160" s="201"/>
      <c r="BB160" s="201"/>
      <c r="BC160" s="201"/>
      <c r="BD160" s="201"/>
      <c r="BE160" s="201"/>
      <c r="BF160" s="201"/>
      <c r="BG160" s="201"/>
      <c r="BH160" s="201"/>
      <c r="BI160" s="201"/>
      <c r="BJ160" s="201"/>
      <c r="BK160" s="201"/>
      <c r="BL160" s="201"/>
      <c r="BM160" s="201"/>
      <c r="BN160" s="201"/>
      <c r="BO160" s="201"/>
      <c r="BP160" s="201"/>
      <c r="BQ160" s="201"/>
      <c r="BR160" s="201"/>
      <c r="BS160" s="201"/>
      <c r="BT160" s="201"/>
      <c r="BU160" s="201"/>
      <c r="BV160" s="201"/>
      <c r="BW160" s="201"/>
      <c r="BX160" s="201"/>
      <c r="BY160" s="201"/>
      <c r="BZ160" s="201"/>
      <c r="CA160" s="201"/>
      <c r="CB160" s="201"/>
      <c r="CC160" s="201"/>
      <c r="CD160" s="98"/>
    </row>
    <row r="161" s="123" customFormat="1" ht="21" customHeight="1" spans="1:82">
      <c r="A161" s="93">
        <v>159</v>
      </c>
      <c r="B161" s="334" t="s">
        <v>472</v>
      </c>
      <c r="C161" s="342" t="s">
        <v>423</v>
      </c>
      <c r="D161" s="100" t="str">
        <f t="shared" si="86"/>
        <v>R3AEAS002VAB_GW</v>
      </c>
      <c r="E161" s="335" t="s">
        <v>465</v>
      </c>
      <c r="F161" s="100" t="s">
        <v>466</v>
      </c>
      <c r="G161" s="102"/>
      <c r="H161" s="330" t="s">
        <v>467</v>
      </c>
      <c r="I161" s="98" t="str">
        <f t="shared" si="79"/>
        <v>--</v>
      </c>
      <c r="J161" s="98" t="str">
        <f t="shared" si="80"/>
        <v>--</v>
      </c>
      <c r="K161" s="100" t="str">
        <f t="shared" si="81"/>
        <v>--</v>
      </c>
      <c r="L161" s="102"/>
      <c r="M161" s="102"/>
      <c r="N161" s="102"/>
      <c r="O161" s="183"/>
      <c r="P161" s="102"/>
      <c r="Q161" s="98"/>
      <c r="R161" s="98"/>
      <c r="S161" s="98" t="str">
        <f t="shared" si="82"/>
        <v>--</v>
      </c>
      <c r="T161" s="98" t="str">
        <f t="shared" si="88"/>
        <v>--</v>
      </c>
      <c r="U161" s="98" t="str">
        <f t="shared" si="83"/>
        <v>--</v>
      </c>
      <c r="V161" s="98" t="str">
        <f t="shared" si="74"/>
        <v>--</v>
      </c>
      <c r="W161" s="98" t="str">
        <f t="shared" si="75"/>
        <v>--</v>
      </c>
      <c r="X161" s="98" t="str">
        <f t="shared" si="76"/>
        <v>--</v>
      </c>
      <c r="Y161" s="98" t="str">
        <f t="shared" si="87"/>
        <v>--</v>
      </c>
      <c r="Z161" s="98"/>
      <c r="AA161" s="100" t="str">
        <f t="shared" si="89"/>
        <v>--</v>
      </c>
      <c r="AB161" s="102" t="str">
        <f t="shared" si="77"/>
        <v>--</v>
      </c>
      <c r="AC161" s="102" t="str">
        <f t="shared" si="78"/>
        <v>--</v>
      </c>
      <c r="AD161" s="98" t="s">
        <v>235</v>
      </c>
      <c r="AE161" s="98" t="s">
        <v>236</v>
      </c>
      <c r="AF161" s="331" t="s">
        <v>468</v>
      </c>
      <c r="AG161" s="98" t="s">
        <v>469</v>
      </c>
      <c r="AH161" s="98" t="str">
        <f t="shared" si="84"/>
        <v>--</v>
      </c>
      <c r="AI161" s="102"/>
      <c r="AJ161" s="336" t="s">
        <v>470</v>
      </c>
      <c r="AK161" s="102"/>
      <c r="AL161" s="102"/>
      <c r="AM161" s="102"/>
      <c r="AN161" s="76"/>
      <c r="AO161" s="76"/>
      <c r="AP161" s="102"/>
      <c r="AQ161" s="76" t="s">
        <v>31</v>
      </c>
      <c r="AR161" s="169"/>
      <c r="AS161" s="100"/>
      <c r="AT161" s="100"/>
      <c r="AU161" s="100"/>
      <c r="AV161" s="201"/>
      <c r="AW161" s="201"/>
      <c r="AX161" s="201"/>
      <c r="AY161" s="201"/>
      <c r="AZ161" s="201"/>
      <c r="BA161" s="201"/>
      <c r="BB161" s="201"/>
      <c r="BC161" s="201"/>
      <c r="BD161" s="201"/>
      <c r="BE161" s="201"/>
      <c r="BF161" s="201"/>
      <c r="BG161" s="201"/>
      <c r="BH161" s="201"/>
      <c r="BI161" s="201"/>
      <c r="BJ161" s="201"/>
      <c r="BK161" s="201"/>
      <c r="BL161" s="201"/>
      <c r="BM161" s="201"/>
      <c r="BN161" s="201"/>
      <c r="BO161" s="201"/>
      <c r="BP161" s="201"/>
      <c r="BQ161" s="201"/>
      <c r="BR161" s="201"/>
      <c r="BS161" s="201"/>
      <c r="BT161" s="201"/>
      <c r="BU161" s="201"/>
      <c r="BV161" s="201"/>
      <c r="BW161" s="201"/>
      <c r="BX161" s="201"/>
      <c r="BY161" s="201"/>
      <c r="BZ161" s="201"/>
      <c r="CA161" s="201"/>
      <c r="CB161" s="201"/>
      <c r="CC161" s="201"/>
      <c r="CD161" s="98"/>
    </row>
    <row r="162" s="123" customFormat="1" ht="21" customHeight="1" spans="1:82">
      <c r="A162" s="93">
        <v>160</v>
      </c>
      <c r="B162" s="334" t="s">
        <v>472</v>
      </c>
      <c r="C162" s="342" t="s">
        <v>419</v>
      </c>
      <c r="D162" s="100" t="str">
        <f t="shared" si="86"/>
        <v>R3AEAS002VAB_KW</v>
      </c>
      <c r="E162" s="335" t="s">
        <v>471</v>
      </c>
      <c r="F162" s="100" t="s">
        <v>466</v>
      </c>
      <c r="G162" s="102"/>
      <c r="H162" s="330" t="s">
        <v>467</v>
      </c>
      <c r="I162" s="98" t="str">
        <f t="shared" si="79"/>
        <v>--</v>
      </c>
      <c r="J162" s="98" t="str">
        <f t="shared" si="80"/>
        <v>--</v>
      </c>
      <c r="K162" s="100" t="str">
        <f t="shared" si="81"/>
        <v>--</v>
      </c>
      <c r="L162" s="102"/>
      <c r="M162" s="102"/>
      <c r="N162" s="102"/>
      <c r="O162" s="183"/>
      <c r="P162" s="102"/>
      <c r="Q162" s="98"/>
      <c r="R162" s="98"/>
      <c r="S162" s="98" t="str">
        <f t="shared" si="82"/>
        <v>--</v>
      </c>
      <c r="T162" s="98" t="str">
        <f t="shared" si="88"/>
        <v>--</v>
      </c>
      <c r="U162" s="98" t="str">
        <f t="shared" si="83"/>
        <v>--</v>
      </c>
      <c r="V162" s="98" t="str">
        <f t="shared" si="74"/>
        <v>--</v>
      </c>
      <c r="W162" s="98" t="str">
        <f t="shared" si="75"/>
        <v>--</v>
      </c>
      <c r="X162" s="98" t="str">
        <f t="shared" si="76"/>
        <v>--</v>
      </c>
      <c r="Y162" s="98" t="str">
        <f t="shared" si="87"/>
        <v>--</v>
      </c>
      <c r="Z162" s="98"/>
      <c r="AA162" s="100" t="str">
        <f t="shared" si="89"/>
        <v>--</v>
      </c>
      <c r="AB162" s="102" t="str">
        <f t="shared" si="77"/>
        <v>--</v>
      </c>
      <c r="AC162" s="102" t="str">
        <f t="shared" si="78"/>
        <v>--</v>
      </c>
      <c r="AD162" s="98" t="s">
        <v>235</v>
      </c>
      <c r="AE162" s="98" t="s">
        <v>236</v>
      </c>
      <c r="AF162" s="331" t="s">
        <v>468</v>
      </c>
      <c r="AG162" s="98" t="s">
        <v>469</v>
      </c>
      <c r="AH162" s="98" t="str">
        <f t="shared" si="84"/>
        <v>--</v>
      </c>
      <c r="AI162" s="102"/>
      <c r="AJ162" s="336" t="s">
        <v>470</v>
      </c>
      <c r="AK162" s="102"/>
      <c r="AL162" s="102"/>
      <c r="AM162" s="102"/>
      <c r="AN162" s="76"/>
      <c r="AO162" s="76"/>
      <c r="AP162" s="102"/>
      <c r="AQ162" s="76" t="s">
        <v>31</v>
      </c>
      <c r="AR162" s="169"/>
      <c r="AS162" s="100"/>
      <c r="AT162" s="100"/>
      <c r="AU162" s="100"/>
      <c r="AV162" s="201"/>
      <c r="AW162" s="201"/>
      <c r="AX162" s="201"/>
      <c r="AY162" s="201"/>
      <c r="AZ162" s="201"/>
      <c r="BA162" s="201"/>
      <c r="BB162" s="201"/>
      <c r="BC162" s="201"/>
      <c r="BD162" s="201"/>
      <c r="BE162" s="201"/>
      <c r="BF162" s="201"/>
      <c r="BG162" s="201"/>
      <c r="BH162" s="201"/>
      <c r="BI162" s="201"/>
      <c r="BJ162" s="201"/>
      <c r="BK162" s="201"/>
      <c r="BL162" s="201"/>
      <c r="BM162" s="201"/>
      <c r="BN162" s="201"/>
      <c r="BO162" s="201"/>
      <c r="BP162" s="201"/>
      <c r="BQ162" s="201"/>
      <c r="BR162" s="201"/>
      <c r="BS162" s="201"/>
      <c r="BT162" s="201"/>
      <c r="BU162" s="201"/>
      <c r="BV162" s="201"/>
      <c r="BW162" s="201"/>
      <c r="BX162" s="201"/>
      <c r="BY162" s="201"/>
      <c r="BZ162" s="201"/>
      <c r="CA162" s="201"/>
      <c r="CB162" s="201"/>
      <c r="CC162" s="201"/>
      <c r="CD162" s="98"/>
    </row>
    <row r="163" spans="42:42">
      <c r="AP163" s="102"/>
    </row>
    <row r="164" spans="42:42">
      <c r="AP164" s="102"/>
    </row>
    <row r="165" spans="42:42">
      <c r="AP165" s="168"/>
    </row>
    <row r="166" spans="42:42">
      <c r="AP166" s="102"/>
    </row>
    <row r="167" spans="42:42">
      <c r="AP167" s="102"/>
    </row>
    <row r="168" spans="42:42">
      <c r="AP168" s="102"/>
    </row>
    <row r="169" spans="42:42">
      <c r="AP169" s="168"/>
    </row>
    <row r="170" spans="42:42">
      <c r="AP170" s="102"/>
    </row>
    <row r="171" spans="42:42">
      <c r="AP171" s="102"/>
    </row>
    <row r="172" spans="42:42">
      <c r="AP172" s="168"/>
    </row>
    <row r="173" spans="42:42">
      <c r="AP173" s="102"/>
    </row>
    <row r="174" spans="42:42">
      <c r="AP174" s="102"/>
    </row>
    <row r="175" spans="42:42">
      <c r="AP175" s="102"/>
    </row>
    <row r="176" spans="42:42">
      <c r="AP176" s="168"/>
    </row>
    <row r="177" spans="42:42">
      <c r="AP177" s="102"/>
    </row>
    <row r="178" spans="42:42">
      <c r="AP178" s="102"/>
    </row>
    <row r="179" spans="42:42">
      <c r="AP179" s="102"/>
    </row>
  </sheetData>
  <autoFilter ref="A2:CD162">
    <extLst/>
  </autoFilter>
  <sortState ref="A2:BG166">
    <sortCondition ref="H2:H916"/>
    <sortCondition ref="L2:L916"/>
    <sortCondition ref="M2:M916"/>
    <sortCondition ref="N2:N916"/>
    <sortCondition ref="G2:G916"/>
  </sortState>
  <mergeCells count="1">
    <mergeCell ref="A1:C1"/>
  </mergeCells>
  <conditionalFormatting sqref="BK45">
    <cfRule type="duplicateValues" dxfId="0" priority="239"/>
  </conditionalFormatting>
  <conditionalFormatting sqref="BO45">
    <cfRule type="duplicateValues" dxfId="0" priority="238"/>
  </conditionalFormatting>
  <conditionalFormatting sqref="BK48">
    <cfRule type="duplicateValues" dxfId="0" priority="245"/>
  </conditionalFormatting>
  <conditionalFormatting sqref="BO48">
    <cfRule type="duplicateValues" dxfId="0" priority="244"/>
  </conditionalFormatting>
  <conditionalFormatting sqref="BG49">
    <cfRule type="duplicateValues" dxfId="0" priority="202"/>
  </conditionalFormatting>
  <conditionalFormatting sqref="BK49">
    <cfRule type="duplicateValues" dxfId="0" priority="201"/>
  </conditionalFormatting>
  <conditionalFormatting sqref="BO49">
    <cfRule type="duplicateValues" dxfId="0" priority="200"/>
  </conditionalFormatting>
  <conditionalFormatting sqref="BG50">
    <cfRule type="duplicateValues" dxfId="0" priority="198"/>
  </conditionalFormatting>
  <conditionalFormatting sqref="BK50">
    <cfRule type="duplicateValues" dxfId="0" priority="197"/>
  </conditionalFormatting>
  <conditionalFormatting sqref="BO50">
    <cfRule type="duplicateValues" dxfId="0" priority="196"/>
  </conditionalFormatting>
  <conditionalFormatting sqref="BG51">
    <cfRule type="duplicateValues" dxfId="0" priority="194"/>
  </conditionalFormatting>
  <conditionalFormatting sqref="BK51">
    <cfRule type="duplicateValues" dxfId="0" priority="193"/>
  </conditionalFormatting>
  <conditionalFormatting sqref="BO51">
    <cfRule type="duplicateValues" dxfId="0" priority="192"/>
  </conditionalFormatting>
  <conditionalFormatting sqref="BG53">
    <cfRule type="duplicateValues" dxfId="0" priority="118"/>
  </conditionalFormatting>
  <conditionalFormatting sqref="BK53">
    <cfRule type="duplicateValues" dxfId="0" priority="104"/>
  </conditionalFormatting>
  <conditionalFormatting sqref="BO53">
    <cfRule type="duplicateValues" dxfId="0" priority="90"/>
  </conditionalFormatting>
  <conditionalFormatting sqref="BG54">
    <cfRule type="duplicateValues" dxfId="0" priority="117"/>
  </conditionalFormatting>
  <conditionalFormatting sqref="BK54">
    <cfRule type="duplicateValues" dxfId="0" priority="103"/>
  </conditionalFormatting>
  <conditionalFormatting sqref="BO54">
    <cfRule type="duplicateValues" dxfId="0" priority="89"/>
  </conditionalFormatting>
  <conditionalFormatting sqref="BG55">
    <cfRule type="duplicateValues" dxfId="0" priority="116"/>
  </conditionalFormatting>
  <conditionalFormatting sqref="BK55">
    <cfRule type="duplicateValues" dxfId="0" priority="102"/>
  </conditionalFormatting>
  <conditionalFormatting sqref="BO55">
    <cfRule type="duplicateValues" dxfId="0" priority="88"/>
  </conditionalFormatting>
  <conditionalFormatting sqref="BG56">
    <cfRule type="duplicateValues" dxfId="0" priority="115"/>
  </conditionalFormatting>
  <conditionalFormatting sqref="BK56">
    <cfRule type="duplicateValues" dxfId="0" priority="101"/>
  </conditionalFormatting>
  <conditionalFormatting sqref="BO56">
    <cfRule type="duplicateValues" dxfId="0" priority="87"/>
  </conditionalFormatting>
  <conditionalFormatting sqref="BG57">
    <cfRule type="duplicateValues" dxfId="0" priority="114"/>
  </conditionalFormatting>
  <conditionalFormatting sqref="BK57">
    <cfRule type="duplicateValues" dxfId="0" priority="100"/>
  </conditionalFormatting>
  <conditionalFormatting sqref="BO57">
    <cfRule type="duplicateValues" dxfId="0" priority="86"/>
  </conditionalFormatting>
  <conditionalFormatting sqref="BG58">
    <cfRule type="duplicateValues" dxfId="0" priority="113"/>
  </conditionalFormatting>
  <conditionalFormatting sqref="BK58">
    <cfRule type="duplicateValues" dxfId="0" priority="99"/>
  </conditionalFormatting>
  <conditionalFormatting sqref="BO58">
    <cfRule type="duplicateValues" dxfId="0" priority="85"/>
  </conditionalFormatting>
  <conditionalFormatting sqref="BG59">
    <cfRule type="duplicateValues" dxfId="0" priority="112"/>
  </conditionalFormatting>
  <conditionalFormatting sqref="BK59">
    <cfRule type="duplicateValues" dxfId="0" priority="98"/>
  </conditionalFormatting>
  <conditionalFormatting sqref="BO59">
    <cfRule type="duplicateValues" dxfId="0" priority="84"/>
  </conditionalFormatting>
  <conditionalFormatting sqref="BG60">
    <cfRule type="duplicateValues" dxfId="0" priority="111"/>
  </conditionalFormatting>
  <conditionalFormatting sqref="BK60">
    <cfRule type="duplicateValues" dxfId="0" priority="97"/>
  </conditionalFormatting>
  <conditionalFormatting sqref="BO60">
    <cfRule type="duplicateValues" dxfId="0" priority="83"/>
  </conditionalFormatting>
  <conditionalFormatting sqref="BG61">
    <cfRule type="duplicateValues" dxfId="0" priority="110"/>
  </conditionalFormatting>
  <conditionalFormatting sqref="BK61">
    <cfRule type="duplicateValues" dxfId="0" priority="96"/>
  </conditionalFormatting>
  <conditionalFormatting sqref="BO61">
    <cfRule type="duplicateValues" dxfId="0" priority="82"/>
  </conditionalFormatting>
  <conditionalFormatting sqref="BG62">
    <cfRule type="duplicateValues" dxfId="0" priority="56"/>
  </conditionalFormatting>
  <conditionalFormatting sqref="BK62">
    <cfRule type="duplicateValues" dxfId="0" priority="42"/>
  </conditionalFormatting>
  <conditionalFormatting sqref="BO62">
    <cfRule type="duplicateValues" dxfId="0" priority="28"/>
  </conditionalFormatting>
  <conditionalFormatting sqref="BG63">
    <cfRule type="duplicateValues" dxfId="0" priority="49"/>
  </conditionalFormatting>
  <conditionalFormatting sqref="BK63">
    <cfRule type="duplicateValues" dxfId="0" priority="35"/>
  </conditionalFormatting>
  <conditionalFormatting sqref="BO63">
    <cfRule type="duplicateValues" dxfId="0" priority="21"/>
  </conditionalFormatting>
  <conditionalFormatting sqref="BG64">
    <cfRule type="duplicateValues" dxfId="0" priority="54"/>
  </conditionalFormatting>
  <conditionalFormatting sqref="BK64">
    <cfRule type="duplicateValues" dxfId="0" priority="40"/>
  </conditionalFormatting>
  <conditionalFormatting sqref="BO64">
    <cfRule type="duplicateValues" dxfId="0" priority="26"/>
  </conditionalFormatting>
  <conditionalFormatting sqref="BG65">
    <cfRule type="duplicateValues" dxfId="0" priority="47"/>
  </conditionalFormatting>
  <conditionalFormatting sqref="BK65">
    <cfRule type="duplicateValues" dxfId="0" priority="33"/>
  </conditionalFormatting>
  <conditionalFormatting sqref="BO65">
    <cfRule type="duplicateValues" dxfId="0" priority="19"/>
  </conditionalFormatting>
  <conditionalFormatting sqref="BG66">
    <cfRule type="duplicateValues" dxfId="0" priority="57"/>
  </conditionalFormatting>
  <conditionalFormatting sqref="BK66">
    <cfRule type="duplicateValues" dxfId="0" priority="43"/>
  </conditionalFormatting>
  <conditionalFormatting sqref="BO66">
    <cfRule type="duplicateValues" dxfId="0" priority="29"/>
  </conditionalFormatting>
  <conditionalFormatting sqref="BG67">
    <cfRule type="duplicateValues" dxfId="0" priority="60"/>
  </conditionalFormatting>
  <conditionalFormatting sqref="BK67">
    <cfRule type="duplicateValues" dxfId="0" priority="46"/>
  </conditionalFormatting>
  <conditionalFormatting sqref="BO67">
    <cfRule type="duplicateValues" dxfId="0" priority="32"/>
  </conditionalFormatting>
  <conditionalFormatting sqref="BG68">
    <cfRule type="duplicateValues" dxfId="0" priority="55"/>
  </conditionalFormatting>
  <conditionalFormatting sqref="BK68">
    <cfRule type="duplicateValues" dxfId="0" priority="41"/>
  </conditionalFormatting>
  <conditionalFormatting sqref="BO68">
    <cfRule type="duplicateValues" dxfId="0" priority="27"/>
  </conditionalFormatting>
  <conditionalFormatting sqref="BG69">
    <cfRule type="duplicateValues" dxfId="0" priority="50"/>
  </conditionalFormatting>
  <conditionalFormatting sqref="BK69">
    <cfRule type="duplicateValues" dxfId="0" priority="36"/>
  </conditionalFormatting>
  <conditionalFormatting sqref="BO69">
    <cfRule type="duplicateValues" dxfId="0" priority="22"/>
  </conditionalFormatting>
  <conditionalFormatting sqref="BG70">
    <cfRule type="duplicateValues" dxfId="0" priority="53"/>
  </conditionalFormatting>
  <conditionalFormatting sqref="BK70">
    <cfRule type="duplicateValues" dxfId="0" priority="39"/>
  </conditionalFormatting>
  <conditionalFormatting sqref="BO70">
    <cfRule type="duplicateValues" dxfId="0" priority="25"/>
  </conditionalFormatting>
  <conditionalFormatting sqref="BG71">
    <cfRule type="duplicateValues" dxfId="0" priority="48"/>
  </conditionalFormatting>
  <conditionalFormatting sqref="BK71">
    <cfRule type="duplicateValues" dxfId="0" priority="34"/>
  </conditionalFormatting>
  <conditionalFormatting sqref="BO71">
    <cfRule type="duplicateValues" dxfId="0" priority="20"/>
  </conditionalFormatting>
  <conditionalFormatting sqref="BG72">
    <cfRule type="duplicateValues" dxfId="0" priority="58"/>
  </conditionalFormatting>
  <conditionalFormatting sqref="BK72">
    <cfRule type="duplicateValues" dxfId="0" priority="44"/>
  </conditionalFormatting>
  <conditionalFormatting sqref="BO72">
    <cfRule type="duplicateValues" dxfId="0" priority="30"/>
  </conditionalFormatting>
  <conditionalFormatting sqref="BG73">
    <cfRule type="duplicateValues" dxfId="0" priority="59"/>
  </conditionalFormatting>
  <conditionalFormatting sqref="BK73">
    <cfRule type="duplicateValues" dxfId="0" priority="45"/>
  </conditionalFormatting>
  <conditionalFormatting sqref="BO73">
    <cfRule type="duplicateValues" dxfId="0" priority="31"/>
  </conditionalFormatting>
  <conditionalFormatting sqref="BG74">
    <cfRule type="duplicateValues" dxfId="0" priority="51"/>
  </conditionalFormatting>
  <conditionalFormatting sqref="BK74">
    <cfRule type="duplicateValues" dxfId="0" priority="37"/>
  </conditionalFormatting>
  <conditionalFormatting sqref="BO74">
    <cfRule type="duplicateValues" dxfId="0" priority="23"/>
  </conditionalFormatting>
  <conditionalFormatting sqref="BG75">
    <cfRule type="duplicateValues" dxfId="0" priority="52"/>
  </conditionalFormatting>
  <conditionalFormatting sqref="BK75">
    <cfRule type="duplicateValues" dxfId="0" priority="38"/>
  </conditionalFormatting>
  <conditionalFormatting sqref="BO75">
    <cfRule type="duplicateValues" dxfId="0" priority="24"/>
  </conditionalFormatting>
  <conditionalFormatting sqref="BG2 BO2 BK2 BG163:BG1048576 BK163:BK1048576 BO163:BO1048576">
    <cfRule type="duplicateValues" dxfId="0" priority="290"/>
  </conditionalFormatting>
  <conditionalFormatting sqref="BO3:BO8 BK3:BK8 BG3:BG8 BO15:BO18 BK20 BO20 BG20 BG15:BG18 BK15:BK18 BO26:BO28 BG26:BG28 BK26:BK28 BG23 BK23 BO23 BO32:BO33 BG32:BG33 BK32:BK33 BO37 BK35 BK41 BO41 BG39 BO39 BG37 BK37 BG35 BO35 BK39 BG41">
    <cfRule type="duplicateValues" dxfId="0" priority="282"/>
  </conditionalFormatting>
  <conditionalFormatting sqref="BO9:BO14 BK9:BK14 BG9:BG14">
    <cfRule type="duplicateValues" dxfId="0" priority="7"/>
  </conditionalFormatting>
  <conditionalFormatting sqref="BO19 BG19 BK19">
    <cfRule type="duplicateValues" dxfId="0" priority="226"/>
  </conditionalFormatting>
  <conditionalFormatting sqref="BO21 BK21 BG21">
    <cfRule type="duplicateValues" dxfId="0" priority="17"/>
  </conditionalFormatting>
  <conditionalFormatting sqref="BO22 BK22 BG22">
    <cfRule type="duplicateValues" dxfId="0" priority="151"/>
  </conditionalFormatting>
  <conditionalFormatting sqref="BO24 BK24 BG24">
    <cfRule type="duplicateValues" dxfId="0" priority="262"/>
  </conditionalFormatting>
  <conditionalFormatting sqref="BO25 BK25 BG25">
    <cfRule type="duplicateValues" dxfId="0" priority="260"/>
  </conditionalFormatting>
  <conditionalFormatting sqref="BO29 BG29 BK29">
    <cfRule type="duplicateValues" dxfId="0" priority="1"/>
  </conditionalFormatting>
  <conditionalFormatting sqref="BO30 BG30 BK30">
    <cfRule type="duplicateValues" dxfId="0" priority="2"/>
  </conditionalFormatting>
  <conditionalFormatting sqref="BO31 BG31 BK31">
    <cfRule type="duplicateValues" dxfId="0" priority="9"/>
  </conditionalFormatting>
  <conditionalFormatting sqref="BO34 BK34 BG34">
    <cfRule type="duplicateValues" dxfId="0" priority="258"/>
  </conditionalFormatting>
  <conditionalFormatting sqref="BO36 BG36 BK36">
    <cfRule type="duplicateValues" dxfId="0" priority="256"/>
  </conditionalFormatting>
  <conditionalFormatting sqref="BO38 BG38 BK38">
    <cfRule type="duplicateValues" dxfId="0" priority="254"/>
  </conditionalFormatting>
  <conditionalFormatting sqref="BO40 BG40 BK40">
    <cfRule type="duplicateValues" dxfId="0" priority="252"/>
  </conditionalFormatting>
  <conditionalFormatting sqref="BO42 BK42 BG42">
    <cfRule type="duplicateValues" dxfId="0" priority="250"/>
  </conditionalFormatting>
  <conditionalFormatting sqref="BO43 BG43 BK43">
    <cfRule type="duplicateValues" dxfId="0" priority="236"/>
  </conditionalFormatting>
  <conditionalFormatting sqref="BG44:BG48 BK52 BG52 BK47 BK44 BO52 BO47 BO44 BO76:BO77 BK79:BK133 BO79:BO133 BK76:BK77 BG76:BG77 BG79:BG133">
    <cfRule type="duplicateValues" dxfId="0" priority="248"/>
  </conditionalFormatting>
  <conditionalFormatting sqref="BK46 BO46">
    <cfRule type="duplicateValues" dxfId="0" priority="246"/>
  </conditionalFormatting>
  <conditionalFormatting sqref="BO78 BG78 BK78">
    <cfRule type="duplicateValues" dxfId="0" priority="75"/>
  </conditionalFormatting>
  <conditionalFormatting sqref="BG134 BO134 BK134">
    <cfRule type="duplicateValues" dxfId="0" priority="213"/>
  </conditionalFormatting>
  <conditionalFormatting sqref="BG135 BO135 BK135">
    <cfRule type="duplicateValues" dxfId="0" priority="212"/>
  </conditionalFormatting>
  <conditionalFormatting sqref="BG136 BO136 BK136">
    <cfRule type="duplicateValues" dxfId="0" priority="211"/>
  </conditionalFormatting>
  <conditionalFormatting sqref="BG137 BK137 BO137">
    <cfRule type="duplicateValues" dxfId="0" priority="148"/>
  </conditionalFormatting>
  <conditionalFormatting sqref="BG138 BO138 BK138">
    <cfRule type="duplicateValues" dxfId="0" priority="137"/>
  </conditionalFormatting>
  <conditionalFormatting sqref="BG139 BO139 BK139">
    <cfRule type="duplicateValues" dxfId="0" priority="147"/>
  </conditionalFormatting>
  <conditionalFormatting sqref="BG140 BO140 BK140">
    <cfRule type="duplicateValues" dxfId="0" priority="145"/>
  </conditionalFormatting>
  <conditionalFormatting sqref="BG141 BO141 BK141">
    <cfRule type="duplicateValues" dxfId="0" priority="142"/>
  </conditionalFormatting>
  <conditionalFormatting sqref="BG142 BO142 BK142">
    <cfRule type="duplicateValues" dxfId="0" priority="141"/>
  </conditionalFormatting>
  <conditionalFormatting sqref="BG143 BK143 BO143">
    <cfRule type="duplicateValues" dxfId="0" priority="133"/>
  </conditionalFormatting>
  <conditionalFormatting sqref="BG144 BO144 BK144">
    <cfRule type="duplicateValues" dxfId="0" priority="135"/>
  </conditionalFormatting>
  <conditionalFormatting sqref="BG145 BK145 BO145">
    <cfRule type="duplicateValues" dxfId="0" priority="139"/>
  </conditionalFormatting>
  <conditionalFormatting sqref="BG146 BO146 BK146">
    <cfRule type="duplicateValues" dxfId="0" priority="210"/>
  </conditionalFormatting>
  <conditionalFormatting sqref="BG147 BO147 BK147">
    <cfRule type="duplicateValues" dxfId="0" priority="209"/>
  </conditionalFormatting>
  <conditionalFormatting sqref="BG148 BK148 BO148">
    <cfRule type="duplicateValues" dxfId="0" priority="166"/>
  </conditionalFormatting>
  <conditionalFormatting sqref="BG149 BK149 BO149">
    <cfRule type="duplicateValues" dxfId="0" priority="165"/>
  </conditionalFormatting>
  <conditionalFormatting sqref="BG150 BK150 BO150">
    <cfRule type="duplicateValues" dxfId="0" priority="164"/>
  </conditionalFormatting>
  <conditionalFormatting sqref="BG151 BK151 BO151">
    <cfRule type="duplicateValues" dxfId="0" priority="163"/>
  </conditionalFormatting>
  <conditionalFormatting sqref="BG152 BO152 BK152">
    <cfRule type="duplicateValues" dxfId="0" priority="179"/>
  </conditionalFormatting>
  <conditionalFormatting sqref="BG153 BO153 BK153">
    <cfRule type="duplicateValues" dxfId="0" priority="178"/>
  </conditionalFormatting>
  <conditionalFormatting sqref="BG154 BO154 BK154">
    <cfRule type="duplicateValues" dxfId="0" priority="177"/>
  </conditionalFormatting>
  <conditionalFormatting sqref="BG155 BO155 BK155">
    <cfRule type="duplicateValues" dxfId="0" priority="159"/>
  </conditionalFormatting>
  <conditionalFormatting sqref="BG156 BO156 BK156">
    <cfRule type="duplicateValues" dxfId="0" priority="158"/>
  </conditionalFormatting>
  <conditionalFormatting sqref="BG157 BK157 BO157">
    <cfRule type="duplicateValues" dxfId="0" priority="155"/>
  </conditionalFormatting>
  <conditionalFormatting sqref="BG158 BK158 BO158">
    <cfRule type="duplicateValues" dxfId="0" priority="157"/>
  </conditionalFormatting>
  <conditionalFormatting sqref="BG159 BO159 BK159">
    <cfRule type="duplicateValues" dxfId="0" priority="6"/>
  </conditionalFormatting>
  <conditionalFormatting sqref="BG160 BO160 BK160">
    <cfRule type="duplicateValues" dxfId="0" priority="5"/>
  </conditionalFormatting>
  <conditionalFormatting sqref="BG161 BK161 BO161">
    <cfRule type="duplicateValues" dxfId="0" priority="3"/>
  </conditionalFormatting>
  <conditionalFormatting sqref="BG162 BK162 BO162">
    <cfRule type="duplicateValues" dxfId="0" priority="4"/>
  </conditionalFormatting>
  <pageMargins left="0.984251968503937" right="0.78740157480315" top="0.826771653543307" bottom="0.748031496062992" header="0.393700787401575" footer="0.236220472440945"/>
  <pageSetup paperSize="8" scale="28" fitToHeight="0" orientation="landscape"/>
  <headerFooter>
    <oddHeader>&amp;LB113子项IO分站清单
B/CFC&amp;CR2-DCS-D-SJ-113-X-LST-ES-005
B113子项主系统IO分站清单&amp;R
P&amp;P+10 / P18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5"/>
  <dimension ref="A1:S104"/>
  <sheetViews>
    <sheetView workbookViewId="0">
      <selection activeCell="A1" sqref="A1"/>
    </sheetView>
  </sheetViews>
  <sheetFormatPr defaultColWidth="9" defaultRowHeight="14.25"/>
  <cols>
    <col min="1" max="1" width="14.125" customWidth="1"/>
    <col min="2" max="2" width="9.125" customWidth="1"/>
    <col min="3" max="3" width="4.5" customWidth="1"/>
    <col min="4" max="17" width="3.5" customWidth="1"/>
    <col min="18" max="18" width="6.5" customWidth="1"/>
    <col min="19" max="19" width="5.5" customWidth="1"/>
  </cols>
  <sheetData>
    <row r="1" spans="1:2">
      <c r="A1" t="s">
        <v>473</v>
      </c>
      <c r="B1" t="s">
        <v>474</v>
      </c>
    </row>
    <row r="2" spans="1:19">
      <c r="A2" t="s">
        <v>475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 t="s">
        <v>476</v>
      </c>
      <c r="S2" t="s">
        <v>477</v>
      </c>
    </row>
    <row r="3" spans="1:19">
      <c r="A3" s="149" t="s">
        <v>478</v>
      </c>
      <c r="B3" s="150">
        <v>85</v>
      </c>
      <c r="C3" s="150">
        <v>54</v>
      </c>
      <c r="D3" s="150">
        <v>6</v>
      </c>
      <c r="E3" s="150">
        <v>6</v>
      </c>
      <c r="F3" s="150">
        <v>6</v>
      </c>
      <c r="G3" s="150">
        <v>6</v>
      </c>
      <c r="H3" s="150">
        <v>6</v>
      </c>
      <c r="I3" s="150">
        <v>6</v>
      </c>
      <c r="J3" s="150">
        <v>4</v>
      </c>
      <c r="K3" s="150">
        <v>4</v>
      </c>
      <c r="L3" s="150">
        <v>4</v>
      </c>
      <c r="M3" s="150">
        <v>4</v>
      </c>
      <c r="N3" s="150">
        <v>4</v>
      </c>
      <c r="O3" s="150">
        <v>4</v>
      </c>
      <c r="P3" s="150">
        <v>4</v>
      </c>
      <c r="Q3" s="150">
        <v>4</v>
      </c>
      <c r="R3" s="150"/>
      <c r="S3" s="150">
        <v>207</v>
      </c>
    </row>
    <row r="4" spans="1:19">
      <c r="A4" s="151" t="s">
        <v>479</v>
      </c>
      <c r="B4" s="150">
        <v>1</v>
      </c>
      <c r="C4" s="150">
        <v>1</v>
      </c>
      <c r="D4" s="150">
        <v>1</v>
      </c>
      <c r="E4" s="150">
        <v>1</v>
      </c>
      <c r="F4" s="150">
        <v>1</v>
      </c>
      <c r="G4" s="150">
        <v>1</v>
      </c>
      <c r="H4" s="150">
        <v>1</v>
      </c>
      <c r="I4" s="150">
        <v>1</v>
      </c>
      <c r="J4" s="150"/>
      <c r="K4" s="150"/>
      <c r="L4" s="150"/>
      <c r="M4" s="150"/>
      <c r="N4" s="150"/>
      <c r="O4" s="150"/>
      <c r="P4" s="150"/>
      <c r="Q4" s="150"/>
      <c r="R4" s="150"/>
      <c r="S4" s="150">
        <v>8</v>
      </c>
    </row>
    <row r="5" spans="1:19">
      <c r="A5" s="151" t="s">
        <v>480</v>
      </c>
      <c r="B5" s="150">
        <v>1</v>
      </c>
      <c r="C5" s="150">
        <v>1</v>
      </c>
      <c r="D5" s="150">
        <v>1</v>
      </c>
      <c r="E5" s="150">
        <v>1</v>
      </c>
      <c r="F5" s="150">
        <v>1</v>
      </c>
      <c r="G5" s="150">
        <v>1</v>
      </c>
      <c r="H5" s="150">
        <v>1</v>
      </c>
      <c r="I5" s="150">
        <v>1</v>
      </c>
      <c r="J5" s="150">
        <v>1</v>
      </c>
      <c r="K5" s="150">
        <v>1</v>
      </c>
      <c r="L5" s="150">
        <v>1</v>
      </c>
      <c r="M5" s="150">
        <v>1</v>
      </c>
      <c r="N5" s="150">
        <v>1</v>
      </c>
      <c r="O5" s="150">
        <v>1</v>
      </c>
      <c r="P5" s="150">
        <v>1</v>
      </c>
      <c r="Q5" s="150">
        <v>1</v>
      </c>
      <c r="R5" s="150"/>
      <c r="S5" s="150">
        <v>16</v>
      </c>
    </row>
    <row r="6" spans="1:19">
      <c r="A6" s="151" t="s">
        <v>481</v>
      </c>
      <c r="B6" s="150">
        <v>1</v>
      </c>
      <c r="C6" s="150">
        <v>1</v>
      </c>
      <c r="D6" s="150">
        <v>1</v>
      </c>
      <c r="E6" s="150">
        <v>1</v>
      </c>
      <c r="F6" s="150">
        <v>1</v>
      </c>
      <c r="G6" s="150">
        <v>1</v>
      </c>
      <c r="H6" s="150">
        <v>1</v>
      </c>
      <c r="I6" s="150">
        <v>1</v>
      </c>
      <c r="J6" s="150">
        <v>1</v>
      </c>
      <c r="K6" s="150">
        <v>1</v>
      </c>
      <c r="L6" s="150">
        <v>1</v>
      </c>
      <c r="M6" s="150">
        <v>1</v>
      </c>
      <c r="N6" s="150">
        <v>1</v>
      </c>
      <c r="O6" s="150">
        <v>1</v>
      </c>
      <c r="P6" s="150">
        <v>1</v>
      </c>
      <c r="Q6" s="150">
        <v>1</v>
      </c>
      <c r="R6" s="150"/>
      <c r="S6" s="150">
        <v>16</v>
      </c>
    </row>
    <row r="7" spans="1:19">
      <c r="A7" s="151" t="s">
        <v>482</v>
      </c>
      <c r="B7" s="150">
        <v>1</v>
      </c>
      <c r="C7" s="150">
        <v>1</v>
      </c>
      <c r="D7" s="150">
        <v>1</v>
      </c>
      <c r="E7" s="150">
        <v>1</v>
      </c>
      <c r="F7" s="150">
        <v>1</v>
      </c>
      <c r="G7" s="150">
        <v>1</v>
      </c>
      <c r="H7" s="150">
        <v>1</v>
      </c>
      <c r="I7" s="150">
        <v>1</v>
      </c>
      <c r="J7" s="150"/>
      <c r="K7" s="150"/>
      <c r="L7" s="150"/>
      <c r="M7" s="150"/>
      <c r="N7" s="150"/>
      <c r="O7" s="150"/>
      <c r="P7" s="150"/>
      <c r="Q7" s="150"/>
      <c r="R7" s="150"/>
      <c r="S7" s="150">
        <v>8</v>
      </c>
    </row>
    <row r="8" spans="1:19">
      <c r="A8" s="151" t="s">
        <v>483</v>
      </c>
      <c r="B8" s="150">
        <v>39</v>
      </c>
      <c r="C8" s="150">
        <v>17</v>
      </c>
      <c r="D8" s="150"/>
      <c r="E8" s="150"/>
      <c r="F8" s="150"/>
      <c r="G8" s="150"/>
      <c r="H8" s="150"/>
      <c r="I8" s="150"/>
      <c r="J8" s="150"/>
      <c r="K8" s="150"/>
      <c r="L8" s="150"/>
      <c r="M8" s="150"/>
      <c r="N8" s="150"/>
      <c r="O8" s="150"/>
      <c r="P8" s="150"/>
      <c r="Q8" s="150"/>
      <c r="R8" s="150"/>
      <c r="S8" s="150">
        <v>56</v>
      </c>
    </row>
    <row r="9" spans="1:19">
      <c r="A9" s="151" t="s">
        <v>484</v>
      </c>
      <c r="B9" s="150">
        <v>12</v>
      </c>
      <c r="C9" s="150"/>
      <c r="D9" s="150"/>
      <c r="E9" s="150"/>
      <c r="F9" s="150"/>
      <c r="G9" s="150"/>
      <c r="H9" s="150"/>
      <c r="I9" s="150"/>
      <c r="J9" s="150"/>
      <c r="K9" s="150"/>
      <c r="L9" s="150"/>
      <c r="M9" s="150"/>
      <c r="N9" s="150"/>
      <c r="O9" s="150"/>
      <c r="P9" s="150"/>
      <c r="Q9" s="150"/>
      <c r="R9" s="150"/>
      <c r="S9" s="150">
        <v>12</v>
      </c>
    </row>
    <row r="10" spans="1:19">
      <c r="A10" s="151" t="s">
        <v>485</v>
      </c>
      <c r="B10" s="150">
        <v>15</v>
      </c>
      <c r="C10" s="150">
        <v>20</v>
      </c>
      <c r="D10" s="150"/>
      <c r="E10" s="150"/>
      <c r="F10" s="150"/>
      <c r="G10" s="150"/>
      <c r="H10" s="150"/>
      <c r="I10" s="150"/>
      <c r="J10" s="150"/>
      <c r="K10" s="150"/>
      <c r="L10" s="150"/>
      <c r="M10" s="150"/>
      <c r="N10" s="150"/>
      <c r="O10" s="150"/>
      <c r="P10" s="150"/>
      <c r="Q10" s="150"/>
      <c r="R10" s="150"/>
      <c r="S10" s="150">
        <v>35</v>
      </c>
    </row>
    <row r="11" spans="1:19">
      <c r="A11" s="151" t="s">
        <v>486</v>
      </c>
      <c r="B11" s="150">
        <v>6</v>
      </c>
      <c r="C11" s="150">
        <v>6</v>
      </c>
      <c r="D11" s="150"/>
      <c r="E11" s="150"/>
      <c r="F11" s="150"/>
      <c r="G11" s="150"/>
      <c r="H11" s="150"/>
      <c r="I11" s="150"/>
      <c r="J11" s="150"/>
      <c r="K11" s="150"/>
      <c r="L11" s="150"/>
      <c r="M11" s="150"/>
      <c r="N11" s="150"/>
      <c r="O11" s="150"/>
      <c r="P11" s="150"/>
      <c r="Q11" s="150"/>
      <c r="R11" s="150"/>
      <c r="S11" s="150">
        <v>12</v>
      </c>
    </row>
    <row r="12" spans="1:19">
      <c r="A12" s="151" t="s">
        <v>487</v>
      </c>
      <c r="B12" s="150">
        <v>2</v>
      </c>
      <c r="C12" s="150">
        <v>5</v>
      </c>
      <c r="D12" s="150"/>
      <c r="E12" s="150"/>
      <c r="F12" s="150"/>
      <c r="G12" s="150"/>
      <c r="H12" s="150"/>
      <c r="I12" s="150"/>
      <c r="J12" s="150"/>
      <c r="K12" s="150"/>
      <c r="L12" s="150"/>
      <c r="M12" s="150"/>
      <c r="N12" s="150"/>
      <c r="O12" s="150"/>
      <c r="P12" s="150"/>
      <c r="Q12" s="150"/>
      <c r="R12" s="150"/>
      <c r="S12" s="150">
        <v>7</v>
      </c>
    </row>
    <row r="13" spans="1:19">
      <c r="A13" s="151" t="s">
        <v>488</v>
      </c>
      <c r="B13" s="150">
        <v>5</v>
      </c>
      <c r="C13" s="150"/>
      <c r="D13" s="150"/>
      <c r="E13" s="150"/>
      <c r="F13" s="150"/>
      <c r="G13" s="150"/>
      <c r="H13" s="150"/>
      <c r="I13" s="150"/>
      <c r="J13" s="150"/>
      <c r="K13" s="150"/>
      <c r="L13" s="150"/>
      <c r="M13" s="150"/>
      <c r="N13" s="150"/>
      <c r="O13" s="150"/>
      <c r="P13" s="150"/>
      <c r="Q13" s="150"/>
      <c r="R13" s="150"/>
      <c r="S13" s="150">
        <v>5</v>
      </c>
    </row>
    <row r="14" spans="1:19">
      <c r="A14" s="151" t="s">
        <v>489</v>
      </c>
      <c r="B14" s="150">
        <v>1</v>
      </c>
      <c r="C14" s="150">
        <v>1</v>
      </c>
      <c r="D14" s="150">
        <v>1</v>
      </c>
      <c r="E14" s="150">
        <v>1</v>
      </c>
      <c r="F14" s="150">
        <v>1</v>
      </c>
      <c r="G14" s="150">
        <v>1</v>
      </c>
      <c r="H14" s="150">
        <v>1</v>
      </c>
      <c r="I14" s="150">
        <v>1</v>
      </c>
      <c r="J14" s="150">
        <v>1</v>
      </c>
      <c r="K14" s="150">
        <v>1</v>
      </c>
      <c r="L14" s="150">
        <v>1</v>
      </c>
      <c r="M14" s="150">
        <v>1</v>
      </c>
      <c r="N14" s="150">
        <v>1</v>
      </c>
      <c r="O14" s="150">
        <v>1</v>
      </c>
      <c r="P14" s="150">
        <v>1</v>
      </c>
      <c r="Q14" s="150">
        <v>1</v>
      </c>
      <c r="R14" s="150"/>
      <c r="S14" s="150">
        <v>16</v>
      </c>
    </row>
    <row r="15" spans="1:19">
      <c r="A15" s="151" t="s">
        <v>490</v>
      </c>
      <c r="B15" s="150">
        <v>1</v>
      </c>
      <c r="C15" s="150">
        <v>1</v>
      </c>
      <c r="D15" s="150">
        <v>1</v>
      </c>
      <c r="E15" s="150">
        <v>1</v>
      </c>
      <c r="F15" s="150">
        <v>1</v>
      </c>
      <c r="G15" s="150">
        <v>1</v>
      </c>
      <c r="H15" s="150">
        <v>1</v>
      </c>
      <c r="I15" s="150">
        <v>1</v>
      </c>
      <c r="J15" s="150">
        <v>1</v>
      </c>
      <c r="K15" s="150">
        <v>1</v>
      </c>
      <c r="L15" s="150">
        <v>1</v>
      </c>
      <c r="M15" s="150">
        <v>1</v>
      </c>
      <c r="N15" s="150">
        <v>1</v>
      </c>
      <c r="O15" s="150">
        <v>1</v>
      </c>
      <c r="P15" s="150">
        <v>1</v>
      </c>
      <c r="Q15" s="150">
        <v>1</v>
      </c>
      <c r="R15" s="150"/>
      <c r="S15" s="150">
        <v>16</v>
      </c>
    </row>
    <row r="16" spans="1:19">
      <c r="A16" s="149" t="s">
        <v>491</v>
      </c>
      <c r="B16" s="150">
        <v>28</v>
      </c>
      <c r="C16" s="150">
        <v>28</v>
      </c>
      <c r="D16" s="150">
        <v>28</v>
      </c>
      <c r="E16" s="150">
        <v>28</v>
      </c>
      <c r="F16" s="150">
        <v>28</v>
      </c>
      <c r="G16" s="150">
        <v>28</v>
      </c>
      <c r="H16" s="150">
        <v>28</v>
      </c>
      <c r="I16" s="150">
        <v>28</v>
      </c>
      <c r="J16" s="150">
        <v>15</v>
      </c>
      <c r="K16" s="150">
        <v>15</v>
      </c>
      <c r="L16" s="150">
        <v>15</v>
      </c>
      <c r="M16" s="150">
        <v>15</v>
      </c>
      <c r="N16" s="150">
        <v>15</v>
      </c>
      <c r="O16" s="150">
        <v>15</v>
      </c>
      <c r="P16" s="150">
        <v>15</v>
      </c>
      <c r="Q16" s="150">
        <v>15</v>
      </c>
      <c r="R16" s="150"/>
      <c r="S16" s="150">
        <v>344</v>
      </c>
    </row>
    <row r="17" spans="1:19">
      <c r="A17" s="151" t="s">
        <v>479</v>
      </c>
      <c r="B17" s="150">
        <v>1</v>
      </c>
      <c r="C17" s="150">
        <v>1</v>
      </c>
      <c r="D17" s="150">
        <v>1</v>
      </c>
      <c r="E17" s="150">
        <v>1</v>
      </c>
      <c r="F17" s="150">
        <v>1</v>
      </c>
      <c r="G17" s="150">
        <v>1</v>
      </c>
      <c r="H17" s="150">
        <v>1</v>
      </c>
      <c r="I17" s="150">
        <v>1</v>
      </c>
      <c r="J17" s="150"/>
      <c r="K17" s="150"/>
      <c r="L17" s="150"/>
      <c r="M17" s="150"/>
      <c r="N17" s="150"/>
      <c r="O17" s="150"/>
      <c r="P17" s="150"/>
      <c r="Q17" s="150"/>
      <c r="R17" s="150"/>
      <c r="S17" s="150">
        <v>8</v>
      </c>
    </row>
    <row r="18" spans="1:19">
      <c r="A18" s="151" t="s">
        <v>492</v>
      </c>
      <c r="B18" s="150">
        <v>1</v>
      </c>
      <c r="C18" s="150">
        <v>1</v>
      </c>
      <c r="D18" s="150">
        <v>1</v>
      </c>
      <c r="E18" s="150">
        <v>1</v>
      </c>
      <c r="F18" s="150">
        <v>1</v>
      </c>
      <c r="G18" s="150">
        <v>1</v>
      </c>
      <c r="H18" s="150">
        <v>1</v>
      </c>
      <c r="I18" s="150">
        <v>1</v>
      </c>
      <c r="J18" s="150"/>
      <c r="K18" s="150"/>
      <c r="L18" s="150"/>
      <c r="M18" s="150"/>
      <c r="N18" s="150"/>
      <c r="O18" s="150"/>
      <c r="P18" s="150"/>
      <c r="Q18" s="150"/>
      <c r="R18" s="150"/>
      <c r="S18" s="150">
        <v>8</v>
      </c>
    </row>
    <row r="19" spans="1:19">
      <c r="A19" s="151" t="s">
        <v>493</v>
      </c>
      <c r="B19" s="150">
        <v>1</v>
      </c>
      <c r="C19" s="150">
        <v>1</v>
      </c>
      <c r="D19" s="150">
        <v>1</v>
      </c>
      <c r="E19" s="150">
        <v>1</v>
      </c>
      <c r="F19" s="150">
        <v>1</v>
      </c>
      <c r="G19" s="150">
        <v>1</v>
      </c>
      <c r="H19" s="150">
        <v>1</v>
      </c>
      <c r="I19" s="150">
        <v>1</v>
      </c>
      <c r="J19" s="150"/>
      <c r="K19" s="150"/>
      <c r="L19" s="150"/>
      <c r="M19" s="150"/>
      <c r="N19" s="150"/>
      <c r="O19" s="150"/>
      <c r="P19" s="150"/>
      <c r="Q19" s="150"/>
      <c r="R19" s="150"/>
      <c r="S19" s="150">
        <v>8</v>
      </c>
    </row>
    <row r="20" spans="1:19">
      <c r="A20" s="151" t="s">
        <v>494</v>
      </c>
      <c r="B20" s="150">
        <v>1</v>
      </c>
      <c r="C20" s="150">
        <v>1</v>
      </c>
      <c r="D20" s="150">
        <v>1</v>
      </c>
      <c r="E20" s="150">
        <v>1</v>
      </c>
      <c r="F20" s="150">
        <v>1</v>
      </c>
      <c r="G20" s="150">
        <v>1</v>
      </c>
      <c r="H20" s="150">
        <v>1</v>
      </c>
      <c r="I20" s="150">
        <v>1</v>
      </c>
      <c r="J20" s="150"/>
      <c r="K20" s="150"/>
      <c r="L20" s="150"/>
      <c r="M20" s="150"/>
      <c r="N20" s="150"/>
      <c r="O20" s="150"/>
      <c r="P20" s="150"/>
      <c r="Q20" s="150"/>
      <c r="R20" s="150"/>
      <c r="S20" s="150">
        <v>8</v>
      </c>
    </row>
    <row r="21" spans="1:19">
      <c r="A21" s="151" t="s">
        <v>495</v>
      </c>
      <c r="B21" s="150">
        <v>1</v>
      </c>
      <c r="C21" s="150">
        <v>1</v>
      </c>
      <c r="D21" s="150">
        <v>1</v>
      </c>
      <c r="E21" s="150">
        <v>1</v>
      </c>
      <c r="F21" s="150">
        <v>1</v>
      </c>
      <c r="G21" s="150">
        <v>1</v>
      </c>
      <c r="H21" s="150">
        <v>1</v>
      </c>
      <c r="I21" s="150">
        <v>1</v>
      </c>
      <c r="J21" s="150"/>
      <c r="K21" s="150"/>
      <c r="L21" s="150"/>
      <c r="M21" s="150"/>
      <c r="N21" s="150"/>
      <c r="O21" s="150"/>
      <c r="P21" s="150"/>
      <c r="Q21" s="150"/>
      <c r="R21" s="150"/>
      <c r="S21" s="150">
        <v>8</v>
      </c>
    </row>
    <row r="22" spans="1:19">
      <c r="A22" s="151" t="s">
        <v>496</v>
      </c>
      <c r="B22" s="150">
        <v>1</v>
      </c>
      <c r="C22" s="150">
        <v>1</v>
      </c>
      <c r="D22" s="150">
        <v>1</v>
      </c>
      <c r="E22" s="150">
        <v>1</v>
      </c>
      <c r="F22" s="150">
        <v>1</v>
      </c>
      <c r="G22" s="150">
        <v>1</v>
      </c>
      <c r="H22" s="150">
        <v>1</v>
      </c>
      <c r="I22" s="150">
        <v>1</v>
      </c>
      <c r="J22" s="150"/>
      <c r="K22" s="150"/>
      <c r="L22" s="150"/>
      <c r="M22" s="150"/>
      <c r="N22" s="150"/>
      <c r="O22" s="150"/>
      <c r="P22" s="150"/>
      <c r="Q22" s="150"/>
      <c r="R22" s="150"/>
      <c r="S22" s="150">
        <v>8</v>
      </c>
    </row>
    <row r="23" spans="1:19">
      <c r="A23" s="151" t="s">
        <v>497</v>
      </c>
      <c r="B23" s="150">
        <v>1</v>
      </c>
      <c r="C23" s="150">
        <v>1</v>
      </c>
      <c r="D23" s="150">
        <v>1</v>
      </c>
      <c r="E23" s="150">
        <v>1</v>
      </c>
      <c r="F23" s="150">
        <v>1</v>
      </c>
      <c r="G23" s="150">
        <v>1</v>
      </c>
      <c r="H23" s="150">
        <v>1</v>
      </c>
      <c r="I23" s="150">
        <v>1</v>
      </c>
      <c r="J23" s="150"/>
      <c r="K23" s="150"/>
      <c r="L23" s="150"/>
      <c r="M23" s="150"/>
      <c r="N23" s="150"/>
      <c r="O23" s="150"/>
      <c r="P23" s="150"/>
      <c r="Q23" s="150"/>
      <c r="R23" s="150"/>
      <c r="S23" s="150">
        <v>8</v>
      </c>
    </row>
    <row r="24" spans="1:19">
      <c r="A24" s="151" t="s">
        <v>498</v>
      </c>
      <c r="B24" s="150">
        <v>1</v>
      </c>
      <c r="C24" s="150">
        <v>1</v>
      </c>
      <c r="D24" s="150">
        <v>1</v>
      </c>
      <c r="E24" s="150">
        <v>1</v>
      </c>
      <c r="F24" s="150">
        <v>1</v>
      </c>
      <c r="G24" s="150">
        <v>1</v>
      </c>
      <c r="H24" s="150">
        <v>1</v>
      </c>
      <c r="I24" s="150">
        <v>1</v>
      </c>
      <c r="J24" s="150">
        <v>1</v>
      </c>
      <c r="K24" s="150">
        <v>1</v>
      </c>
      <c r="L24" s="150">
        <v>1</v>
      </c>
      <c r="M24" s="150">
        <v>1</v>
      </c>
      <c r="N24" s="150">
        <v>1</v>
      </c>
      <c r="O24" s="150">
        <v>1</v>
      </c>
      <c r="P24" s="150">
        <v>1</v>
      </c>
      <c r="Q24" s="150">
        <v>1</v>
      </c>
      <c r="R24" s="150"/>
      <c r="S24" s="150">
        <v>16</v>
      </c>
    </row>
    <row r="25" spans="1:19">
      <c r="A25" s="151" t="s">
        <v>499</v>
      </c>
      <c r="B25" s="150">
        <v>1</v>
      </c>
      <c r="C25" s="150">
        <v>1</v>
      </c>
      <c r="D25" s="150">
        <v>1</v>
      </c>
      <c r="E25" s="150">
        <v>1</v>
      </c>
      <c r="F25" s="150">
        <v>1</v>
      </c>
      <c r="G25" s="150">
        <v>1</v>
      </c>
      <c r="H25" s="150">
        <v>1</v>
      </c>
      <c r="I25" s="150">
        <v>1</v>
      </c>
      <c r="J25" s="150"/>
      <c r="K25" s="150"/>
      <c r="L25" s="150"/>
      <c r="M25" s="150"/>
      <c r="N25" s="150"/>
      <c r="O25" s="150"/>
      <c r="P25" s="150"/>
      <c r="Q25" s="150"/>
      <c r="R25" s="150"/>
      <c r="S25" s="150">
        <v>8</v>
      </c>
    </row>
    <row r="26" spans="1:19">
      <c r="A26" s="151" t="s">
        <v>500</v>
      </c>
      <c r="B26" s="150">
        <v>1</v>
      </c>
      <c r="C26" s="150">
        <v>1</v>
      </c>
      <c r="D26" s="150">
        <v>1</v>
      </c>
      <c r="E26" s="150">
        <v>1</v>
      </c>
      <c r="F26" s="150">
        <v>1</v>
      </c>
      <c r="G26" s="150">
        <v>1</v>
      </c>
      <c r="H26" s="150">
        <v>1</v>
      </c>
      <c r="I26" s="150">
        <v>1</v>
      </c>
      <c r="J26" s="150"/>
      <c r="K26" s="150"/>
      <c r="L26" s="150"/>
      <c r="M26" s="150"/>
      <c r="N26" s="150"/>
      <c r="O26" s="150"/>
      <c r="P26" s="150"/>
      <c r="Q26" s="150"/>
      <c r="R26" s="150"/>
      <c r="S26" s="150">
        <v>8</v>
      </c>
    </row>
    <row r="27" spans="1:19">
      <c r="A27" s="151" t="s">
        <v>501</v>
      </c>
      <c r="B27" s="150">
        <v>1</v>
      </c>
      <c r="C27" s="150">
        <v>1</v>
      </c>
      <c r="D27" s="150">
        <v>1</v>
      </c>
      <c r="E27" s="150">
        <v>1</v>
      </c>
      <c r="F27" s="150">
        <v>1</v>
      </c>
      <c r="G27" s="150">
        <v>1</v>
      </c>
      <c r="H27" s="150">
        <v>1</v>
      </c>
      <c r="I27" s="150">
        <v>1</v>
      </c>
      <c r="J27" s="150"/>
      <c r="K27" s="150"/>
      <c r="L27" s="150"/>
      <c r="M27" s="150"/>
      <c r="N27" s="150"/>
      <c r="O27" s="150"/>
      <c r="P27" s="150"/>
      <c r="Q27" s="150"/>
      <c r="R27" s="150"/>
      <c r="S27" s="150">
        <v>8</v>
      </c>
    </row>
    <row r="28" spans="1:19">
      <c r="A28" s="151" t="s">
        <v>502</v>
      </c>
      <c r="B28" s="150">
        <v>1</v>
      </c>
      <c r="C28" s="150">
        <v>1</v>
      </c>
      <c r="D28" s="150">
        <v>1</v>
      </c>
      <c r="E28" s="150">
        <v>1</v>
      </c>
      <c r="F28" s="150">
        <v>1</v>
      </c>
      <c r="G28" s="150">
        <v>1</v>
      </c>
      <c r="H28" s="150">
        <v>1</v>
      </c>
      <c r="I28" s="150">
        <v>1</v>
      </c>
      <c r="J28" s="150"/>
      <c r="K28" s="150"/>
      <c r="L28" s="150"/>
      <c r="M28" s="150"/>
      <c r="N28" s="150"/>
      <c r="O28" s="150"/>
      <c r="P28" s="150"/>
      <c r="Q28" s="150"/>
      <c r="R28" s="150"/>
      <c r="S28" s="150">
        <v>8</v>
      </c>
    </row>
    <row r="29" spans="1:19">
      <c r="A29" s="151" t="s">
        <v>503</v>
      </c>
      <c r="B29" s="150">
        <v>1</v>
      </c>
      <c r="C29" s="150">
        <v>1</v>
      </c>
      <c r="D29" s="150">
        <v>1</v>
      </c>
      <c r="E29" s="150">
        <v>1</v>
      </c>
      <c r="F29" s="150">
        <v>1</v>
      </c>
      <c r="G29" s="150">
        <v>1</v>
      </c>
      <c r="H29" s="150">
        <v>1</v>
      </c>
      <c r="I29" s="150">
        <v>1</v>
      </c>
      <c r="J29" s="150"/>
      <c r="K29" s="150"/>
      <c r="L29" s="150"/>
      <c r="M29" s="150"/>
      <c r="N29" s="150"/>
      <c r="O29" s="150"/>
      <c r="P29" s="150"/>
      <c r="Q29" s="150"/>
      <c r="R29" s="150"/>
      <c r="S29" s="150">
        <v>8</v>
      </c>
    </row>
    <row r="30" spans="1:19">
      <c r="A30" s="151" t="s">
        <v>504</v>
      </c>
      <c r="B30" s="150">
        <v>1</v>
      </c>
      <c r="C30" s="150">
        <v>1</v>
      </c>
      <c r="D30" s="150">
        <v>1</v>
      </c>
      <c r="E30" s="150">
        <v>1</v>
      </c>
      <c r="F30" s="150">
        <v>1</v>
      </c>
      <c r="G30" s="150">
        <v>1</v>
      </c>
      <c r="H30" s="150">
        <v>1</v>
      </c>
      <c r="I30" s="150">
        <v>1</v>
      </c>
      <c r="J30" s="150"/>
      <c r="K30" s="150"/>
      <c r="L30" s="150"/>
      <c r="M30" s="150"/>
      <c r="N30" s="150"/>
      <c r="O30" s="150"/>
      <c r="P30" s="150"/>
      <c r="Q30" s="150"/>
      <c r="R30" s="150"/>
      <c r="S30" s="150">
        <v>8</v>
      </c>
    </row>
    <row r="31" spans="1:19">
      <c r="A31" s="151" t="s">
        <v>505</v>
      </c>
      <c r="B31" s="150">
        <v>1</v>
      </c>
      <c r="C31" s="150">
        <v>1</v>
      </c>
      <c r="D31" s="150">
        <v>1</v>
      </c>
      <c r="E31" s="150">
        <v>1</v>
      </c>
      <c r="F31" s="150">
        <v>1</v>
      </c>
      <c r="G31" s="150">
        <v>1</v>
      </c>
      <c r="H31" s="150">
        <v>1</v>
      </c>
      <c r="I31" s="150">
        <v>1</v>
      </c>
      <c r="J31" s="150">
        <v>1</v>
      </c>
      <c r="K31" s="150">
        <v>1</v>
      </c>
      <c r="L31" s="150">
        <v>1</v>
      </c>
      <c r="M31" s="150">
        <v>1</v>
      </c>
      <c r="N31" s="150">
        <v>1</v>
      </c>
      <c r="O31" s="150">
        <v>1</v>
      </c>
      <c r="P31" s="150">
        <v>1</v>
      </c>
      <c r="Q31" s="150">
        <v>1</v>
      </c>
      <c r="R31" s="150"/>
      <c r="S31" s="150">
        <v>16</v>
      </c>
    </row>
    <row r="32" spans="1:19">
      <c r="A32" s="151" t="s">
        <v>506</v>
      </c>
      <c r="B32" s="150">
        <v>1</v>
      </c>
      <c r="C32" s="150">
        <v>1</v>
      </c>
      <c r="D32" s="150">
        <v>1</v>
      </c>
      <c r="E32" s="150">
        <v>1</v>
      </c>
      <c r="F32" s="150">
        <v>1</v>
      </c>
      <c r="G32" s="150">
        <v>1</v>
      </c>
      <c r="H32" s="150">
        <v>1</v>
      </c>
      <c r="I32" s="150">
        <v>1</v>
      </c>
      <c r="J32" s="150">
        <v>1</v>
      </c>
      <c r="K32" s="150">
        <v>1</v>
      </c>
      <c r="L32" s="150">
        <v>1</v>
      </c>
      <c r="M32" s="150">
        <v>1</v>
      </c>
      <c r="N32" s="150">
        <v>1</v>
      </c>
      <c r="O32" s="150">
        <v>1</v>
      </c>
      <c r="P32" s="150">
        <v>1</v>
      </c>
      <c r="Q32" s="150">
        <v>1</v>
      </c>
      <c r="R32" s="150"/>
      <c r="S32" s="150">
        <v>16</v>
      </c>
    </row>
    <row r="33" spans="1:19">
      <c r="A33" s="151" t="s">
        <v>507</v>
      </c>
      <c r="B33" s="150">
        <v>1</v>
      </c>
      <c r="C33" s="150">
        <v>1</v>
      </c>
      <c r="D33" s="150">
        <v>1</v>
      </c>
      <c r="E33" s="150">
        <v>1</v>
      </c>
      <c r="F33" s="150">
        <v>1</v>
      </c>
      <c r="G33" s="150">
        <v>1</v>
      </c>
      <c r="H33" s="150">
        <v>1</v>
      </c>
      <c r="I33" s="150">
        <v>1</v>
      </c>
      <c r="J33" s="150">
        <v>1</v>
      </c>
      <c r="K33" s="150">
        <v>1</v>
      </c>
      <c r="L33" s="150">
        <v>1</v>
      </c>
      <c r="M33" s="150">
        <v>1</v>
      </c>
      <c r="N33" s="150">
        <v>1</v>
      </c>
      <c r="O33" s="150">
        <v>1</v>
      </c>
      <c r="P33" s="150">
        <v>1</v>
      </c>
      <c r="Q33" s="150">
        <v>1</v>
      </c>
      <c r="R33" s="150"/>
      <c r="S33" s="150">
        <v>16</v>
      </c>
    </row>
    <row r="34" spans="1:19">
      <c r="A34" s="151" t="s">
        <v>508</v>
      </c>
      <c r="B34" s="150">
        <v>1</v>
      </c>
      <c r="C34" s="150">
        <v>1</v>
      </c>
      <c r="D34" s="150">
        <v>1</v>
      </c>
      <c r="E34" s="150">
        <v>1</v>
      </c>
      <c r="F34" s="150">
        <v>1</v>
      </c>
      <c r="G34" s="150">
        <v>1</v>
      </c>
      <c r="H34" s="150">
        <v>1</v>
      </c>
      <c r="I34" s="150">
        <v>1</v>
      </c>
      <c r="J34" s="150">
        <v>1</v>
      </c>
      <c r="K34" s="150">
        <v>1</v>
      </c>
      <c r="L34" s="150">
        <v>1</v>
      </c>
      <c r="M34" s="150">
        <v>1</v>
      </c>
      <c r="N34" s="150">
        <v>1</v>
      </c>
      <c r="O34" s="150">
        <v>1</v>
      </c>
      <c r="P34" s="150">
        <v>1</v>
      </c>
      <c r="Q34" s="150">
        <v>1</v>
      </c>
      <c r="R34" s="150"/>
      <c r="S34" s="150">
        <v>16</v>
      </c>
    </row>
    <row r="35" spans="1:19">
      <c r="A35" s="151" t="s">
        <v>509</v>
      </c>
      <c r="B35" s="150">
        <v>1</v>
      </c>
      <c r="C35" s="150">
        <v>1</v>
      </c>
      <c r="D35" s="150">
        <v>1</v>
      </c>
      <c r="E35" s="150">
        <v>1</v>
      </c>
      <c r="F35" s="150">
        <v>1</v>
      </c>
      <c r="G35" s="150">
        <v>1</v>
      </c>
      <c r="H35" s="150">
        <v>1</v>
      </c>
      <c r="I35" s="150">
        <v>1</v>
      </c>
      <c r="J35" s="150">
        <v>1</v>
      </c>
      <c r="K35" s="150">
        <v>1</v>
      </c>
      <c r="L35" s="150">
        <v>1</v>
      </c>
      <c r="M35" s="150">
        <v>1</v>
      </c>
      <c r="N35" s="150">
        <v>1</v>
      </c>
      <c r="O35" s="150">
        <v>1</v>
      </c>
      <c r="P35" s="150">
        <v>1</v>
      </c>
      <c r="Q35" s="150">
        <v>1</v>
      </c>
      <c r="R35" s="150"/>
      <c r="S35" s="150">
        <v>16</v>
      </c>
    </row>
    <row r="36" spans="1:19">
      <c r="A36" s="151" t="s">
        <v>510</v>
      </c>
      <c r="B36" s="150">
        <v>1</v>
      </c>
      <c r="C36" s="150">
        <v>1</v>
      </c>
      <c r="D36" s="150">
        <v>1</v>
      </c>
      <c r="E36" s="150">
        <v>1</v>
      </c>
      <c r="F36" s="150">
        <v>1</v>
      </c>
      <c r="G36" s="150">
        <v>1</v>
      </c>
      <c r="H36" s="150">
        <v>1</v>
      </c>
      <c r="I36" s="150">
        <v>1</v>
      </c>
      <c r="J36" s="150">
        <v>1</v>
      </c>
      <c r="K36" s="150">
        <v>1</v>
      </c>
      <c r="L36" s="150">
        <v>1</v>
      </c>
      <c r="M36" s="150">
        <v>1</v>
      </c>
      <c r="N36" s="150">
        <v>1</v>
      </c>
      <c r="O36" s="150">
        <v>1</v>
      </c>
      <c r="P36" s="150">
        <v>1</v>
      </c>
      <c r="Q36" s="150">
        <v>1</v>
      </c>
      <c r="R36" s="150"/>
      <c r="S36" s="150">
        <v>16</v>
      </c>
    </row>
    <row r="37" spans="1:19">
      <c r="A37" s="151" t="s">
        <v>489</v>
      </c>
      <c r="B37" s="150">
        <v>1</v>
      </c>
      <c r="C37" s="150">
        <v>1</v>
      </c>
      <c r="D37" s="150">
        <v>1</v>
      </c>
      <c r="E37" s="150">
        <v>1</v>
      </c>
      <c r="F37" s="150">
        <v>1</v>
      </c>
      <c r="G37" s="150">
        <v>1</v>
      </c>
      <c r="H37" s="150">
        <v>1</v>
      </c>
      <c r="I37" s="150">
        <v>1</v>
      </c>
      <c r="J37" s="150">
        <v>1</v>
      </c>
      <c r="K37" s="150">
        <v>1</v>
      </c>
      <c r="L37" s="150">
        <v>1</v>
      </c>
      <c r="M37" s="150">
        <v>1</v>
      </c>
      <c r="N37" s="150">
        <v>1</v>
      </c>
      <c r="O37" s="150">
        <v>1</v>
      </c>
      <c r="P37" s="150">
        <v>1</v>
      </c>
      <c r="Q37" s="150">
        <v>1</v>
      </c>
      <c r="R37" s="150"/>
      <c r="S37" s="150">
        <v>16</v>
      </c>
    </row>
    <row r="38" spans="1:19">
      <c r="A38" s="151" t="s">
        <v>511</v>
      </c>
      <c r="B38" s="150">
        <v>1</v>
      </c>
      <c r="C38" s="150">
        <v>1</v>
      </c>
      <c r="D38" s="150">
        <v>1</v>
      </c>
      <c r="E38" s="150">
        <v>1</v>
      </c>
      <c r="F38" s="150">
        <v>1</v>
      </c>
      <c r="G38" s="150">
        <v>1</v>
      </c>
      <c r="H38" s="150">
        <v>1</v>
      </c>
      <c r="I38" s="150">
        <v>1</v>
      </c>
      <c r="J38" s="150">
        <v>1</v>
      </c>
      <c r="K38" s="150">
        <v>1</v>
      </c>
      <c r="L38" s="150">
        <v>1</v>
      </c>
      <c r="M38" s="150">
        <v>1</v>
      </c>
      <c r="N38" s="150">
        <v>1</v>
      </c>
      <c r="O38" s="150">
        <v>1</v>
      </c>
      <c r="P38" s="150">
        <v>1</v>
      </c>
      <c r="Q38" s="150">
        <v>1</v>
      </c>
      <c r="R38" s="150"/>
      <c r="S38" s="150">
        <v>16</v>
      </c>
    </row>
    <row r="39" spans="1:19">
      <c r="A39" s="151" t="s">
        <v>512</v>
      </c>
      <c r="B39" s="150">
        <v>1</v>
      </c>
      <c r="C39" s="150">
        <v>1</v>
      </c>
      <c r="D39" s="150">
        <v>1</v>
      </c>
      <c r="E39" s="150">
        <v>1</v>
      </c>
      <c r="F39" s="150">
        <v>1</v>
      </c>
      <c r="G39" s="150">
        <v>1</v>
      </c>
      <c r="H39" s="150">
        <v>1</v>
      </c>
      <c r="I39" s="150">
        <v>1</v>
      </c>
      <c r="J39" s="150">
        <v>1</v>
      </c>
      <c r="K39" s="150">
        <v>1</v>
      </c>
      <c r="L39" s="150">
        <v>1</v>
      </c>
      <c r="M39" s="150">
        <v>1</v>
      </c>
      <c r="N39" s="150">
        <v>1</v>
      </c>
      <c r="O39" s="150">
        <v>1</v>
      </c>
      <c r="P39" s="150">
        <v>1</v>
      </c>
      <c r="Q39" s="150">
        <v>1</v>
      </c>
      <c r="R39" s="150"/>
      <c r="S39" s="150">
        <v>16</v>
      </c>
    </row>
    <row r="40" spans="1:19">
      <c r="A40" s="151" t="s">
        <v>513</v>
      </c>
      <c r="B40" s="150">
        <v>1</v>
      </c>
      <c r="C40" s="150">
        <v>1</v>
      </c>
      <c r="D40" s="150">
        <v>1</v>
      </c>
      <c r="E40" s="150">
        <v>1</v>
      </c>
      <c r="F40" s="150">
        <v>1</v>
      </c>
      <c r="G40" s="150">
        <v>1</v>
      </c>
      <c r="H40" s="150">
        <v>1</v>
      </c>
      <c r="I40" s="150">
        <v>1</v>
      </c>
      <c r="J40" s="150">
        <v>1</v>
      </c>
      <c r="K40" s="150">
        <v>1</v>
      </c>
      <c r="L40" s="150">
        <v>1</v>
      </c>
      <c r="M40" s="150">
        <v>1</v>
      </c>
      <c r="N40" s="150">
        <v>1</v>
      </c>
      <c r="O40" s="150">
        <v>1</v>
      </c>
      <c r="P40" s="150">
        <v>1</v>
      </c>
      <c r="Q40" s="150">
        <v>1</v>
      </c>
      <c r="R40" s="150"/>
      <c r="S40" s="150">
        <v>16</v>
      </c>
    </row>
    <row r="41" spans="1:19">
      <c r="A41" s="151" t="s">
        <v>514</v>
      </c>
      <c r="B41" s="150">
        <v>1</v>
      </c>
      <c r="C41" s="150">
        <v>1</v>
      </c>
      <c r="D41" s="150">
        <v>1</v>
      </c>
      <c r="E41" s="150">
        <v>1</v>
      </c>
      <c r="F41" s="150">
        <v>1</v>
      </c>
      <c r="G41" s="150">
        <v>1</v>
      </c>
      <c r="H41" s="150">
        <v>1</v>
      </c>
      <c r="I41" s="150">
        <v>1</v>
      </c>
      <c r="J41" s="150">
        <v>1</v>
      </c>
      <c r="K41" s="150">
        <v>1</v>
      </c>
      <c r="L41" s="150">
        <v>1</v>
      </c>
      <c r="M41" s="150">
        <v>1</v>
      </c>
      <c r="N41" s="150">
        <v>1</v>
      </c>
      <c r="O41" s="150">
        <v>1</v>
      </c>
      <c r="P41" s="150">
        <v>1</v>
      </c>
      <c r="Q41" s="150">
        <v>1</v>
      </c>
      <c r="R41" s="150"/>
      <c r="S41" s="150">
        <v>16</v>
      </c>
    </row>
    <row r="42" spans="1:19">
      <c r="A42" s="151" t="s">
        <v>515</v>
      </c>
      <c r="B42" s="150">
        <v>1</v>
      </c>
      <c r="C42" s="150">
        <v>1</v>
      </c>
      <c r="D42" s="150">
        <v>1</v>
      </c>
      <c r="E42" s="150">
        <v>1</v>
      </c>
      <c r="F42" s="150">
        <v>1</v>
      </c>
      <c r="G42" s="150">
        <v>1</v>
      </c>
      <c r="H42" s="150">
        <v>1</v>
      </c>
      <c r="I42" s="150">
        <v>1</v>
      </c>
      <c r="J42" s="150">
        <v>1</v>
      </c>
      <c r="K42" s="150">
        <v>1</v>
      </c>
      <c r="L42" s="150">
        <v>1</v>
      </c>
      <c r="M42" s="150">
        <v>1</v>
      </c>
      <c r="N42" s="150">
        <v>1</v>
      </c>
      <c r="O42" s="150">
        <v>1</v>
      </c>
      <c r="P42" s="150">
        <v>1</v>
      </c>
      <c r="Q42" s="150">
        <v>1</v>
      </c>
      <c r="R42" s="150"/>
      <c r="S42" s="150">
        <v>16</v>
      </c>
    </row>
    <row r="43" spans="1:19">
      <c r="A43" s="151" t="s">
        <v>516</v>
      </c>
      <c r="B43" s="150">
        <v>1</v>
      </c>
      <c r="C43" s="150">
        <v>1</v>
      </c>
      <c r="D43" s="150">
        <v>1</v>
      </c>
      <c r="E43" s="150">
        <v>1</v>
      </c>
      <c r="F43" s="150">
        <v>1</v>
      </c>
      <c r="G43" s="150">
        <v>1</v>
      </c>
      <c r="H43" s="150">
        <v>1</v>
      </c>
      <c r="I43" s="150">
        <v>1</v>
      </c>
      <c r="J43" s="150">
        <v>1</v>
      </c>
      <c r="K43" s="150">
        <v>1</v>
      </c>
      <c r="L43" s="150">
        <v>1</v>
      </c>
      <c r="M43" s="150">
        <v>1</v>
      </c>
      <c r="N43" s="150">
        <v>1</v>
      </c>
      <c r="O43" s="150">
        <v>1</v>
      </c>
      <c r="P43" s="150">
        <v>1</v>
      </c>
      <c r="Q43" s="150">
        <v>1</v>
      </c>
      <c r="R43" s="150"/>
      <c r="S43" s="150">
        <v>16</v>
      </c>
    </row>
    <row r="44" spans="1:19">
      <c r="A44" s="151" t="s">
        <v>517</v>
      </c>
      <c r="B44" s="150">
        <v>1</v>
      </c>
      <c r="C44" s="150">
        <v>1</v>
      </c>
      <c r="D44" s="150">
        <v>1</v>
      </c>
      <c r="E44" s="150">
        <v>1</v>
      </c>
      <c r="F44" s="150">
        <v>1</v>
      </c>
      <c r="G44" s="150">
        <v>1</v>
      </c>
      <c r="H44" s="150">
        <v>1</v>
      </c>
      <c r="I44" s="150">
        <v>1</v>
      </c>
      <c r="J44" s="150">
        <v>1</v>
      </c>
      <c r="K44" s="150">
        <v>1</v>
      </c>
      <c r="L44" s="150">
        <v>1</v>
      </c>
      <c r="M44" s="150">
        <v>1</v>
      </c>
      <c r="N44" s="150">
        <v>1</v>
      </c>
      <c r="O44" s="150">
        <v>1</v>
      </c>
      <c r="P44" s="150">
        <v>1</v>
      </c>
      <c r="Q44" s="150">
        <v>1</v>
      </c>
      <c r="R44" s="150"/>
      <c r="S44" s="150">
        <v>16</v>
      </c>
    </row>
    <row r="45" spans="1:19">
      <c r="A45" s="149" t="s">
        <v>518</v>
      </c>
      <c r="B45" s="150">
        <v>27</v>
      </c>
      <c r="C45" s="150">
        <v>27</v>
      </c>
      <c r="D45" s="150">
        <v>27</v>
      </c>
      <c r="E45" s="150">
        <v>27</v>
      </c>
      <c r="F45" s="150">
        <v>27</v>
      </c>
      <c r="G45" s="150">
        <v>27</v>
      </c>
      <c r="H45" s="150">
        <v>27</v>
      </c>
      <c r="I45" s="150">
        <v>27</v>
      </c>
      <c r="J45" s="150">
        <v>16</v>
      </c>
      <c r="K45" s="150">
        <v>16</v>
      </c>
      <c r="L45" s="150">
        <v>16</v>
      </c>
      <c r="M45" s="150">
        <v>16</v>
      </c>
      <c r="N45" s="150">
        <v>16</v>
      </c>
      <c r="O45" s="150">
        <v>16</v>
      </c>
      <c r="P45" s="150">
        <v>16</v>
      </c>
      <c r="Q45" s="150">
        <v>16</v>
      </c>
      <c r="R45" s="150"/>
      <c r="S45" s="150">
        <v>344</v>
      </c>
    </row>
    <row r="46" spans="1:19">
      <c r="A46" s="151" t="s">
        <v>479</v>
      </c>
      <c r="B46" s="150">
        <v>1</v>
      </c>
      <c r="C46" s="150">
        <v>1</v>
      </c>
      <c r="D46" s="150">
        <v>1</v>
      </c>
      <c r="E46" s="150">
        <v>1</v>
      </c>
      <c r="F46" s="150">
        <v>1</v>
      </c>
      <c r="G46" s="150">
        <v>1</v>
      </c>
      <c r="H46" s="150">
        <v>1</v>
      </c>
      <c r="I46" s="150">
        <v>1</v>
      </c>
      <c r="J46" s="150"/>
      <c r="K46" s="150"/>
      <c r="L46" s="150"/>
      <c r="M46" s="150"/>
      <c r="N46" s="150"/>
      <c r="O46" s="150"/>
      <c r="P46" s="150"/>
      <c r="Q46" s="150"/>
      <c r="R46" s="150"/>
      <c r="S46" s="150">
        <v>8</v>
      </c>
    </row>
    <row r="47" spans="1:19">
      <c r="A47" s="151" t="s">
        <v>492</v>
      </c>
      <c r="B47" s="150">
        <v>1</v>
      </c>
      <c r="C47" s="150">
        <v>1</v>
      </c>
      <c r="D47" s="150">
        <v>1</v>
      </c>
      <c r="E47" s="150">
        <v>1</v>
      </c>
      <c r="F47" s="150">
        <v>1</v>
      </c>
      <c r="G47" s="150">
        <v>1</v>
      </c>
      <c r="H47" s="150">
        <v>1</v>
      </c>
      <c r="I47" s="150">
        <v>1</v>
      </c>
      <c r="J47" s="150"/>
      <c r="K47" s="150"/>
      <c r="L47" s="150"/>
      <c r="M47" s="150"/>
      <c r="N47" s="150"/>
      <c r="O47" s="150"/>
      <c r="P47" s="150"/>
      <c r="Q47" s="150"/>
      <c r="R47" s="150"/>
      <c r="S47" s="150">
        <v>8</v>
      </c>
    </row>
    <row r="48" spans="1:19">
      <c r="A48" s="151" t="s">
        <v>493</v>
      </c>
      <c r="B48" s="150">
        <v>1</v>
      </c>
      <c r="C48" s="150">
        <v>1</v>
      </c>
      <c r="D48" s="150">
        <v>1</v>
      </c>
      <c r="E48" s="150">
        <v>1</v>
      </c>
      <c r="F48" s="150">
        <v>1</v>
      </c>
      <c r="G48" s="150">
        <v>1</v>
      </c>
      <c r="H48" s="150">
        <v>1</v>
      </c>
      <c r="I48" s="150">
        <v>1</v>
      </c>
      <c r="J48" s="150"/>
      <c r="K48" s="150"/>
      <c r="L48" s="150"/>
      <c r="M48" s="150"/>
      <c r="N48" s="150"/>
      <c r="O48" s="150"/>
      <c r="P48" s="150"/>
      <c r="Q48" s="150"/>
      <c r="R48" s="150"/>
      <c r="S48" s="150">
        <v>8</v>
      </c>
    </row>
    <row r="49" spans="1:19">
      <c r="A49" s="151" t="s">
        <v>494</v>
      </c>
      <c r="B49" s="150">
        <v>1</v>
      </c>
      <c r="C49" s="150">
        <v>1</v>
      </c>
      <c r="D49" s="150">
        <v>1</v>
      </c>
      <c r="E49" s="150">
        <v>1</v>
      </c>
      <c r="F49" s="150">
        <v>1</v>
      </c>
      <c r="G49" s="150">
        <v>1</v>
      </c>
      <c r="H49" s="150">
        <v>1</v>
      </c>
      <c r="I49" s="150">
        <v>1</v>
      </c>
      <c r="J49" s="150"/>
      <c r="K49" s="150"/>
      <c r="L49" s="150"/>
      <c r="M49" s="150"/>
      <c r="N49" s="150"/>
      <c r="O49" s="150"/>
      <c r="P49" s="150"/>
      <c r="Q49" s="150"/>
      <c r="R49" s="150"/>
      <c r="S49" s="150">
        <v>8</v>
      </c>
    </row>
    <row r="50" spans="1:19">
      <c r="A50" s="151" t="s">
        <v>495</v>
      </c>
      <c r="B50" s="150">
        <v>1</v>
      </c>
      <c r="C50" s="150">
        <v>1</v>
      </c>
      <c r="D50" s="150">
        <v>1</v>
      </c>
      <c r="E50" s="150">
        <v>1</v>
      </c>
      <c r="F50" s="150">
        <v>1</v>
      </c>
      <c r="G50" s="150">
        <v>1</v>
      </c>
      <c r="H50" s="150">
        <v>1</v>
      </c>
      <c r="I50" s="150">
        <v>1</v>
      </c>
      <c r="J50" s="150"/>
      <c r="K50" s="150"/>
      <c r="L50" s="150"/>
      <c r="M50" s="150"/>
      <c r="N50" s="150"/>
      <c r="O50" s="150"/>
      <c r="P50" s="150"/>
      <c r="Q50" s="150"/>
      <c r="R50" s="150"/>
      <c r="S50" s="150">
        <v>8</v>
      </c>
    </row>
    <row r="51" spans="1:19">
      <c r="A51" s="151" t="s">
        <v>496</v>
      </c>
      <c r="B51" s="150">
        <v>1</v>
      </c>
      <c r="C51" s="150">
        <v>1</v>
      </c>
      <c r="D51" s="150">
        <v>1</v>
      </c>
      <c r="E51" s="150">
        <v>1</v>
      </c>
      <c r="F51" s="150">
        <v>1</v>
      </c>
      <c r="G51" s="150">
        <v>1</v>
      </c>
      <c r="H51" s="150">
        <v>1</v>
      </c>
      <c r="I51" s="150">
        <v>1</v>
      </c>
      <c r="J51" s="150"/>
      <c r="K51" s="150"/>
      <c r="L51" s="150"/>
      <c r="M51" s="150"/>
      <c r="N51" s="150"/>
      <c r="O51" s="150"/>
      <c r="P51" s="150"/>
      <c r="Q51" s="150"/>
      <c r="R51" s="150"/>
      <c r="S51" s="150">
        <v>8</v>
      </c>
    </row>
    <row r="52" spans="1:19">
      <c r="A52" s="151" t="s">
        <v>497</v>
      </c>
      <c r="B52" s="150">
        <v>1</v>
      </c>
      <c r="C52" s="150">
        <v>1</v>
      </c>
      <c r="D52" s="150">
        <v>1</v>
      </c>
      <c r="E52" s="150">
        <v>1</v>
      </c>
      <c r="F52" s="150">
        <v>1</v>
      </c>
      <c r="G52" s="150">
        <v>1</v>
      </c>
      <c r="H52" s="150">
        <v>1</v>
      </c>
      <c r="I52" s="150">
        <v>1</v>
      </c>
      <c r="J52" s="150"/>
      <c r="K52" s="150"/>
      <c r="L52" s="150"/>
      <c r="M52" s="150"/>
      <c r="N52" s="150"/>
      <c r="O52" s="150"/>
      <c r="P52" s="150"/>
      <c r="Q52" s="150"/>
      <c r="R52" s="150"/>
      <c r="S52" s="150">
        <v>8</v>
      </c>
    </row>
    <row r="53" spans="1:19">
      <c r="A53" s="151" t="s">
        <v>519</v>
      </c>
      <c r="B53" s="150">
        <v>1</v>
      </c>
      <c r="C53" s="150">
        <v>1</v>
      </c>
      <c r="D53" s="150">
        <v>1</v>
      </c>
      <c r="E53" s="150">
        <v>1</v>
      </c>
      <c r="F53" s="150">
        <v>1</v>
      </c>
      <c r="G53" s="150">
        <v>1</v>
      </c>
      <c r="H53" s="150">
        <v>1</v>
      </c>
      <c r="I53" s="150">
        <v>1</v>
      </c>
      <c r="J53" s="150"/>
      <c r="K53" s="150"/>
      <c r="L53" s="150"/>
      <c r="M53" s="150"/>
      <c r="N53" s="150"/>
      <c r="O53" s="150"/>
      <c r="P53" s="150"/>
      <c r="Q53" s="150"/>
      <c r="R53" s="150"/>
      <c r="S53" s="150">
        <v>8</v>
      </c>
    </row>
    <row r="54" spans="1:19">
      <c r="A54" s="151" t="s">
        <v>499</v>
      </c>
      <c r="B54" s="150">
        <v>1</v>
      </c>
      <c r="C54" s="150">
        <v>1</v>
      </c>
      <c r="D54" s="150">
        <v>1</v>
      </c>
      <c r="E54" s="150">
        <v>1</v>
      </c>
      <c r="F54" s="150">
        <v>1</v>
      </c>
      <c r="G54" s="150">
        <v>1</v>
      </c>
      <c r="H54" s="150">
        <v>1</v>
      </c>
      <c r="I54" s="150">
        <v>1</v>
      </c>
      <c r="J54" s="150"/>
      <c r="K54" s="150"/>
      <c r="L54" s="150"/>
      <c r="M54" s="150"/>
      <c r="N54" s="150"/>
      <c r="O54" s="150"/>
      <c r="P54" s="150"/>
      <c r="Q54" s="150"/>
      <c r="R54" s="150"/>
      <c r="S54" s="150">
        <v>8</v>
      </c>
    </row>
    <row r="55" spans="1:19">
      <c r="A55" s="151" t="s">
        <v>500</v>
      </c>
      <c r="B55" s="150">
        <v>1</v>
      </c>
      <c r="C55" s="150">
        <v>1</v>
      </c>
      <c r="D55" s="150">
        <v>1</v>
      </c>
      <c r="E55" s="150">
        <v>1</v>
      </c>
      <c r="F55" s="150">
        <v>1</v>
      </c>
      <c r="G55" s="150">
        <v>1</v>
      </c>
      <c r="H55" s="150">
        <v>1</v>
      </c>
      <c r="I55" s="150">
        <v>1</v>
      </c>
      <c r="J55" s="150"/>
      <c r="K55" s="150"/>
      <c r="L55" s="150"/>
      <c r="M55" s="150"/>
      <c r="N55" s="150"/>
      <c r="O55" s="150"/>
      <c r="P55" s="150"/>
      <c r="Q55" s="150"/>
      <c r="R55" s="150"/>
      <c r="S55" s="150">
        <v>8</v>
      </c>
    </row>
    <row r="56" spans="1:19">
      <c r="A56" s="151" t="s">
        <v>520</v>
      </c>
      <c r="B56" s="150">
        <v>1</v>
      </c>
      <c r="C56" s="150">
        <v>1</v>
      </c>
      <c r="D56" s="150">
        <v>1</v>
      </c>
      <c r="E56" s="150">
        <v>1</v>
      </c>
      <c r="F56" s="150">
        <v>1</v>
      </c>
      <c r="G56" s="150">
        <v>1</v>
      </c>
      <c r="H56" s="150">
        <v>1</v>
      </c>
      <c r="I56" s="150">
        <v>1</v>
      </c>
      <c r="J56" s="150"/>
      <c r="K56" s="150"/>
      <c r="L56" s="150"/>
      <c r="M56" s="150"/>
      <c r="N56" s="150"/>
      <c r="O56" s="150"/>
      <c r="P56" s="150"/>
      <c r="Q56" s="150"/>
      <c r="R56" s="150"/>
      <c r="S56" s="150">
        <v>8</v>
      </c>
    </row>
    <row r="57" spans="1:19">
      <c r="A57" s="151" t="s">
        <v>521</v>
      </c>
      <c r="B57" s="150">
        <v>1</v>
      </c>
      <c r="C57" s="150">
        <v>1</v>
      </c>
      <c r="D57" s="150">
        <v>1</v>
      </c>
      <c r="E57" s="150">
        <v>1</v>
      </c>
      <c r="F57" s="150">
        <v>1</v>
      </c>
      <c r="G57" s="150">
        <v>1</v>
      </c>
      <c r="H57" s="150">
        <v>1</v>
      </c>
      <c r="I57" s="150">
        <v>1</v>
      </c>
      <c r="J57" s="150">
        <v>1</v>
      </c>
      <c r="K57" s="150">
        <v>1</v>
      </c>
      <c r="L57" s="150">
        <v>1</v>
      </c>
      <c r="M57" s="150">
        <v>1</v>
      </c>
      <c r="N57" s="150">
        <v>1</v>
      </c>
      <c r="O57" s="150">
        <v>1</v>
      </c>
      <c r="P57" s="150">
        <v>1</v>
      </c>
      <c r="Q57" s="150">
        <v>1</v>
      </c>
      <c r="R57" s="150"/>
      <c r="S57" s="150">
        <v>16</v>
      </c>
    </row>
    <row r="58" spans="1:19">
      <c r="A58" s="151" t="s">
        <v>522</v>
      </c>
      <c r="B58" s="150">
        <v>1</v>
      </c>
      <c r="C58" s="150">
        <v>1</v>
      </c>
      <c r="D58" s="150">
        <v>1</v>
      </c>
      <c r="E58" s="150">
        <v>1</v>
      </c>
      <c r="F58" s="150">
        <v>1</v>
      </c>
      <c r="G58" s="150">
        <v>1</v>
      </c>
      <c r="H58" s="150">
        <v>1</v>
      </c>
      <c r="I58" s="150">
        <v>1</v>
      </c>
      <c r="J58" s="150">
        <v>1</v>
      </c>
      <c r="K58" s="150">
        <v>1</v>
      </c>
      <c r="L58" s="150">
        <v>1</v>
      </c>
      <c r="M58" s="150">
        <v>1</v>
      </c>
      <c r="N58" s="150">
        <v>1</v>
      </c>
      <c r="O58" s="150">
        <v>1</v>
      </c>
      <c r="P58" s="150">
        <v>1</v>
      </c>
      <c r="Q58" s="150">
        <v>1</v>
      </c>
      <c r="R58" s="150"/>
      <c r="S58" s="150">
        <v>16</v>
      </c>
    </row>
    <row r="59" spans="1:19">
      <c r="A59" s="151" t="s">
        <v>523</v>
      </c>
      <c r="B59" s="150">
        <v>1</v>
      </c>
      <c r="C59" s="150">
        <v>1</v>
      </c>
      <c r="D59" s="150">
        <v>1</v>
      </c>
      <c r="E59" s="150">
        <v>1</v>
      </c>
      <c r="F59" s="150">
        <v>1</v>
      </c>
      <c r="G59" s="150">
        <v>1</v>
      </c>
      <c r="H59" s="150">
        <v>1</v>
      </c>
      <c r="I59" s="150">
        <v>1</v>
      </c>
      <c r="J59" s="150">
        <v>1</v>
      </c>
      <c r="K59" s="150">
        <v>1</v>
      </c>
      <c r="L59" s="150">
        <v>1</v>
      </c>
      <c r="M59" s="150">
        <v>1</v>
      </c>
      <c r="N59" s="150">
        <v>1</v>
      </c>
      <c r="O59" s="150">
        <v>1</v>
      </c>
      <c r="P59" s="150">
        <v>1</v>
      </c>
      <c r="Q59" s="150">
        <v>1</v>
      </c>
      <c r="R59" s="150"/>
      <c r="S59" s="150">
        <v>16</v>
      </c>
    </row>
    <row r="60" spans="1:19">
      <c r="A60" s="151" t="s">
        <v>524</v>
      </c>
      <c r="B60" s="150">
        <v>1</v>
      </c>
      <c r="C60" s="150">
        <v>1</v>
      </c>
      <c r="D60" s="150">
        <v>1</v>
      </c>
      <c r="E60" s="150">
        <v>1</v>
      </c>
      <c r="F60" s="150">
        <v>1</v>
      </c>
      <c r="G60" s="150">
        <v>1</v>
      </c>
      <c r="H60" s="150">
        <v>1</v>
      </c>
      <c r="I60" s="150">
        <v>1</v>
      </c>
      <c r="J60" s="150">
        <v>1</v>
      </c>
      <c r="K60" s="150">
        <v>1</v>
      </c>
      <c r="L60" s="150">
        <v>1</v>
      </c>
      <c r="M60" s="150">
        <v>1</v>
      </c>
      <c r="N60" s="150">
        <v>1</v>
      </c>
      <c r="O60" s="150">
        <v>1</v>
      </c>
      <c r="P60" s="150">
        <v>1</v>
      </c>
      <c r="Q60" s="150">
        <v>1</v>
      </c>
      <c r="R60" s="150"/>
      <c r="S60" s="150">
        <v>16</v>
      </c>
    </row>
    <row r="61" spans="1:19">
      <c r="A61" s="151" t="s">
        <v>506</v>
      </c>
      <c r="B61" s="150">
        <v>1</v>
      </c>
      <c r="C61" s="150">
        <v>1</v>
      </c>
      <c r="D61" s="150">
        <v>1</v>
      </c>
      <c r="E61" s="150">
        <v>1</v>
      </c>
      <c r="F61" s="150">
        <v>1</v>
      </c>
      <c r="G61" s="150">
        <v>1</v>
      </c>
      <c r="H61" s="150">
        <v>1</v>
      </c>
      <c r="I61" s="150">
        <v>1</v>
      </c>
      <c r="J61" s="150">
        <v>1</v>
      </c>
      <c r="K61" s="150">
        <v>1</v>
      </c>
      <c r="L61" s="150">
        <v>1</v>
      </c>
      <c r="M61" s="150">
        <v>1</v>
      </c>
      <c r="N61" s="150">
        <v>1</v>
      </c>
      <c r="O61" s="150">
        <v>1</v>
      </c>
      <c r="P61" s="150">
        <v>1</v>
      </c>
      <c r="Q61" s="150">
        <v>1</v>
      </c>
      <c r="R61" s="150"/>
      <c r="S61" s="150">
        <v>16</v>
      </c>
    </row>
    <row r="62" spans="1:19">
      <c r="A62" s="151" t="s">
        <v>507</v>
      </c>
      <c r="B62" s="150">
        <v>1</v>
      </c>
      <c r="C62" s="150">
        <v>1</v>
      </c>
      <c r="D62" s="150">
        <v>1</v>
      </c>
      <c r="E62" s="150">
        <v>1</v>
      </c>
      <c r="F62" s="150">
        <v>1</v>
      </c>
      <c r="G62" s="150">
        <v>1</v>
      </c>
      <c r="H62" s="150">
        <v>1</v>
      </c>
      <c r="I62" s="150">
        <v>1</v>
      </c>
      <c r="J62" s="150">
        <v>1</v>
      </c>
      <c r="K62" s="150">
        <v>1</v>
      </c>
      <c r="L62" s="150">
        <v>1</v>
      </c>
      <c r="M62" s="150">
        <v>1</v>
      </c>
      <c r="N62" s="150">
        <v>1</v>
      </c>
      <c r="O62" s="150">
        <v>1</v>
      </c>
      <c r="P62" s="150">
        <v>1</v>
      </c>
      <c r="Q62" s="150">
        <v>1</v>
      </c>
      <c r="R62" s="150"/>
      <c r="S62" s="150">
        <v>16</v>
      </c>
    </row>
    <row r="63" spans="1:19">
      <c r="A63" s="151" t="s">
        <v>508</v>
      </c>
      <c r="B63" s="150">
        <v>1</v>
      </c>
      <c r="C63" s="150">
        <v>1</v>
      </c>
      <c r="D63" s="150">
        <v>1</v>
      </c>
      <c r="E63" s="150">
        <v>1</v>
      </c>
      <c r="F63" s="150">
        <v>1</v>
      </c>
      <c r="G63" s="150">
        <v>1</v>
      </c>
      <c r="H63" s="150">
        <v>1</v>
      </c>
      <c r="I63" s="150">
        <v>1</v>
      </c>
      <c r="J63" s="150">
        <v>1</v>
      </c>
      <c r="K63" s="150">
        <v>1</v>
      </c>
      <c r="L63" s="150">
        <v>1</v>
      </c>
      <c r="M63" s="150">
        <v>1</v>
      </c>
      <c r="N63" s="150">
        <v>1</v>
      </c>
      <c r="O63" s="150">
        <v>1</v>
      </c>
      <c r="P63" s="150">
        <v>1</v>
      </c>
      <c r="Q63" s="150">
        <v>1</v>
      </c>
      <c r="R63" s="150"/>
      <c r="S63" s="150">
        <v>16</v>
      </c>
    </row>
    <row r="64" spans="1:19">
      <c r="A64" s="151" t="s">
        <v>509</v>
      </c>
      <c r="B64" s="150">
        <v>1</v>
      </c>
      <c r="C64" s="150">
        <v>1</v>
      </c>
      <c r="D64" s="150">
        <v>1</v>
      </c>
      <c r="E64" s="150">
        <v>1</v>
      </c>
      <c r="F64" s="150">
        <v>1</v>
      </c>
      <c r="G64" s="150">
        <v>1</v>
      </c>
      <c r="H64" s="150">
        <v>1</v>
      </c>
      <c r="I64" s="150">
        <v>1</v>
      </c>
      <c r="J64" s="150">
        <v>1</v>
      </c>
      <c r="K64" s="150">
        <v>1</v>
      </c>
      <c r="L64" s="150">
        <v>1</v>
      </c>
      <c r="M64" s="150">
        <v>1</v>
      </c>
      <c r="N64" s="150">
        <v>1</v>
      </c>
      <c r="O64" s="150">
        <v>1</v>
      </c>
      <c r="P64" s="150">
        <v>1</v>
      </c>
      <c r="Q64" s="150">
        <v>1</v>
      </c>
      <c r="R64" s="150"/>
      <c r="S64" s="150">
        <v>16</v>
      </c>
    </row>
    <row r="65" spans="1:19">
      <c r="A65" s="151" t="s">
        <v>510</v>
      </c>
      <c r="B65" s="150">
        <v>1</v>
      </c>
      <c r="C65" s="150">
        <v>1</v>
      </c>
      <c r="D65" s="150">
        <v>1</v>
      </c>
      <c r="E65" s="150">
        <v>1</v>
      </c>
      <c r="F65" s="150">
        <v>1</v>
      </c>
      <c r="G65" s="150">
        <v>1</v>
      </c>
      <c r="H65" s="150">
        <v>1</v>
      </c>
      <c r="I65" s="150">
        <v>1</v>
      </c>
      <c r="J65" s="150">
        <v>1</v>
      </c>
      <c r="K65" s="150">
        <v>1</v>
      </c>
      <c r="L65" s="150">
        <v>1</v>
      </c>
      <c r="M65" s="150">
        <v>1</v>
      </c>
      <c r="N65" s="150">
        <v>1</v>
      </c>
      <c r="O65" s="150">
        <v>1</v>
      </c>
      <c r="P65" s="150">
        <v>1</v>
      </c>
      <c r="Q65" s="150">
        <v>1</v>
      </c>
      <c r="R65" s="150"/>
      <c r="S65" s="150">
        <v>16</v>
      </c>
    </row>
    <row r="66" spans="1:19">
      <c r="A66" s="151" t="s">
        <v>489</v>
      </c>
      <c r="B66" s="150">
        <v>1</v>
      </c>
      <c r="C66" s="150">
        <v>1</v>
      </c>
      <c r="D66" s="150">
        <v>1</v>
      </c>
      <c r="E66" s="150">
        <v>1</v>
      </c>
      <c r="F66" s="150">
        <v>1</v>
      </c>
      <c r="G66" s="150">
        <v>1</v>
      </c>
      <c r="H66" s="150">
        <v>1</v>
      </c>
      <c r="I66" s="150">
        <v>1</v>
      </c>
      <c r="J66" s="150">
        <v>1</v>
      </c>
      <c r="K66" s="150">
        <v>1</v>
      </c>
      <c r="L66" s="150">
        <v>1</v>
      </c>
      <c r="M66" s="150">
        <v>1</v>
      </c>
      <c r="N66" s="150">
        <v>1</v>
      </c>
      <c r="O66" s="150">
        <v>1</v>
      </c>
      <c r="P66" s="150">
        <v>1</v>
      </c>
      <c r="Q66" s="150">
        <v>1</v>
      </c>
      <c r="R66" s="150"/>
      <c r="S66" s="150">
        <v>16</v>
      </c>
    </row>
    <row r="67" spans="1:19">
      <c r="A67" s="151" t="s">
        <v>490</v>
      </c>
      <c r="B67" s="150">
        <v>1</v>
      </c>
      <c r="C67" s="150">
        <v>1</v>
      </c>
      <c r="D67" s="150">
        <v>1</v>
      </c>
      <c r="E67" s="150">
        <v>1</v>
      </c>
      <c r="F67" s="150">
        <v>1</v>
      </c>
      <c r="G67" s="150">
        <v>1</v>
      </c>
      <c r="H67" s="150">
        <v>1</v>
      </c>
      <c r="I67" s="150">
        <v>1</v>
      </c>
      <c r="J67" s="150">
        <v>1</v>
      </c>
      <c r="K67" s="150">
        <v>1</v>
      </c>
      <c r="L67" s="150">
        <v>1</v>
      </c>
      <c r="M67" s="150">
        <v>1</v>
      </c>
      <c r="N67" s="150">
        <v>1</v>
      </c>
      <c r="O67" s="150">
        <v>1</v>
      </c>
      <c r="P67" s="150">
        <v>1</v>
      </c>
      <c r="Q67" s="150">
        <v>1</v>
      </c>
      <c r="R67" s="150"/>
      <c r="S67" s="150">
        <v>16</v>
      </c>
    </row>
    <row r="68" spans="1:19">
      <c r="A68" s="151" t="s">
        <v>525</v>
      </c>
      <c r="B68" s="150">
        <v>1</v>
      </c>
      <c r="C68" s="150">
        <v>1</v>
      </c>
      <c r="D68" s="150">
        <v>1</v>
      </c>
      <c r="E68" s="150">
        <v>1</v>
      </c>
      <c r="F68" s="150">
        <v>1</v>
      </c>
      <c r="G68" s="150">
        <v>1</v>
      </c>
      <c r="H68" s="150">
        <v>1</v>
      </c>
      <c r="I68" s="150">
        <v>1</v>
      </c>
      <c r="J68" s="150">
        <v>1</v>
      </c>
      <c r="K68" s="150">
        <v>1</v>
      </c>
      <c r="L68" s="150">
        <v>1</v>
      </c>
      <c r="M68" s="150">
        <v>1</v>
      </c>
      <c r="N68" s="150">
        <v>1</v>
      </c>
      <c r="O68" s="150">
        <v>1</v>
      </c>
      <c r="P68" s="150">
        <v>1</v>
      </c>
      <c r="Q68" s="150">
        <v>1</v>
      </c>
      <c r="R68" s="150"/>
      <c r="S68" s="150">
        <v>16</v>
      </c>
    </row>
    <row r="69" spans="1:19">
      <c r="A69" s="151" t="s">
        <v>526</v>
      </c>
      <c r="B69" s="150">
        <v>1</v>
      </c>
      <c r="C69" s="150">
        <v>1</v>
      </c>
      <c r="D69" s="150">
        <v>1</v>
      </c>
      <c r="E69" s="150">
        <v>1</v>
      </c>
      <c r="F69" s="150">
        <v>1</v>
      </c>
      <c r="G69" s="150">
        <v>1</v>
      </c>
      <c r="H69" s="150">
        <v>1</v>
      </c>
      <c r="I69" s="150">
        <v>1</v>
      </c>
      <c r="J69" s="150">
        <v>1</v>
      </c>
      <c r="K69" s="150">
        <v>1</v>
      </c>
      <c r="L69" s="150">
        <v>1</v>
      </c>
      <c r="M69" s="150">
        <v>1</v>
      </c>
      <c r="N69" s="150">
        <v>1</v>
      </c>
      <c r="O69" s="150">
        <v>1</v>
      </c>
      <c r="P69" s="150">
        <v>1</v>
      </c>
      <c r="Q69" s="150">
        <v>1</v>
      </c>
      <c r="R69" s="150"/>
      <c r="S69" s="150">
        <v>16</v>
      </c>
    </row>
    <row r="70" spans="1:19">
      <c r="A70" s="151" t="s">
        <v>527</v>
      </c>
      <c r="B70" s="150">
        <v>1</v>
      </c>
      <c r="C70" s="150">
        <v>1</v>
      </c>
      <c r="D70" s="150">
        <v>1</v>
      </c>
      <c r="E70" s="150">
        <v>1</v>
      </c>
      <c r="F70" s="150">
        <v>1</v>
      </c>
      <c r="G70" s="150">
        <v>1</v>
      </c>
      <c r="H70" s="150">
        <v>1</v>
      </c>
      <c r="I70" s="150">
        <v>1</v>
      </c>
      <c r="J70" s="150">
        <v>1</v>
      </c>
      <c r="K70" s="150">
        <v>1</v>
      </c>
      <c r="L70" s="150">
        <v>1</v>
      </c>
      <c r="M70" s="150">
        <v>1</v>
      </c>
      <c r="N70" s="150">
        <v>1</v>
      </c>
      <c r="O70" s="150">
        <v>1</v>
      </c>
      <c r="P70" s="150">
        <v>1</v>
      </c>
      <c r="Q70" s="150">
        <v>1</v>
      </c>
      <c r="R70" s="150"/>
      <c r="S70" s="150">
        <v>16</v>
      </c>
    </row>
    <row r="71" spans="1:19">
      <c r="A71" s="151" t="s">
        <v>515</v>
      </c>
      <c r="B71" s="150">
        <v>1</v>
      </c>
      <c r="C71" s="150">
        <v>1</v>
      </c>
      <c r="D71" s="150">
        <v>1</v>
      </c>
      <c r="E71" s="150">
        <v>1</v>
      </c>
      <c r="F71" s="150">
        <v>1</v>
      </c>
      <c r="G71" s="150">
        <v>1</v>
      </c>
      <c r="H71" s="150">
        <v>1</v>
      </c>
      <c r="I71" s="150">
        <v>1</v>
      </c>
      <c r="J71" s="150">
        <v>1</v>
      </c>
      <c r="K71" s="150">
        <v>1</v>
      </c>
      <c r="L71" s="150">
        <v>1</v>
      </c>
      <c r="M71" s="150">
        <v>1</v>
      </c>
      <c r="N71" s="150">
        <v>1</v>
      </c>
      <c r="O71" s="150">
        <v>1</v>
      </c>
      <c r="P71" s="150">
        <v>1</v>
      </c>
      <c r="Q71" s="150">
        <v>1</v>
      </c>
      <c r="R71" s="150"/>
      <c r="S71" s="150">
        <v>16</v>
      </c>
    </row>
    <row r="72" spans="1:19">
      <c r="A72" s="151" t="s">
        <v>516</v>
      </c>
      <c r="B72" s="150">
        <v>1</v>
      </c>
      <c r="C72" s="150">
        <v>1</v>
      </c>
      <c r="D72" s="150">
        <v>1</v>
      </c>
      <c r="E72" s="150">
        <v>1</v>
      </c>
      <c r="F72" s="150">
        <v>1</v>
      </c>
      <c r="G72" s="150">
        <v>1</v>
      </c>
      <c r="H72" s="150">
        <v>1</v>
      </c>
      <c r="I72" s="150">
        <v>1</v>
      </c>
      <c r="J72" s="150">
        <v>1</v>
      </c>
      <c r="K72" s="150">
        <v>1</v>
      </c>
      <c r="L72" s="150">
        <v>1</v>
      </c>
      <c r="M72" s="150">
        <v>1</v>
      </c>
      <c r="N72" s="150">
        <v>1</v>
      </c>
      <c r="O72" s="150">
        <v>1</v>
      </c>
      <c r="P72" s="150">
        <v>1</v>
      </c>
      <c r="Q72" s="150">
        <v>1</v>
      </c>
      <c r="R72" s="150"/>
      <c r="S72" s="150">
        <v>16</v>
      </c>
    </row>
    <row r="73" spans="1:19">
      <c r="A73" s="149" t="s">
        <v>528</v>
      </c>
      <c r="B73" s="150">
        <v>28</v>
      </c>
      <c r="C73" s="150">
        <v>28</v>
      </c>
      <c r="D73" s="150">
        <v>28</v>
      </c>
      <c r="E73" s="150">
        <v>28</v>
      </c>
      <c r="F73" s="150">
        <v>28</v>
      </c>
      <c r="G73" s="150">
        <v>28</v>
      </c>
      <c r="H73" s="150">
        <v>28</v>
      </c>
      <c r="I73" s="150">
        <v>28</v>
      </c>
      <c r="J73" s="150">
        <v>16</v>
      </c>
      <c r="K73" s="150">
        <v>16</v>
      </c>
      <c r="L73" s="150">
        <v>16</v>
      </c>
      <c r="M73" s="150">
        <v>16</v>
      </c>
      <c r="N73" s="150">
        <v>16</v>
      </c>
      <c r="O73" s="150">
        <v>16</v>
      </c>
      <c r="P73" s="150">
        <v>16</v>
      </c>
      <c r="Q73" s="150">
        <v>16</v>
      </c>
      <c r="R73" s="150"/>
      <c r="S73" s="150">
        <v>352</v>
      </c>
    </row>
    <row r="74" spans="1:19">
      <c r="A74" s="151" t="s">
        <v>479</v>
      </c>
      <c r="B74" s="150">
        <v>1</v>
      </c>
      <c r="C74" s="150">
        <v>1</v>
      </c>
      <c r="D74" s="150">
        <v>1</v>
      </c>
      <c r="E74" s="150">
        <v>1</v>
      </c>
      <c r="F74" s="150">
        <v>1</v>
      </c>
      <c r="G74" s="150">
        <v>1</v>
      </c>
      <c r="H74" s="150">
        <v>1</v>
      </c>
      <c r="I74" s="150">
        <v>1</v>
      </c>
      <c r="J74" s="150"/>
      <c r="K74" s="150"/>
      <c r="L74" s="150"/>
      <c r="M74" s="150"/>
      <c r="N74" s="150"/>
      <c r="O74" s="150"/>
      <c r="P74" s="150"/>
      <c r="Q74" s="150"/>
      <c r="R74" s="150"/>
      <c r="S74" s="150">
        <v>8</v>
      </c>
    </row>
    <row r="75" spans="1:19">
      <c r="A75" s="151" t="s">
        <v>492</v>
      </c>
      <c r="B75" s="150">
        <v>1</v>
      </c>
      <c r="C75" s="150">
        <v>1</v>
      </c>
      <c r="D75" s="150">
        <v>1</v>
      </c>
      <c r="E75" s="150">
        <v>1</v>
      </c>
      <c r="F75" s="150">
        <v>1</v>
      </c>
      <c r="G75" s="150">
        <v>1</v>
      </c>
      <c r="H75" s="150">
        <v>1</v>
      </c>
      <c r="I75" s="150">
        <v>1</v>
      </c>
      <c r="J75" s="150"/>
      <c r="K75" s="150"/>
      <c r="L75" s="150"/>
      <c r="M75" s="150"/>
      <c r="N75" s="150"/>
      <c r="O75" s="150"/>
      <c r="P75" s="150"/>
      <c r="Q75" s="150"/>
      <c r="R75" s="150"/>
      <c r="S75" s="150">
        <v>8</v>
      </c>
    </row>
    <row r="76" spans="1:19">
      <c r="A76" s="151" t="s">
        <v>493</v>
      </c>
      <c r="B76" s="150">
        <v>1</v>
      </c>
      <c r="C76" s="150">
        <v>1</v>
      </c>
      <c r="D76" s="150">
        <v>1</v>
      </c>
      <c r="E76" s="150">
        <v>1</v>
      </c>
      <c r="F76" s="150">
        <v>1</v>
      </c>
      <c r="G76" s="150">
        <v>1</v>
      </c>
      <c r="H76" s="150">
        <v>1</v>
      </c>
      <c r="I76" s="150">
        <v>1</v>
      </c>
      <c r="J76" s="150"/>
      <c r="K76" s="150"/>
      <c r="L76" s="150"/>
      <c r="M76" s="150"/>
      <c r="N76" s="150"/>
      <c r="O76" s="150"/>
      <c r="P76" s="150"/>
      <c r="Q76" s="150"/>
      <c r="R76" s="150"/>
      <c r="S76" s="150">
        <v>8</v>
      </c>
    </row>
    <row r="77" spans="1:19">
      <c r="A77" s="151" t="s">
        <v>494</v>
      </c>
      <c r="B77" s="150">
        <v>1</v>
      </c>
      <c r="C77" s="150">
        <v>1</v>
      </c>
      <c r="D77" s="150">
        <v>1</v>
      </c>
      <c r="E77" s="150">
        <v>1</v>
      </c>
      <c r="F77" s="150">
        <v>1</v>
      </c>
      <c r="G77" s="150">
        <v>1</v>
      </c>
      <c r="H77" s="150">
        <v>1</v>
      </c>
      <c r="I77" s="150">
        <v>1</v>
      </c>
      <c r="J77" s="150"/>
      <c r="K77" s="150"/>
      <c r="L77" s="150"/>
      <c r="M77" s="150"/>
      <c r="N77" s="150"/>
      <c r="O77" s="150"/>
      <c r="P77" s="150"/>
      <c r="Q77" s="150"/>
      <c r="R77" s="150"/>
      <c r="S77" s="150">
        <v>8</v>
      </c>
    </row>
    <row r="78" spans="1:19">
      <c r="A78" s="151" t="s">
        <v>495</v>
      </c>
      <c r="B78" s="150">
        <v>1</v>
      </c>
      <c r="C78" s="150">
        <v>1</v>
      </c>
      <c r="D78" s="150">
        <v>1</v>
      </c>
      <c r="E78" s="150">
        <v>1</v>
      </c>
      <c r="F78" s="150">
        <v>1</v>
      </c>
      <c r="G78" s="150">
        <v>1</v>
      </c>
      <c r="H78" s="150">
        <v>1</v>
      </c>
      <c r="I78" s="150">
        <v>1</v>
      </c>
      <c r="J78" s="150"/>
      <c r="K78" s="150"/>
      <c r="L78" s="150"/>
      <c r="M78" s="150"/>
      <c r="N78" s="150"/>
      <c r="O78" s="150"/>
      <c r="P78" s="150"/>
      <c r="Q78" s="150"/>
      <c r="R78" s="150"/>
      <c r="S78" s="150">
        <v>8</v>
      </c>
    </row>
    <row r="79" spans="1:19">
      <c r="A79" s="151" t="s">
        <v>496</v>
      </c>
      <c r="B79" s="150">
        <v>1</v>
      </c>
      <c r="C79" s="150">
        <v>1</v>
      </c>
      <c r="D79" s="150">
        <v>1</v>
      </c>
      <c r="E79" s="150">
        <v>1</v>
      </c>
      <c r="F79" s="150">
        <v>1</v>
      </c>
      <c r="G79" s="150">
        <v>1</v>
      </c>
      <c r="H79" s="150">
        <v>1</v>
      </c>
      <c r="I79" s="150">
        <v>1</v>
      </c>
      <c r="J79" s="150"/>
      <c r="K79" s="150"/>
      <c r="L79" s="150"/>
      <c r="M79" s="150"/>
      <c r="N79" s="150"/>
      <c r="O79" s="150"/>
      <c r="P79" s="150"/>
      <c r="Q79" s="150"/>
      <c r="R79" s="150"/>
      <c r="S79" s="150">
        <v>8</v>
      </c>
    </row>
    <row r="80" spans="1:19">
      <c r="A80" s="151" t="s">
        <v>497</v>
      </c>
      <c r="B80" s="150">
        <v>1</v>
      </c>
      <c r="C80" s="150">
        <v>1</v>
      </c>
      <c r="D80" s="150">
        <v>1</v>
      </c>
      <c r="E80" s="150">
        <v>1</v>
      </c>
      <c r="F80" s="150">
        <v>1</v>
      </c>
      <c r="G80" s="150">
        <v>1</v>
      </c>
      <c r="H80" s="150">
        <v>1</v>
      </c>
      <c r="I80" s="150">
        <v>1</v>
      </c>
      <c r="J80" s="150"/>
      <c r="K80" s="150"/>
      <c r="L80" s="150"/>
      <c r="M80" s="150"/>
      <c r="N80" s="150"/>
      <c r="O80" s="150"/>
      <c r="P80" s="150"/>
      <c r="Q80" s="150"/>
      <c r="R80" s="150"/>
      <c r="S80" s="150">
        <v>8</v>
      </c>
    </row>
    <row r="81" spans="1:19">
      <c r="A81" s="151" t="s">
        <v>519</v>
      </c>
      <c r="B81" s="150">
        <v>1</v>
      </c>
      <c r="C81" s="150">
        <v>1</v>
      </c>
      <c r="D81" s="150">
        <v>1</v>
      </c>
      <c r="E81" s="150">
        <v>1</v>
      </c>
      <c r="F81" s="150">
        <v>1</v>
      </c>
      <c r="G81" s="150">
        <v>1</v>
      </c>
      <c r="H81" s="150">
        <v>1</v>
      </c>
      <c r="I81" s="150">
        <v>1</v>
      </c>
      <c r="J81" s="150"/>
      <c r="K81" s="150"/>
      <c r="L81" s="150"/>
      <c r="M81" s="150"/>
      <c r="N81" s="150"/>
      <c r="O81" s="150"/>
      <c r="P81" s="150"/>
      <c r="Q81" s="150"/>
      <c r="R81" s="150"/>
      <c r="S81" s="150">
        <v>8</v>
      </c>
    </row>
    <row r="82" spans="1:19">
      <c r="A82" s="151" t="s">
        <v>499</v>
      </c>
      <c r="B82" s="150">
        <v>1</v>
      </c>
      <c r="C82" s="150">
        <v>1</v>
      </c>
      <c r="D82" s="150">
        <v>1</v>
      </c>
      <c r="E82" s="150">
        <v>1</v>
      </c>
      <c r="F82" s="150">
        <v>1</v>
      </c>
      <c r="G82" s="150">
        <v>1</v>
      </c>
      <c r="H82" s="150">
        <v>1</v>
      </c>
      <c r="I82" s="150">
        <v>1</v>
      </c>
      <c r="J82" s="150"/>
      <c r="K82" s="150"/>
      <c r="L82" s="150"/>
      <c r="M82" s="150"/>
      <c r="N82" s="150"/>
      <c r="O82" s="150"/>
      <c r="P82" s="150"/>
      <c r="Q82" s="150"/>
      <c r="R82" s="150"/>
      <c r="S82" s="150">
        <v>8</v>
      </c>
    </row>
    <row r="83" spans="1:19">
      <c r="A83" s="151" t="s">
        <v>529</v>
      </c>
      <c r="B83" s="150">
        <v>1</v>
      </c>
      <c r="C83" s="150">
        <v>1</v>
      </c>
      <c r="D83" s="150">
        <v>1</v>
      </c>
      <c r="E83" s="150">
        <v>1</v>
      </c>
      <c r="F83" s="150">
        <v>1</v>
      </c>
      <c r="G83" s="150">
        <v>1</v>
      </c>
      <c r="H83" s="150">
        <v>1</v>
      </c>
      <c r="I83" s="150">
        <v>1</v>
      </c>
      <c r="J83" s="150"/>
      <c r="K83" s="150"/>
      <c r="L83" s="150"/>
      <c r="M83" s="150"/>
      <c r="N83" s="150"/>
      <c r="O83" s="150"/>
      <c r="P83" s="150"/>
      <c r="Q83" s="150"/>
      <c r="R83" s="150"/>
      <c r="S83" s="150">
        <v>8</v>
      </c>
    </row>
    <row r="84" spans="1:19">
      <c r="A84" s="151" t="s">
        <v>520</v>
      </c>
      <c r="B84" s="150">
        <v>1</v>
      </c>
      <c r="C84" s="150">
        <v>1</v>
      </c>
      <c r="D84" s="150">
        <v>1</v>
      </c>
      <c r="E84" s="150">
        <v>1</v>
      </c>
      <c r="F84" s="150">
        <v>1</v>
      </c>
      <c r="G84" s="150">
        <v>1</v>
      </c>
      <c r="H84" s="150">
        <v>1</v>
      </c>
      <c r="I84" s="150">
        <v>1</v>
      </c>
      <c r="J84" s="150"/>
      <c r="K84" s="150"/>
      <c r="L84" s="150"/>
      <c r="M84" s="150"/>
      <c r="N84" s="150"/>
      <c r="O84" s="150"/>
      <c r="P84" s="150"/>
      <c r="Q84" s="150"/>
      <c r="R84" s="150"/>
      <c r="S84" s="150">
        <v>8</v>
      </c>
    </row>
    <row r="85" spans="1:19">
      <c r="A85" s="151" t="s">
        <v>530</v>
      </c>
      <c r="B85" s="150">
        <v>1</v>
      </c>
      <c r="C85" s="150">
        <v>1</v>
      </c>
      <c r="D85" s="150">
        <v>1</v>
      </c>
      <c r="E85" s="150">
        <v>1</v>
      </c>
      <c r="F85" s="150">
        <v>1</v>
      </c>
      <c r="G85" s="150">
        <v>1</v>
      </c>
      <c r="H85" s="150">
        <v>1</v>
      </c>
      <c r="I85" s="150">
        <v>1</v>
      </c>
      <c r="J85" s="150"/>
      <c r="K85" s="150"/>
      <c r="L85" s="150"/>
      <c r="M85" s="150"/>
      <c r="N85" s="150"/>
      <c r="O85" s="150"/>
      <c r="P85" s="150"/>
      <c r="Q85" s="150"/>
      <c r="R85" s="150"/>
      <c r="S85" s="150">
        <v>8</v>
      </c>
    </row>
    <row r="86" spans="1:19">
      <c r="A86" s="151" t="s">
        <v>522</v>
      </c>
      <c r="B86" s="150">
        <v>1</v>
      </c>
      <c r="C86" s="150">
        <v>1</v>
      </c>
      <c r="D86" s="150">
        <v>1</v>
      </c>
      <c r="E86" s="150">
        <v>1</v>
      </c>
      <c r="F86" s="150">
        <v>1</v>
      </c>
      <c r="G86" s="150">
        <v>1</v>
      </c>
      <c r="H86" s="150">
        <v>1</v>
      </c>
      <c r="I86" s="150">
        <v>1</v>
      </c>
      <c r="J86" s="150">
        <v>1</v>
      </c>
      <c r="K86" s="150">
        <v>1</v>
      </c>
      <c r="L86" s="150">
        <v>1</v>
      </c>
      <c r="M86" s="150">
        <v>1</v>
      </c>
      <c r="N86" s="150">
        <v>1</v>
      </c>
      <c r="O86" s="150">
        <v>1</v>
      </c>
      <c r="P86" s="150">
        <v>1</v>
      </c>
      <c r="Q86" s="150">
        <v>1</v>
      </c>
      <c r="R86" s="150"/>
      <c r="S86" s="150">
        <v>16</v>
      </c>
    </row>
    <row r="87" spans="1:19">
      <c r="A87" s="151" t="s">
        <v>523</v>
      </c>
      <c r="B87" s="150">
        <v>1</v>
      </c>
      <c r="C87" s="150">
        <v>1</v>
      </c>
      <c r="D87" s="150">
        <v>1</v>
      </c>
      <c r="E87" s="150">
        <v>1</v>
      </c>
      <c r="F87" s="150">
        <v>1</v>
      </c>
      <c r="G87" s="150">
        <v>1</v>
      </c>
      <c r="H87" s="150">
        <v>1</v>
      </c>
      <c r="I87" s="150">
        <v>1</v>
      </c>
      <c r="J87" s="150">
        <v>1</v>
      </c>
      <c r="K87" s="150">
        <v>1</v>
      </c>
      <c r="L87" s="150">
        <v>1</v>
      </c>
      <c r="M87" s="150">
        <v>1</v>
      </c>
      <c r="N87" s="150">
        <v>1</v>
      </c>
      <c r="O87" s="150">
        <v>1</v>
      </c>
      <c r="P87" s="150">
        <v>1</v>
      </c>
      <c r="Q87" s="150">
        <v>1</v>
      </c>
      <c r="R87" s="150"/>
      <c r="S87" s="150">
        <v>16</v>
      </c>
    </row>
    <row r="88" spans="1:19">
      <c r="A88" s="151" t="s">
        <v>524</v>
      </c>
      <c r="B88" s="150">
        <v>1</v>
      </c>
      <c r="C88" s="150">
        <v>1</v>
      </c>
      <c r="D88" s="150">
        <v>1</v>
      </c>
      <c r="E88" s="150">
        <v>1</v>
      </c>
      <c r="F88" s="150">
        <v>1</v>
      </c>
      <c r="G88" s="150">
        <v>1</v>
      </c>
      <c r="H88" s="150">
        <v>1</v>
      </c>
      <c r="I88" s="150">
        <v>1</v>
      </c>
      <c r="J88" s="150">
        <v>1</v>
      </c>
      <c r="K88" s="150">
        <v>1</v>
      </c>
      <c r="L88" s="150">
        <v>1</v>
      </c>
      <c r="M88" s="150">
        <v>1</v>
      </c>
      <c r="N88" s="150">
        <v>1</v>
      </c>
      <c r="O88" s="150">
        <v>1</v>
      </c>
      <c r="P88" s="150">
        <v>1</v>
      </c>
      <c r="Q88" s="150">
        <v>1</v>
      </c>
      <c r="R88" s="150"/>
      <c r="S88" s="150">
        <v>16</v>
      </c>
    </row>
    <row r="89" spans="1:19">
      <c r="A89" s="151" t="s">
        <v>506</v>
      </c>
      <c r="B89" s="150">
        <v>1</v>
      </c>
      <c r="C89" s="150">
        <v>1</v>
      </c>
      <c r="D89" s="150">
        <v>1</v>
      </c>
      <c r="E89" s="150">
        <v>1</v>
      </c>
      <c r="F89" s="150">
        <v>1</v>
      </c>
      <c r="G89" s="150">
        <v>1</v>
      </c>
      <c r="H89" s="150">
        <v>1</v>
      </c>
      <c r="I89" s="150">
        <v>1</v>
      </c>
      <c r="J89" s="150">
        <v>1</v>
      </c>
      <c r="K89" s="150">
        <v>1</v>
      </c>
      <c r="L89" s="150">
        <v>1</v>
      </c>
      <c r="M89" s="150">
        <v>1</v>
      </c>
      <c r="N89" s="150">
        <v>1</v>
      </c>
      <c r="O89" s="150">
        <v>1</v>
      </c>
      <c r="P89" s="150">
        <v>1</v>
      </c>
      <c r="Q89" s="150">
        <v>1</v>
      </c>
      <c r="R89" s="150"/>
      <c r="S89" s="150">
        <v>16</v>
      </c>
    </row>
    <row r="90" spans="1:19">
      <c r="A90" s="151" t="s">
        <v>507</v>
      </c>
      <c r="B90" s="150">
        <v>1</v>
      </c>
      <c r="C90" s="150">
        <v>1</v>
      </c>
      <c r="D90" s="150">
        <v>1</v>
      </c>
      <c r="E90" s="150">
        <v>1</v>
      </c>
      <c r="F90" s="150">
        <v>1</v>
      </c>
      <c r="G90" s="150">
        <v>1</v>
      </c>
      <c r="H90" s="150">
        <v>1</v>
      </c>
      <c r="I90" s="150">
        <v>1</v>
      </c>
      <c r="J90" s="150">
        <v>1</v>
      </c>
      <c r="K90" s="150">
        <v>1</v>
      </c>
      <c r="L90" s="150">
        <v>1</v>
      </c>
      <c r="M90" s="150">
        <v>1</v>
      </c>
      <c r="N90" s="150">
        <v>1</v>
      </c>
      <c r="O90" s="150">
        <v>1</v>
      </c>
      <c r="P90" s="150">
        <v>1</v>
      </c>
      <c r="Q90" s="150">
        <v>1</v>
      </c>
      <c r="R90" s="150"/>
      <c r="S90" s="150">
        <v>16</v>
      </c>
    </row>
    <row r="91" spans="1:19">
      <c r="A91" s="151" t="s">
        <v>508</v>
      </c>
      <c r="B91" s="150">
        <v>1</v>
      </c>
      <c r="C91" s="150">
        <v>1</v>
      </c>
      <c r="D91" s="150">
        <v>1</v>
      </c>
      <c r="E91" s="150">
        <v>1</v>
      </c>
      <c r="F91" s="150">
        <v>1</v>
      </c>
      <c r="G91" s="150">
        <v>1</v>
      </c>
      <c r="H91" s="150">
        <v>1</v>
      </c>
      <c r="I91" s="150">
        <v>1</v>
      </c>
      <c r="J91" s="150">
        <v>1</v>
      </c>
      <c r="K91" s="150">
        <v>1</v>
      </c>
      <c r="L91" s="150">
        <v>1</v>
      </c>
      <c r="M91" s="150">
        <v>1</v>
      </c>
      <c r="N91" s="150">
        <v>1</v>
      </c>
      <c r="O91" s="150">
        <v>1</v>
      </c>
      <c r="P91" s="150">
        <v>1</v>
      </c>
      <c r="Q91" s="150">
        <v>1</v>
      </c>
      <c r="R91" s="150"/>
      <c r="S91" s="150">
        <v>16</v>
      </c>
    </row>
    <row r="92" spans="1:19">
      <c r="A92" s="151" t="s">
        <v>509</v>
      </c>
      <c r="B92" s="150">
        <v>1</v>
      </c>
      <c r="C92" s="150">
        <v>1</v>
      </c>
      <c r="D92" s="150">
        <v>1</v>
      </c>
      <c r="E92" s="150">
        <v>1</v>
      </c>
      <c r="F92" s="150">
        <v>1</v>
      </c>
      <c r="G92" s="150">
        <v>1</v>
      </c>
      <c r="H92" s="150">
        <v>1</v>
      </c>
      <c r="I92" s="150">
        <v>1</v>
      </c>
      <c r="J92" s="150">
        <v>1</v>
      </c>
      <c r="K92" s="150">
        <v>1</v>
      </c>
      <c r="L92" s="150">
        <v>1</v>
      </c>
      <c r="M92" s="150">
        <v>1</v>
      </c>
      <c r="N92" s="150">
        <v>1</v>
      </c>
      <c r="O92" s="150">
        <v>1</v>
      </c>
      <c r="P92" s="150">
        <v>1</v>
      </c>
      <c r="Q92" s="150">
        <v>1</v>
      </c>
      <c r="R92" s="150"/>
      <c r="S92" s="150">
        <v>16</v>
      </c>
    </row>
    <row r="93" spans="1:19">
      <c r="A93" s="151" t="s">
        <v>510</v>
      </c>
      <c r="B93" s="150">
        <v>1</v>
      </c>
      <c r="C93" s="150">
        <v>1</v>
      </c>
      <c r="D93" s="150">
        <v>1</v>
      </c>
      <c r="E93" s="150">
        <v>1</v>
      </c>
      <c r="F93" s="150">
        <v>1</v>
      </c>
      <c r="G93" s="150">
        <v>1</v>
      </c>
      <c r="H93" s="150">
        <v>1</v>
      </c>
      <c r="I93" s="150">
        <v>1</v>
      </c>
      <c r="J93" s="150">
        <v>1</v>
      </c>
      <c r="K93" s="150">
        <v>1</v>
      </c>
      <c r="L93" s="150">
        <v>1</v>
      </c>
      <c r="M93" s="150">
        <v>1</v>
      </c>
      <c r="N93" s="150">
        <v>1</v>
      </c>
      <c r="O93" s="150">
        <v>1</v>
      </c>
      <c r="P93" s="150">
        <v>1</v>
      </c>
      <c r="Q93" s="150">
        <v>1</v>
      </c>
      <c r="R93" s="150"/>
      <c r="S93" s="150">
        <v>16</v>
      </c>
    </row>
    <row r="94" spans="1:19">
      <c r="A94" s="151" t="s">
        <v>489</v>
      </c>
      <c r="B94" s="150">
        <v>1</v>
      </c>
      <c r="C94" s="150">
        <v>1</v>
      </c>
      <c r="D94" s="150">
        <v>1</v>
      </c>
      <c r="E94" s="150">
        <v>1</v>
      </c>
      <c r="F94" s="150">
        <v>1</v>
      </c>
      <c r="G94" s="150">
        <v>1</v>
      </c>
      <c r="H94" s="150">
        <v>1</v>
      </c>
      <c r="I94" s="150">
        <v>1</v>
      </c>
      <c r="J94" s="150">
        <v>1</v>
      </c>
      <c r="K94" s="150">
        <v>1</v>
      </c>
      <c r="L94" s="150">
        <v>1</v>
      </c>
      <c r="M94" s="150">
        <v>1</v>
      </c>
      <c r="N94" s="150">
        <v>1</v>
      </c>
      <c r="O94" s="150">
        <v>1</v>
      </c>
      <c r="P94" s="150">
        <v>1</v>
      </c>
      <c r="Q94" s="150">
        <v>1</v>
      </c>
      <c r="R94" s="150"/>
      <c r="S94" s="150">
        <v>16</v>
      </c>
    </row>
    <row r="95" spans="1:19">
      <c r="A95" s="151" t="s">
        <v>511</v>
      </c>
      <c r="B95" s="150">
        <v>1</v>
      </c>
      <c r="C95" s="150">
        <v>1</v>
      </c>
      <c r="D95" s="150">
        <v>1</v>
      </c>
      <c r="E95" s="150">
        <v>1</v>
      </c>
      <c r="F95" s="150">
        <v>1</v>
      </c>
      <c r="G95" s="150">
        <v>1</v>
      </c>
      <c r="H95" s="150">
        <v>1</v>
      </c>
      <c r="I95" s="150">
        <v>1</v>
      </c>
      <c r="J95" s="150">
        <v>1</v>
      </c>
      <c r="K95" s="150">
        <v>1</v>
      </c>
      <c r="L95" s="150">
        <v>1</v>
      </c>
      <c r="M95" s="150">
        <v>1</v>
      </c>
      <c r="N95" s="150">
        <v>1</v>
      </c>
      <c r="O95" s="150">
        <v>1</v>
      </c>
      <c r="P95" s="150">
        <v>1</v>
      </c>
      <c r="Q95" s="150">
        <v>1</v>
      </c>
      <c r="R95" s="150"/>
      <c r="S95" s="150">
        <v>16</v>
      </c>
    </row>
    <row r="96" spans="1:19">
      <c r="A96" s="151" t="s">
        <v>525</v>
      </c>
      <c r="B96" s="150">
        <v>1</v>
      </c>
      <c r="C96" s="150">
        <v>1</v>
      </c>
      <c r="D96" s="150">
        <v>1</v>
      </c>
      <c r="E96" s="150">
        <v>1</v>
      </c>
      <c r="F96" s="150">
        <v>1</v>
      </c>
      <c r="G96" s="150">
        <v>1</v>
      </c>
      <c r="H96" s="150">
        <v>1</v>
      </c>
      <c r="I96" s="150">
        <v>1</v>
      </c>
      <c r="J96" s="150">
        <v>1</v>
      </c>
      <c r="K96" s="150">
        <v>1</v>
      </c>
      <c r="L96" s="150">
        <v>1</v>
      </c>
      <c r="M96" s="150">
        <v>1</v>
      </c>
      <c r="N96" s="150">
        <v>1</v>
      </c>
      <c r="O96" s="150">
        <v>1</v>
      </c>
      <c r="P96" s="150">
        <v>1</v>
      </c>
      <c r="Q96" s="150">
        <v>1</v>
      </c>
      <c r="R96" s="150"/>
      <c r="S96" s="150">
        <v>16</v>
      </c>
    </row>
    <row r="97" spans="1:19">
      <c r="A97" s="151" t="s">
        <v>526</v>
      </c>
      <c r="B97" s="150">
        <v>1</v>
      </c>
      <c r="C97" s="150">
        <v>1</v>
      </c>
      <c r="D97" s="150">
        <v>1</v>
      </c>
      <c r="E97" s="150">
        <v>1</v>
      </c>
      <c r="F97" s="150">
        <v>1</v>
      </c>
      <c r="G97" s="150">
        <v>1</v>
      </c>
      <c r="H97" s="150">
        <v>1</v>
      </c>
      <c r="I97" s="150">
        <v>1</v>
      </c>
      <c r="J97" s="150">
        <v>1</v>
      </c>
      <c r="K97" s="150">
        <v>1</v>
      </c>
      <c r="L97" s="150">
        <v>1</v>
      </c>
      <c r="M97" s="150">
        <v>1</v>
      </c>
      <c r="N97" s="150">
        <v>1</v>
      </c>
      <c r="O97" s="150">
        <v>1</v>
      </c>
      <c r="P97" s="150">
        <v>1</v>
      </c>
      <c r="Q97" s="150">
        <v>1</v>
      </c>
      <c r="R97" s="150"/>
      <c r="S97" s="150">
        <v>16</v>
      </c>
    </row>
    <row r="98" spans="1:19">
      <c r="A98" s="151" t="s">
        <v>527</v>
      </c>
      <c r="B98" s="150">
        <v>1</v>
      </c>
      <c r="C98" s="150">
        <v>1</v>
      </c>
      <c r="D98" s="150">
        <v>1</v>
      </c>
      <c r="E98" s="150">
        <v>1</v>
      </c>
      <c r="F98" s="150">
        <v>1</v>
      </c>
      <c r="G98" s="150">
        <v>1</v>
      </c>
      <c r="H98" s="150">
        <v>1</v>
      </c>
      <c r="I98" s="150">
        <v>1</v>
      </c>
      <c r="J98" s="150">
        <v>1</v>
      </c>
      <c r="K98" s="150">
        <v>1</v>
      </c>
      <c r="L98" s="150">
        <v>1</v>
      </c>
      <c r="M98" s="150">
        <v>1</v>
      </c>
      <c r="N98" s="150">
        <v>1</v>
      </c>
      <c r="O98" s="150">
        <v>1</v>
      </c>
      <c r="P98" s="150">
        <v>1</v>
      </c>
      <c r="Q98" s="150">
        <v>1</v>
      </c>
      <c r="R98" s="150"/>
      <c r="S98" s="150">
        <v>16</v>
      </c>
    </row>
    <row r="99" spans="1:19">
      <c r="A99" s="151" t="s">
        <v>515</v>
      </c>
      <c r="B99" s="150">
        <v>1</v>
      </c>
      <c r="C99" s="150">
        <v>1</v>
      </c>
      <c r="D99" s="150">
        <v>1</v>
      </c>
      <c r="E99" s="150">
        <v>1</v>
      </c>
      <c r="F99" s="150">
        <v>1</v>
      </c>
      <c r="G99" s="150">
        <v>1</v>
      </c>
      <c r="H99" s="150">
        <v>1</v>
      </c>
      <c r="I99" s="150">
        <v>1</v>
      </c>
      <c r="J99" s="150">
        <v>1</v>
      </c>
      <c r="K99" s="150">
        <v>1</v>
      </c>
      <c r="L99" s="150">
        <v>1</v>
      </c>
      <c r="M99" s="150">
        <v>1</v>
      </c>
      <c r="N99" s="150">
        <v>1</v>
      </c>
      <c r="O99" s="150">
        <v>1</v>
      </c>
      <c r="P99" s="150">
        <v>1</v>
      </c>
      <c r="Q99" s="150">
        <v>1</v>
      </c>
      <c r="R99" s="150"/>
      <c r="S99" s="150">
        <v>16</v>
      </c>
    </row>
    <row r="100" spans="1:19">
      <c r="A100" s="151" t="s">
        <v>516</v>
      </c>
      <c r="B100" s="150">
        <v>1</v>
      </c>
      <c r="C100" s="150">
        <v>1</v>
      </c>
      <c r="D100" s="150">
        <v>1</v>
      </c>
      <c r="E100" s="150">
        <v>1</v>
      </c>
      <c r="F100" s="150">
        <v>1</v>
      </c>
      <c r="G100" s="150">
        <v>1</v>
      </c>
      <c r="H100" s="150">
        <v>1</v>
      </c>
      <c r="I100" s="150">
        <v>1</v>
      </c>
      <c r="J100" s="150">
        <v>1</v>
      </c>
      <c r="K100" s="150">
        <v>1</v>
      </c>
      <c r="L100" s="150">
        <v>1</v>
      </c>
      <c r="M100" s="150">
        <v>1</v>
      </c>
      <c r="N100" s="150">
        <v>1</v>
      </c>
      <c r="O100" s="150">
        <v>1</v>
      </c>
      <c r="P100" s="150">
        <v>1</v>
      </c>
      <c r="Q100" s="150">
        <v>1</v>
      </c>
      <c r="R100" s="150"/>
      <c r="S100" s="150">
        <v>16</v>
      </c>
    </row>
    <row r="101" spans="1:19">
      <c r="A101" s="151" t="s">
        <v>517</v>
      </c>
      <c r="B101" s="150">
        <v>1</v>
      </c>
      <c r="C101" s="150">
        <v>1</v>
      </c>
      <c r="D101" s="150">
        <v>1</v>
      </c>
      <c r="E101" s="150">
        <v>1</v>
      </c>
      <c r="F101" s="150">
        <v>1</v>
      </c>
      <c r="G101" s="150">
        <v>1</v>
      </c>
      <c r="H101" s="150">
        <v>1</v>
      </c>
      <c r="I101" s="150">
        <v>1</v>
      </c>
      <c r="J101" s="150">
        <v>1</v>
      </c>
      <c r="K101" s="150">
        <v>1</v>
      </c>
      <c r="L101" s="150">
        <v>1</v>
      </c>
      <c r="M101" s="150">
        <v>1</v>
      </c>
      <c r="N101" s="150">
        <v>1</v>
      </c>
      <c r="O101" s="150">
        <v>1</v>
      </c>
      <c r="P101" s="150">
        <v>1</v>
      </c>
      <c r="Q101" s="150">
        <v>1</v>
      </c>
      <c r="R101" s="150"/>
      <c r="S101" s="150">
        <v>16</v>
      </c>
    </row>
    <row r="102" spans="1:19">
      <c r="A102" s="149" t="s">
        <v>476</v>
      </c>
      <c r="B102" s="150"/>
      <c r="C102" s="150"/>
      <c r="D102" s="150"/>
      <c r="E102" s="150"/>
      <c r="F102" s="150"/>
      <c r="G102" s="150"/>
      <c r="H102" s="150"/>
      <c r="I102" s="150"/>
      <c r="J102" s="150"/>
      <c r="K102" s="150"/>
      <c r="L102" s="150"/>
      <c r="M102" s="150"/>
      <c r="N102" s="150"/>
      <c r="O102" s="150"/>
      <c r="P102" s="150"/>
      <c r="Q102" s="150"/>
      <c r="R102" s="150"/>
      <c r="S102" s="150"/>
    </row>
    <row r="103" spans="1:19">
      <c r="A103" s="151" t="s">
        <v>476</v>
      </c>
      <c r="B103" s="150"/>
      <c r="C103" s="150"/>
      <c r="D103" s="150"/>
      <c r="E103" s="150"/>
      <c r="F103" s="150"/>
      <c r="G103" s="150"/>
      <c r="H103" s="150"/>
      <c r="I103" s="150"/>
      <c r="J103" s="150"/>
      <c r="K103" s="150"/>
      <c r="L103" s="150"/>
      <c r="M103" s="150"/>
      <c r="N103" s="150"/>
      <c r="O103" s="150"/>
      <c r="P103" s="150"/>
      <c r="Q103" s="150"/>
      <c r="R103" s="150"/>
      <c r="S103" s="150"/>
    </row>
    <row r="104" spans="1:19">
      <c r="A104" s="149" t="s">
        <v>477</v>
      </c>
      <c r="B104" s="150">
        <v>168</v>
      </c>
      <c r="C104" s="150">
        <v>137</v>
      </c>
      <c r="D104" s="150">
        <v>89</v>
      </c>
      <c r="E104" s="150">
        <v>89</v>
      </c>
      <c r="F104" s="150">
        <v>89</v>
      </c>
      <c r="G104" s="150">
        <v>89</v>
      </c>
      <c r="H104" s="150">
        <v>89</v>
      </c>
      <c r="I104" s="150">
        <v>89</v>
      </c>
      <c r="J104" s="150">
        <v>51</v>
      </c>
      <c r="K104" s="150">
        <v>51</v>
      </c>
      <c r="L104" s="150">
        <v>51</v>
      </c>
      <c r="M104" s="150">
        <v>51</v>
      </c>
      <c r="N104" s="150">
        <v>51</v>
      </c>
      <c r="O104" s="150">
        <v>51</v>
      </c>
      <c r="P104" s="150">
        <v>51</v>
      </c>
      <c r="Q104" s="150">
        <v>51</v>
      </c>
      <c r="R104" s="150"/>
      <c r="S104" s="150">
        <v>1247</v>
      </c>
    </row>
  </sheetData>
  <pageMargins left="0.7" right="0.7" top="0.75" bottom="0.75" header="0.3" footer="0.3"/>
  <headerFooter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0"/>
  <dimension ref="A1:G73"/>
  <sheetViews>
    <sheetView workbookViewId="0">
      <pane ySplit="1" topLeftCell="A2" activePane="bottomLeft" state="frozen"/>
      <selection/>
      <selection pane="bottomLeft" activeCell="D36" sqref="D36:D39"/>
    </sheetView>
  </sheetViews>
  <sheetFormatPr defaultColWidth="8.88333333333333" defaultRowHeight="14.25" outlineLevelCol="6"/>
  <cols>
    <col min="1" max="2" width="19.875" style="4" customWidth="1"/>
    <col min="3" max="4" width="13.375" style="4" customWidth="1"/>
    <col min="5" max="5" width="25.375" style="3" customWidth="1"/>
    <col min="6" max="6" width="8.75" style="3" customWidth="1"/>
    <col min="7" max="7" width="111.25" style="4" customWidth="1"/>
    <col min="8" max="16384" width="8.88333333333333" style="4"/>
  </cols>
  <sheetData>
    <row r="1" s="146" customFormat="1" spans="1:7">
      <c r="A1" s="147" t="s">
        <v>531</v>
      </c>
      <c r="B1" s="147" t="s">
        <v>532</v>
      </c>
      <c r="C1" s="147" t="s">
        <v>533</v>
      </c>
      <c r="D1" s="147" t="s">
        <v>534</v>
      </c>
      <c r="E1" s="147" t="s">
        <v>535</v>
      </c>
      <c r="F1" s="147" t="s">
        <v>536</v>
      </c>
      <c r="G1" s="147" t="s">
        <v>537</v>
      </c>
    </row>
    <row r="2" ht="15" spans="1:7">
      <c r="A2" s="148" t="s">
        <v>538</v>
      </c>
      <c r="B2" s="148" t="s">
        <v>539</v>
      </c>
      <c r="C2" s="148">
        <v>1</v>
      </c>
      <c r="D2" s="148" t="s">
        <v>540</v>
      </c>
      <c r="E2" s="148" t="s">
        <v>541</v>
      </c>
      <c r="F2" s="148">
        <v>3</v>
      </c>
      <c r="G2" s="148" t="s">
        <v>542</v>
      </c>
    </row>
    <row r="3" ht="15" spans="1:7">
      <c r="A3" s="148"/>
      <c r="B3" s="148"/>
      <c r="C3" s="148"/>
      <c r="D3" s="148"/>
      <c r="E3" s="148" t="s">
        <v>543</v>
      </c>
      <c r="F3" s="148">
        <v>4</v>
      </c>
      <c r="G3" s="148"/>
    </row>
    <row r="4" ht="15" spans="1:7">
      <c r="A4" s="148"/>
      <c r="B4" s="148"/>
      <c r="C4" s="148"/>
      <c r="D4" s="148"/>
      <c r="E4" s="148" t="s">
        <v>544</v>
      </c>
      <c r="F4" s="148">
        <v>5</v>
      </c>
      <c r="G4" s="148"/>
    </row>
    <row r="5" ht="15" spans="1:7">
      <c r="A5" s="148" t="s">
        <v>545</v>
      </c>
      <c r="B5" s="148" t="s">
        <v>546</v>
      </c>
      <c r="C5" s="148">
        <v>4</v>
      </c>
      <c r="D5" s="148" t="s">
        <v>540</v>
      </c>
      <c r="E5" s="148" t="s">
        <v>547</v>
      </c>
      <c r="F5" s="148">
        <v>3</v>
      </c>
      <c r="G5" s="148" t="s">
        <v>548</v>
      </c>
    </row>
    <row r="6" ht="15" spans="1:7">
      <c r="A6" s="148"/>
      <c r="B6" s="148"/>
      <c r="C6" s="148"/>
      <c r="D6" s="148"/>
      <c r="E6" s="148" t="s">
        <v>549</v>
      </c>
      <c r="F6" s="148">
        <v>4</v>
      </c>
      <c r="G6" s="148"/>
    </row>
    <row r="7" ht="15" spans="1:7">
      <c r="A7" s="148"/>
      <c r="B7" s="148"/>
      <c r="C7" s="148"/>
      <c r="D7" s="148"/>
      <c r="E7" s="148" t="s">
        <v>550</v>
      </c>
      <c r="F7" s="148">
        <v>5</v>
      </c>
      <c r="G7" s="148"/>
    </row>
    <row r="8" ht="15" spans="1:7">
      <c r="A8" s="148"/>
      <c r="B8" s="148"/>
      <c r="C8" s="148"/>
      <c r="D8" s="148"/>
      <c r="E8" s="148" t="s">
        <v>551</v>
      </c>
      <c r="F8" s="148">
        <v>6</v>
      </c>
      <c r="G8" s="148"/>
    </row>
    <row r="9" ht="15" spans="1:7">
      <c r="A9" s="148"/>
      <c r="B9" s="148"/>
      <c r="C9" s="148"/>
      <c r="D9" s="148"/>
      <c r="E9" s="148" t="s">
        <v>552</v>
      </c>
      <c r="F9" s="148">
        <v>7</v>
      </c>
      <c r="G9" s="148"/>
    </row>
    <row r="10" ht="15" spans="1:7">
      <c r="A10" s="148"/>
      <c r="B10" s="148"/>
      <c r="C10" s="148"/>
      <c r="D10" s="148" t="s">
        <v>553</v>
      </c>
      <c r="E10" s="148" t="s">
        <v>554</v>
      </c>
      <c r="F10" s="148">
        <v>3</v>
      </c>
      <c r="G10" s="148" t="s">
        <v>555</v>
      </c>
    </row>
    <row r="11" ht="15" spans="1:7">
      <c r="A11" s="148"/>
      <c r="B11" s="148"/>
      <c r="C11" s="148"/>
      <c r="D11" s="148"/>
      <c r="E11" s="148" t="s">
        <v>556</v>
      </c>
      <c r="F11" s="148">
        <v>4</v>
      </c>
      <c r="G11" s="148"/>
    </row>
    <row r="12" ht="15" spans="1:7">
      <c r="A12" s="148"/>
      <c r="B12" s="148"/>
      <c r="C12" s="148"/>
      <c r="D12" s="148"/>
      <c r="E12" s="148" t="s">
        <v>557</v>
      </c>
      <c r="F12" s="148">
        <v>5</v>
      </c>
      <c r="G12" s="148"/>
    </row>
    <row r="13" ht="15" spans="1:7">
      <c r="A13" s="148" t="s">
        <v>558</v>
      </c>
      <c r="B13" s="148" t="s">
        <v>559</v>
      </c>
      <c r="C13" s="148">
        <v>6</v>
      </c>
      <c r="D13" s="148" t="s">
        <v>540</v>
      </c>
      <c r="E13" s="148" t="s">
        <v>560</v>
      </c>
      <c r="F13" s="148">
        <v>3</v>
      </c>
      <c r="G13" s="148" t="s">
        <v>561</v>
      </c>
    </row>
    <row r="14" ht="15" spans="1:7">
      <c r="A14" s="148"/>
      <c r="B14" s="148"/>
      <c r="C14" s="148"/>
      <c r="D14" s="148"/>
      <c r="E14" s="148" t="s">
        <v>562</v>
      </c>
      <c r="F14" s="148">
        <v>4</v>
      </c>
      <c r="G14" s="148"/>
    </row>
    <row r="15" ht="15" spans="1:7">
      <c r="A15" s="148"/>
      <c r="B15" s="148"/>
      <c r="C15" s="148"/>
      <c r="D15" s="148"/>
      <c r="E15" s="148" t="s">
        <v>563</v>
      </c>
      <c r="F15" s="148">
        <v>5</v>
      </c>
      <c r="G15" s="148"/>
    </row>
    <row r="16" ht="15" spans="1:7">
      <c r="A16" s="148"/>
      <c r="B16" s="148"/>
      <c r="C16" s="148"/>
      <c r="D16" s="148"/>
      <c r="E16" s="148" t="s">
        <v>564</v>
      </c>
      <c r="F16" s="148">
        <v>6</v>
      </c>
      <c r="G16" s="148"/>
    </row>
    <row r="17" ht="15" spans="1:7">
      <c r="A17" s="148"/>
      <c r="B17" s="148"/>
      <c r="C17" s="148"/>
      <c r="D17" s="148"/>
      <c r="E17" s="148" t="s">
        <v>565</v>
      </c>
      <c r="F17" s="148">
        <v>7</v>
      </c>
      <c r="G17" s="148"/>
    </row>
    <row r="18" ht="15" spans="1:7">
      <c r="A18" s="148"/>
      <c r="B18" s="148"/>
      <c r="C18" s="148"/>
      <c r="D18" s="148" t="s">
        <v>553</v>
      </c>
      <c r="E18" s="148" t="s">
        <v>566</v>
      </c>
      <c r="F18" s="148">
        <v>3</v>
      </c>
      <c r="G18" s="148" t="s">
        <v>567</v>
      </c>
    </row>
    <row r="19" ht="15" spans="1:7">
      <c r="A19" s="148"/>
      <c r="B19" s="148"/>
      <c r="C19" s="148"/>
      <c r="D19" s="148"/>
      <c r="E19" s="148" t="s">
        <v>568</v>
      </c>
      <c r="F19" s="148">
        <v>4</v>
      </c>
      <c r="G19" s="148"/>
    </row>
    <row r="20" ht="15" spans="1:7">
      <c r="A20" s="148"/>
      <c r="B20" s="148"/>
      <c r="C20" s="148"/>
      <c r="D20" s="148"/>
      <c r="E20" s="148" t="s">
        <v>569</v>
      </c>
      <c r="F20" s="148">
        <v>5</v>
      </c>
      <c r="G20" s="148"/>
    </row>
    <row r="21" ht="15" spans="1:7">
      <c r="A21" s="148"/>
      <c r="B21" s="148"/>
      <c r="C21" s="148"/>
      <c r="D21" s="148"/>
      <c r="E21" s="148" t="s">
        <v>570</v>
      </c>
      <c r="F21" s="148">
        <v>6</v>
      </c>
      <c r="G21" s="148"/>
    </row>
    <row r="22" ht="15" spans="1:7">
      <c r="A22" s="148"/>
      <c r="B22" s="148"/>
      <c r="C22" s="148"/>
      <c r="D22" s="148"/>
      <c r="E22" s="148" t="s">
        <v>571</v>
      </c>
      <c r="F22" s="148">
        <v>7</v>
      </c>
      <c r="G22" s="148"/>
    </row>
    <row r="23" ht="15" spans="1:7">
      <c r="A23" s="148" t="s">
        <v>572</v>
      </c>
      <c r="B23" s="148" t="s">
        <v>573</v>
      </c>
      <c r="C23" s="148">
        <v>2</v>
      </c>
      <c r="D23" s="148" t="s">
        <v>540</v>
      </c>
      <c r="E23" s="148" t="s">
        <v>574</v>
      </c>
      <c r="F23" s="148">
        <v>3</v>
      </c>
      <c r="G23" s="148" t="s">
        <v>575</v>
      </c>
    </row>
    <row r="24" ht="15" spans="1:7">
      <c r="A24" s="148"/>
      <c r="B24" s="148"/>
      <c r="C24" s="148"/>
      <c r="D24" s="148"/>
      <c r="E24" s="148" t="s">
        <v>576</v>
      </c>
      <c r="F24" s="148">
        <v>4</v>
      </c>
      <c r="G24" s="148"/>
    </row>
    <row r="25" ht="15" spans="1:7">
      <c r="A25" s="148"/>
      <c r="B25" s="148"/>
      <c r="C25" s="148"/>
      <c r="D25" s="148"/>
      <c r="E25" s="148" t="s">
        <v>577</v>
      </c>
      <c r="F25" s="148">
        <v>5</v>
      </c>
      <c r="G25" s="148"/>
    </row>
    <row r="26" ht="15" spans="1:7">
      <c r="A26" s="148"/>
      <c r="B26" s="148"/>
      <c r="C26" s="148"/>
      <c r="D26" s="148"/>
      <c r="E26" s="148" t="s">
        <v>578</v>
      </c>
      <c r="F26" s="148">
        <v>6</v>
      </c>
      <c r="G26" s="148"/>
    </row>
    <row r="27" ht="15" spans="1:7">
      <c r="A27" s="148"/>
      <c r="B27" s="148"/>
      <c r="C27" s="148"/>
      <c r="D27" s="148"/>
      <c r="E27" s="148" t="s">
        <v>579</v>
      </c>
      <c r="F27" s="148">
        <v>7</v>
      </c>
      <c r="G27" s="148"/>
    </row>
    <row r="28" ht="15" spans="1:7">
      <c r="A28" s="148"/>
      <c r="B28" s="148"/>
      <c r="C28" s="148"/>
      <c r="D28" s="148" t="s">
        <v>553</v>
      </c>
      <c r="E28" s="148" t="s">
        <v>580</v>
      </c>
      <c r="F28" s="148">
        <v>3</v>
      </c>
      <c r="G28" s="148" t="s">
        <v>581</v>
      </c>
    </row>
    <row r="29" ht="15" spans="1:7">
      <c r="A29" s="148"/>
      <c r="B29" s="148"/>
      <c r="C29" s="148"/>
      <c r="D29" s="148"/>
      <c r="E29" s="148" t="s">
        <v>582</v>
      </c>
      <c r="F29" s="148">
        <v>4</v>
      </c>
      <c r="G29" s="148"/>
    </row>
    <row r="30" ht="15" spans="1:7">
      <c r="A30" s="148"/>
      <c r="B30" s="148"/>
      <c r="C30" s="148"/>
      <c r="D30" s="148"/>
      <c r="E30" s="148" t="s">
        <v>583</v>
      </c>
      <c r="F30" s="148">
        <v>5</v>
      </c>
      <c r="G30" s="148"/>
    </row>
    <row r="31" ht="15" spans="1:7">
      <c r="A31" s="148" t="s">
        <v>584</v>
      </c>
      <c r="B31" s="148" t="s">
        <v>585</v>
      </c>
      <c r="C31" s="148">
        <v>1</v>
      </c>
      <c r="D31" s="148" t="s">
        <v>540</v>
      </c>
      <c r="E31" s="148" t="s">
        <v>586</v>
      </c>
      <c r="F31" s="148">
        <v>3</v>
      </c>
      <c r="G31" s="148" t="s">
        <v>587</v>
      </c>
    </row>
    <row r="32" ht="15" spans="1:7">
      <c r="A32" s="148"/>
      <c r="B32" s="148"/>
      <c r="C32" s="148"/>
      <c r="D32" s="148"/>
      <c r="E32" s="148" t="s">
        <v>588</v>
      </c>
      <c r="F32" s="148">
        <v>4</v>
      </c>
      <c r="G32" s="148"/>
    </row>
    <row r="33" ht="15" spans="1:7">
      <c r="A33" s="148"/>
      <c r="B33" s="148"/>
      <c r="C33" s="148"/>
      <c r="D33" s="148"/>
      <c r="E33" s="148" t="s">
        <v>589</v>
      </c>
      <c r="F33" s="148">
        <v>5</v>
      </c>
      <c r="G33" s="148"/>
    </row>
    <row r="34" ht="15" spans="1:7">
      <c r="A34" s="148"/>
      <c r="B34" s="148"/>
      <c r="C34" s="148"/>
      <c r="D34" s="148"/>
      <c r="E34" s="148" t="s">
        <v>590</v>
      </c>
      <c r="F34" s="148">
        <v>6</v>
      </c>
      <c r="G34" s="148"/>
    </row>
    <row r="35" ht="15" spans="1:7">
      <c r="A35" s="148"/>
      <c r="B35" s="148"/>
      <c r="C35" s="148"/>
      <c r="D35" s="148"/>
      <c r="E35" s="148" t="s">
        <v>591</v>
      </c>
      <c r="F35" s="148">
        <v>7</v>
      </c>
      <c r="G35" s="148"/>
    </row>
    <row r="36" ht="15" spans="1:7">
      <c r="A36" s="148"/>
      <c r="B36" s="148"/>
      <c r="C36" s="148"/>
      <c r="D36" s="148" t="s">
        <v>553</v>
      </c>
      <c r="E36" s="148" t="s">
        <v>592</v>
      </c>
      <c r="F36" s="148">
        <v>3</v>
      </c>
      <c r="G36" s="148" t="s">
        <v>593</v>
      </c>
    </row>
    <row r="37" ht="15" spans="1:7">
      <c r="A37" s="148"/>
      <c r="B37" s="148"/>
      <c r="C37" s="148"/>
      <c r="D37" s="148"/>
      <c r="E37" s="148" t="s">
        <v>594</v>
      </c>
      <c r="F37" s="148">
        <v>4</v>
      </c>
      <c r="G37" s="148"/>
    </row>
    <row r="38" ht="15" spans="1:7">
      <c r="A38" s="148"/>
      <c r="B38" s="148"/>
      <c r="C38" s="148"/>
      <c r="D38" s="148"/>
      <c r="E38" s="148" t="s">
        <v>595</v>
      </c>
      <c r="F38" s="148">
        <v>5</v>
      </c>
      <c r="G38" s="148"/>
    </row>
    <row r="39" ht="15" spans="1:7">
      <c r="A39" s="148"/>
      <c r="B39" s="148"/>
      <c r="C39" s="148"/>
      <c r="D39" s="148"/>
      <c r="E39" s="148" t="s">
        <v>596</v>
      </c>
      <c r="F39" s="148">
        <v>6</v>
      </c>
      <c r="G39" s="148"/>
    </row>
    <row r="40" ht="15" spans="1:7">
      <c r="A40" s="148"/>
      <c r="B40" s="148"/>
      <c r="C40" s="148"/>
      <c r="D40" s="148" t="s">
        <v>597</v>
      </c>
      <c r="E40" s="148" t="s">
        <v>598</v>
      </c>
      <c r="F40" s="148">
        <v>3</v>
      </c>
      <c r="G40" s="148" t="s">
        <v>599</v>
      </c>
    </row>
    <row r="41" ht="15" spans="1:7">
      <c r="A41" s="148"/>
      <c r="B41" s="148"/>
      <c r="C41" s="148"/>
      <c r="D41" s="148"/>
      <c r="E41" s="148" t="s">
        <v>600</v>
      </c>
      <c r="F41" s="148">
        <v>4</v>
      </c>
      <c r="G41" s="148"/>
    </row>
    <row r="42" ht="15" spans="1:7">
      <c r="A42" s="148"/>
      <c r="B42" s="148"/>
      <c r="C42" s="148"/>
      <c r="D42" s="148"/>
      <c r="E42" s="148" t="s">
        <v>601</v>
      </c>
      <c r="F42" s="148">
        <v>5</v>
      </c>
      <c r="G42" s="148"/>
    </row>
    <row r="43" ht="15" spans="1:7">
      <c r="A43" s="148"/>
      <c r="B43" s="148"/>
      <c r="C43" s="148"/>
      <c r="D43" s="148"/>
      <c r="E43" s="148" t="s">
        <v>602</v>
      </c>
      <c r="F43" s="148">
        <v>6</v>
      </c>
      <c r="G43" s="148"/>
    </row>
    <row r="44" ht="15" spans="1:7">
      <c r="A44" s="148"/>
      <c r="B44" s="148"/>
      <c r="C44" s="148"/>
      <c r="D44" s="148"/>
      <c r="E44" s="148" t="s">
        <v>603</v>
      </c>
      <c r="F44" s="148">
        <v>7</v>
      </c>
      <c r="G44" s="148"/>
    </row>
    <row r="45" ht="15" spans="1:7">
      <c r="A45" s="148" t="s">
        <v>604</v>
      </c>
      <c r="B45" s="148" t="s">
        <v>605</v>
      </c>
      <c r="C45" s="148">
        <v>6</v>
      </c>
      <c r="D45" s="148" t="s">
        <v>540</v>
      </c>
      <c r="E45" s="148" t="s">
        <v>606</v>
      </c>
      <c r="F45" s="148">
        <v>3</v>
      </c>
      <c r="G45" s="148" t="s">
        <v>607</v>
      </c>
    </row>
    <row r="46" ht="15" spans="1:7">
      <c r="A46" s="148"/>
      <c r="B46" s="148"/>
      <c r="C46" s="148"/>
      <c r="D46" s="148"/>
      <c r="E46" s="148" t="s">
        <v>608</v>
      </c>
      <c r="F46" s="148">
        <v>4</v>
      </c>
      <c r="G46" s="148"/>
    </row>
    <row r="47" ht="15" spans="1:7">
      <c r="A47" s="148"/>
      <c r="B47" s="148"/>
      <c r="C47" s="148"/>
      <c r="D47" s="148"/>
      <c r="E47" s="148" t="s">
        <v>609</v>
      </c>
      <c r="F47" s="148">
        <v>5</v>
      </c>
      <c r="G47" s="148"/>
    </row>
    <row r="48" ht="15" spans="1:7">
      <c r="A48" s="148"/>
      <c r="B48" s="148"/>
      <c r="C48" s="148"/>
      <c r="D48" s="148"/>
      <c r="E48" s="148" t="s">
        <v>610</v>
      </c>
      <c r="F48" s="148">
        <v>6</v>
      </c>
      <c r="G48" s="148"/>
    </row>
    <row r="49" ht="15" spans="1:7">
      <c r="A49" s="148"/>
      <c r="B49" s="148"/>
      <c r="C49" s="148"/>
      <c r="D49" s="148"/>
      <c r="E49" s="148" t="s">
        <v>611</v>
      </c>
      <c r="F49" s="148">
        <v>7</v>
      </c>
      <c r="G49" s="148"/>
    </row>
    <row r="50" ht="15" spans="1:7">
      <c r="A50" s="148"/>
      <c r="B50" s="148"/>
      <c r="C50" s="148"/>
      <c r="D50" s="148" t="s">
        <v>553</v>
      </c>
      <c r="E50" s="148" t="s">
        <v>612</v>
      </c>
      <c r="F50" s="148">
        <v>3</v>
      </c>
      <c r="G50" s="148" t="s">
        <v>613</v>
      </c>
    </row>
    <row r="51" ht="15" spans="1:7">
      <c r="A51" s="148"/>
      <c r="B51" s="148"/>
      <c r="C51" s="148"/>
      <c r="D51" s="148"/>
      <c r="E51" s="148" t="s">
        <v>614</v>
      </c>
      <c r="F51" s="148">
        <v>4</v>
      </c>
      <c r="G51" s="148"/>
    </row>
    <row r="52" ht="15" spans="1:7">
      <c r="A52" s="148"/>
      <c r="B52" s="148"/>
      <c r="C52" s="148"/>
      <c r="D52" s="148"/>
      <c r="E52" s="148" t="s">
        <v>615</v>
      </c>
      <c r="F52" s="148">
        <v>5</v>
      </c>
      <c r="G52" s="148"/>
    </row>
    <row r="53" ht="15" spans="1:7">
      <c r="A53" s="148"/>
      <c r="B53" s="148"/>
      <c r="C53" s="148"/>
      <c r="D53" s="148"/>
      <c r="E53" s="148" t="s">
        <v>616</v>
      </c>
      <c r="F53" s="148">
        <v>6</v>
      </c>
      <c r="G53" s="148"/>
    </row>
    <row r="54" ht="15" spans="1:7">
      <c r="A54" s="148"/>
      <c r="B54" s="148"/>
      <c r="C54" s="148"/>
      <c r="D54" s="148"/>
      <c r="E54" s="148" t="s">
        <v>617</v>
      </c>
      <c r="F54" s="148">
        <v>7</v>
      </c>
      <c r="G54" s="148"/>
    </row>
    <row r="55" ht="15" spans="1:7">
      <c r="A55" s="148"/>
      <c r="B55" s="148"/>
      <c r="C55" s="148"/>
      <c r="D55" s="148" t="s">
        <v>597</v>
      </c>
      <c r="E55" s="148" t="s">
        <v>618</v>
      </c>
      <c r="F55" s="148">
        <v>3</v>
      </c>
      <c r="G55" s="148" t="s">
        <v>619</v>
      </c>
    </row>
    <row r="56" ht="15" spans="1:7">
      <c r="A56" s="148"/>
      <c r="B56" s="148"/>
      <c r="C56" s="148"/>
      <c r="D56" s="148"/>
      <c r="E56" s="148" t="s">
        <v>620</v>
      </c>
      <c r="F56" s="148">
        <v>4</v>
      </c>
      <c r="G56" s="148"/>
    </row>
    <row r="57" ht="15" spans="1:7">
      <c r="A57" s="148"/>
      <c r="B57" s="148"/>
      <c r="C57" s="148"/>
      <c r="D57" s="148" t="s">
        <v>621</v>
      </c>
      <c r="E57" s="148" t="s">
        <v>622</v>
      </c>
      <c r="F57" s="148">
        <v>3</v>
      </c>
      <c r="G57" s="148" t="s">
        <v>623</v>
      </c>
    </row>
    <row r="58" ht="15" spans="1:7">
      <c r="A58" s="148"/>
      <c r="B58" s="148"/>
      <c r="C58" s="148"/>
      <c r="D58" s="148"/>
      <c r="E58" s="148" t="s">
        <v>624</v>
      </c>
      <c r="F58" s="148">
        <v>4</v>
      </c>
      <c r="G58" s="148"/>
    </row>
    <row r="59" ht="15" spans="1:7">
      <c r="A59" s="148"/>
      <c r="B59" s="148"/>
      <c r="C59" s="148"/>
      <c r="D59" s="148"/>
      <c r="E59" s="148" t="s">
        <v>625</v>
      </c>
      <c r="F59" s="148">
        <v>5</v>
      </c>
      <c r="G59" s="148"/>
    </row>
    <row r="60" ht="15" spans="1:7">
      <c r="A60" s="148"/>
      <c r="B60" s="148"/>
      <c r="C60" s="148"/>
      <c r="D60" s="148"/>
      <c r="E60" s="148" t="s">
        <v>626</v>
      </c>
      <c r="F60" s="148">
        <v>6</v>
      </c>
      <c r="G60" s="148"/>
    </row>
    <row r="61" ht="15" spans="1:7">
      <c r="A61" s="148"/>
      <c r="B61" s="148"/>
      <c r="C61" s="148"/>
      <c r="D61" s="148"/>
      <c r="E61" s="148" t="s">
        <v>627</v>
      </c>
      <c r="F61" s="148">
        <v>7</v>
      </c>
      <c r="G61" s="148"/>
    </row>
    <row r="62" ht="15" spans="1:7">
      <c r="A62" s="148" t="s">
        <v>604</v>
      </c>
      <c r="B62" s="148" t="s">
        <v>628</v>
      </c>
      <c r="C62" s="148">
        <v>7</v>
      </c>
      <c r="D62" s="148" t="s">
        <v>540</v>
      </c>
      <c r="E62" s="148" t="s">
        <v>629</v>
      </c>
      <c r="F62" s="148">
        <v>3</v>
      </c>
      <c r="G62" s="148" t="s">
        <v>630</v>
      </c>
    </row>
    <row r="63" ht="15" spans="1:7">
      <c r="A63" s="148"/>
      <c r="B63" s="148"/>
      <c r="C63" s="148"/>
      <c r="D63" s="148"/>
      <c r="E63" s="148" t="s">
        <v>631</v>
      </c>
      <c r="F63" s="148">
        <v>4</v>
      </c>
      <c r="G63" s="148"/>
    </row>
    <row r="64" ht="15" spans="1:7">
      <c r="A64" s="148"/>
      <c r="B64" s="148"/>
      <c r="C64" s="148"/>
      <c r="D64" s="148"/>
      <c r="E64" s="148" t="s">
        <v>632</v>
      </c>
      <c r="F64" s="148">
        <v>5</v>
      </c>
      <c r="G64" s="148"/>
    </row>
    <row r="65" ht="15" spans="1:7">
      <c r="A65" s="148"/>
      <c r="B65" s="148"/>
      <c r="C65" s="148"/>
      <c r="D65" s="148"/>
      <c r="E65" s="148" t="s">
        <v>633</v>
      </c>
      <c r="F65" s="148">
        <v>6</v>
      </c>
      <c r="G65" s="148"/>
    </row>
    <row r="66" ht="15" spans="1:7">
      <c r="A66" s="148"/>
      <c r="B66" s="148"/>
      <c r="C66" s="148"/>
      <c r="D66" s="148"/>
      <c r="E66" s="148" t="s">
        <v>634</v>
      </c>
      <c r="F66" s="148">
        <v>7</v>
      </c>
      <c r="G66" s="148"/>
    </row>
    <row r="67" ht="15" spans="1:7">
      <c r="A67" s="148"/>
      <c r="B67" s="148"/>
      <c r="C67" s="148"/>
      <c r="D67" s="148"/>
      <c r="E67" s="148" t="s">
        <v>635</v>
      </c>
      <c r="F67" s="148">
        <v>8</v>
      </c>
      <c r="G67" s="148"/>
    </row>
    <row r="68" ht="15" spans="1:7">
      <c r="A68" s="148"/>
      <c r="B68" s="148"/>
      <c r="C68" s="148"/>
      <c r="D68" s="148" t="s">
        <v>553</v>
      </c>
      <c r="E68" s="148" t="s">
        <v>636</v>
      </c>
      <c r="F68" s="148">
        <v>3</v>
      </c>
      <c r="G68" s="148" t="s">
        <v>637</v>
      </c>
    </row>
    <row r="69" ht="15" spans="1:7">
      <c r="A69" s="148"/>
      <c r="B69" s="148"/>
      <c r="C69" s="148"/>
      <c r="D69" s="148"/>
      <c r="E69" s="148" t="s">
        <v>638</v>
      </c>
      <c r="F69" s="148">
        <v>4</v>
      </c>
      <c r="G69" s="148"/>
    </row>
    <row r="70" ht="15" spans="1:7">
      <c r="A70" s="148"/>
      <c r="B70" s="148"/>
      <c r="C70" s="148"/>
      <c r="D70" s="148"/>
      <c r="E70" s="148" t="s">
        <v>639</v>
      </c>
      <c r="F70" s="148">
        <v>5</v>
      </c>
      <c r="G70" s="148"/>
    </row>
    <row r="71" ht="15" spans="1:7">
      <c r="A71" s="148"/>
      <c r="B71" s="148"/>
      <c r="C71" s="148"/>
      <c r="D71" s="148"/>
      <c r="E71" s="148" t="s">
        <v>640</v>
      </c>
      <c r="F71" s="148">
        <v>6</v>
      </c>
      <c r="G71" s="148"/>
    </row>
    <row r="72" ht="15" spans="1:7">
      <c r="A72" s="148"/>
      <c r="B72" s="148"/>
      <c r="C72" s="148"/>
      <c r="D72" s="148"/>
      <c r="E72" s="148" t="s">
        <v>641</v>
      </c>
      <c r="F72" s="148">
        <v>7</v>
      </c>
      <c r="G72" s="148"/>
    </row>
    <row r="73" ht="15" spans="1:7">
      <c r="A73" s="148"/>
      <c r="B73" s="148"/>
      <c r="C73" s="148"/>
      <c r="D73" s="148"/>
      <c r="E73" s="148" t="s">
        <v>642</v>
      </c>
      <c r="F73" s="148">
        <v>8</v>
      </c>
      <c r="G73" s="148"/>
    </row>
  </sheetData>
  <mergeCells count="53">
    <mergeCell ref="A2:A4"/>
    <mergeCell ref="A5:A12"/>
    <mergeCell ref="A13:A22"/>
    <mergeCell ref="A23:A30"/>
    <mergeCell ref="A31:A44"/>
    <mergeCell ref="A45:A61"/>
    <mergeCell ref="A62:A73"/>
    <mergeCell ref="B2:B4"/>
    <mergeCell ref="B5:B12"/>
    <mergeCell ref="B13:B22"/>
    <mergeCell ref="B23:B30"/>
    <mergeCell ref="B31:B44"/>
    <mergeCell ref="B45:B61"/>
    <mergeCell ref="B62:B73"/>
    <mergeCell ref="C2:C4"/>
    <mergeCell ref="C5:C12"/>
    <mergeCell ref="C13:C22"/>
    <mergeCell ref="C23:C30"/>
    <mergeCell ref="C31:C44"/>
    <mergeCell ref="C45:C61"/>
    <mergeCell ref="C62:C73"/>
    <mergeCell ref="D2:D4"/>
    <mergeCell ref="D5:D9"/>
    <mergeCell ref="D10:D12"/>
    <mergeCell ref="D13:D17"/>
    <mergeCell ref="D18:D22"/>
    <mergeCell ref="D23:D27"/>
    <mergeCell ref="D28:D30"/>
    <mergeCell ref="D31:D35"/>
    <mergeCell ref="D36:D39"/>
    <mergeCell ref="D40:D44"/>
    <mergeCell ref="D45:D49"/>
    <mergeCell ref="D50:D54"/>
    <mergeCell ref="D55:D56"/>
    <mergeCell ref="D57:D61"/>
    <mergeCell ref="D62:D67"/>
    <mergeCell ref="D68:D73"/>
    <mergeCell ref="G2:G4"/>
    <mergeCell ref="G5:G9"/>
    <mergeCell ref="G10:G12"/>
    <mergeCell ref="G13:G17"/>
    <mergeCell ref="G18:G22"/>
    <mergeCell ref="G23:G27"/>
    <mergeCell ref="G28:G30"/>
    <mergeCell ref="G31:G35"/>
    <mergeCell ref="G36:G39"/>
    <mergeCell ref="G40:G44"/>
    <mergeCell ref="G45:G49"/>
    <mergeCell ref="G50:G54"/>
    <mergeCell ref="G55:G56"/>
    <mergeCell ref="G57:G61"/>
    <mergeCell ref="G62:G67"/>
    <mergeCell ref="G68:G73"/>
  </mergeCells>
  <pageMargins left="0.75" right="0.75" top="1" bottom="1" header="0.5" footer="0.5"/>
  <headerFooter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7"/>
  <dimension ref="A1:J106"/>
  <sheetViews>
    <sheetView zoomScale="115" zoomScaleNormal="115" workbookViewId="0">
      <pane ySplit="1" topLeftCell="A2" activePane="bottomLeft" state="frozen"/>
      <selection/>
      <selection pane="bottomLeft" activeCell="A1" sqref="A1"/>
    </sheetView>
  </sheetViews>
  <sheetFormatPr defaultColWidth="8.625" defaultRowHeight="12.75"/>
  <cols>
    <col min="1" max="1" width="4.875" style="57" customWidth="1"/>
    <col min="2" max="2" width="9.875" style="57" customWidth="1"/>
    <col min="3" max="3" width="6.625" style="57" customWidth="1"/>
    <col min="4" max="4" width="4.25" style="57" customWidth="1"/>
    <col min="5" max="5" width="22.5" style="59" customWidth="1"/>
    <col min="6" max="6" width="40.875" style="57" customWidth="1"/>
    <col min="7" max="7" width="27.875" style="60" customWidth="1"/>
    <col min="8" max="8" width="62.7166666666667" style="58" customWidth="1"/>
    <col min="9" max="9" width="9.775" style="58" customWidth="1"/>
    <col min="10" max="10" width="36" style="58" customWidth="1"/>
    <col min="11" max="16384" width="8.625" style="58"/>
  </cols>
  <sheetData>
    <row r="1" s="57" customFormat="1" spans="1:10">
      <c r="A1" s="61" t="s">
        <v>71</v>
      </c>
      <c r="B1" s="61" t="s">
        <v>643</v>
      </c>
      <c r="C1" s="61" t="s">
        <v>644</v>
      </c>
      <c r="D1" s="61" t="s">
        <v>645</v>
      </c>
      <c r="E1" s="61" t="s">
        <v>646</v>
      </c>
      <c r="F1" s="61" t="s">
        <v>647</v>
      </c>
      <c r="G1" s="62" t="s">
        <v>648</v>
      </c>
      <c r="H1" s="61" t="s">
        <v>649</v>
      </c>
      <c r="J1" s="117" t="s">
        <v>650</v>
      </c>
    </row>
    <row r="2" s="57" customFormat="1" spans="1:10">
      <c r="A2" s="63">
        <v>1</v>
      </c>
      <c r="B2" s="64" t="s">
        <v>651</v>
      </c>
      <c r="C2" s="64" t="s">
        <v>652</v>
      </c>
      <c r="D2" s="65" t="s">
        <v>31</v>
      </c>
      <c r="E2" s="66" t="s">
        <v>71</v>
      </c>
      <c r="F2" s="67" t="s">
        <v>653</v>
      </c>
      <c r="G2" s="68">
        <v>1</v>
      </c>
      <c r="H2" s="63"/>
      <c r="J2" s="118" t="s">
        <v>654</v>
      </c>
    </row>
    <row r="3" s="57" customFormat="1" spans="1:10">
      <c r="A3" s="63">
        <v>2</v>
      </c>
      <c r="B3" s="69"/>
      <c r="C3" s="64" t="s">
        <v>652</v>
      </c>
      <c r="D3" s="65" t="s">
        <v>103</v>
      </c>
      <c r="E3" s="70" t="s">
        <v>655</v>
      </c>
      <c r="F3" s="71" t="s">
        <v>656</v>
      </c>
      <c r="G3" s="347" t="s">
        <v>124</v>
      </c>
      <c r="H3" s="71" t="s">
        <v>657</v>
      </c>
      <c r="J3" s="119" t="s">
        <v>658</v>
      </c>
    </row>
    <row r="4" s="57" customFormat="1" spans="1:10">
      <c r="A4" s="63">
        <v>3</v>
      </c>
      <c r="B4" s="69"/>
      <c r="C4" s="64" t="s">
        <v>652</v>
      </c>
      <c r="D4" s="65" t="s">
        <v>106</v>
      </c>
      <c r="E4" s="73" t="s">
        <v>659</v>
      </c>
      <c r="F4" s="67" t="s">
        <v>660</v>
      </c>
      <c r="G4" s="65">
        <v>1</v>
      </c>
      <c r="H4" s="63"/>
      <c r="J4" s="120" t="s">
        <v>661</v>
      </c>
    </row>
    <row r="5" s="57" customFormat="1" spans="1:10">
      <c r="A5" s="63">
        <v>4</v>
      </c>
      <c r="B5" s="69"/>
      <c r="C5" s="64" t="s">
        <v>652</v>
      </c>
      <c r="D5" s="65" t="s">
        <v>662</v>
      </c>
      <c r="E5" s="73" t="s">
        <v>663</v>
      </c>
      <c r="F5" s="67" t="s">
        <v>660</v>
      </c>
      <c r="G5" s="65">
        <v>3</v>
      </c>
      <c r="H5" s="63"/>
      <c r="J5" s="121" t="s">
        <v>664</v>
      </c>
    </row>
    <row r="6" s="57" customFormat="1" ht="38.25" spans="1:10">
      <c r="A6" s="63">
        <v>5</v>
      </c>
      <c r="B6" s="69"/>
      <c r="C6" s="64" t="s">
        <v>652</v>
      </c>
      <c r="D6" s="65" t="s">
        <v>665</v>
      </c>
      <c r="E6" s="70" t="s">
        <v>666</v>
      </c>
      <c r="F6" s="71" t="s">
        <v>667</v>
      </c>
      <c r="G6" s="72">
        <v>2</v>
      </c>
      <c r="H6" s="74" t="s">
        <v>668</v>
      </c>
      <c r="J6" s="122"/>
    </row>
    <row r="7" s="57" customFormat="1" spans="1:10">
      <c r="A7" s="63">
        <v>6</v>
      </c>
      <c r="B7" s="69"/>
      <c r="C7" s="64" t="s">
        <v>652</v>
      </c>
      <c r="D7" s="65" t="s">
        <v>669</v>
      </c>
      <c r="E7" s="66" t="s">
        <v>670</v>
      </c>
      <c r="F7" s="67" t="s">
        <v>671</v>
      </c>
      <c r="G7" s="65" t="s">
        <v>134</v>
      </c>
      <c r="H7" s="63"/>
      <c r="J7" s="122"/>
    </row>
    <row r="8" s="57" customFormat="1" spans="1:10">
      <c r="A8" s="63">
        <v>7</v>
      </c>
      <c r="B8" s="69"/>
      <c r="C8" s="64" t="s">
        <v>652</v>
      </c>
      <c r="D8" s="65" t="s">
        <v>432</v>
      </c>
      <c r="E8" s="66" t="s">
        <v>672</v>
      </c>
      <c r="F8" s="67" t="s">
        <v>671</v>
      </c>
      <c r="G8" s="65" t="s">
        <v>673</v>
      </c>
      <c r="H8" s="63"/>
      <c r="J8" s="122"/>
    </row>
    <row r="9" s="57" customFormat="1" spans="1:10">
      <c r="A9" s="63">
        <v>8</v>
      </c>
      <c r="B9" s="69"/>
      <c r="C9" s="64" t="s">
        <v>652</v>
      </c>
      <c r="D9" s="65" t="s">
        <v>674</v>
      </c>
      <c r="E9" s="66" t="s">
        <v>675</v>
      </c>
      <c r="F9" s="67" t="s">
        <v>671</v>
      </c>
      <c r="G9" s="65" t="s">
        <v>133</v>
      </c>
      <c r="H9" s="63"/>
      <c r="J9" s="122"/>
    </row>
    <row r="10" s="57" customFormat="1" spans="1:10">
      <c r="A10" s="63">
        <v>9</v>
      </c>
      <c r="B10" s="69"/>
      <c r="C10" s="64" t="s">
        <v>652</v>
      </c>
      <c r="D10" s="65" t="s">
        <v>676</v>
      </c>
      <c r="E10" s="66" t="s">
        <v>677</v>
      </c>
      <c r="F10" s="67" t="s">
        <v>671</v>
      </c>
      <c r="G10" s="65" t="s">
        <v>678</v>
      </c>
      <c r="H10" s="63"/>
      <c r="J10" s="122"/>
    </row>
    <row r="11" s="57" customFormat="1" spans="1:10">
      <c r="A11" s="63">
        <v>10</v>
      </c>
      <c r="B11" s="69"/>
      <c r="C11" s="64" t="s">
        <v>652</v>
      </c>
      <c r="D11" s="65" t="s">
        <v>679</v>
      </c>
      <c r="E11" s="66" t="s">
        <v>680</v>
      </c>
      <c r="F11" s="67" t="s">
        <v>671</v>
      </c>
      <c r="G11" s="65" t="s">
        <v>681</v>
      </c>
      <c r="H11" s="63"/>
      <c r="J11" s="122"/>
    </row>
    <row r="12" s="57" customFormat="1" spans="1:10">
      <c r="A12" s="63">
        <v>11</v>
      </c>
      <c r="B12" s="69"/>
      <c r="C12" s="64" t="s">
        <v>652</v>
      </c>
      <c r="D12" s="65" t="s">
        <v>427</v>
      </c>
      <c r="E12" s="70" t="s">
        <v>649</v>
      </c>
      <c r="F12" s="63" t="s">
        <v>682</v>
      </c>
      <c r="G12" s="75" t="s">
        <v>683</v>
      </c>
      <c r="H12" s="63"/>
      <c r="J12" s="122"/>
    </row>
    <row r="13" s="57" customFormat="1" spans="1:10">
      <c r="A13" s="63">
        <v>12</v>
      </c>
      <c r="B13" s="69"/>
      <c r="C13" s="61" t="s">
        <v>652</v>
      </c>
      <c r="D13" s="65" t="s">
        <v>684</v>
      </c>
      <c r="E13" s="70" t="s">
        <v>685</v>
      </c>
      <c r="F13" s="67" t="s">
        <v>686</v>
      </c>
      <c r="G13" s="76" t="s">
        <v>31</v>
      </c>
      <c r="H13" s="71"/>
      <c r="J13" s="122"/>
    </row>
    <row r="14" s="57" customFormat="1" ht="13.5" spans="1:10">
      <c r="A14" s="77">
        <v>13</v>
      </c>
      <c r="B14" s="78"/>
      <c r="C14" s="78" t="s">
        <v>652</v>
      </c>
      <c r="D14" s="79" t="s">
        <v>687</v>
      </c>
      <c r="E14" s="80" t="s">
        <v>688</v>
      </c>
      <c r="F14" s="81" t="s">
        <v>689</v>
      </c>
      <c r="G14" s="82" t="s">
        <v>690</v>
      </c>
      <c r="H14" s="83" t="s">
        <v>691</v>
      </c>
      <c r="J14" s="122"/>
    </row>
    <row r="15" s="57" customFormat="1" ht="14.25" spans="1:10">
      <c r="A15" s="84"/>
      <c r="B15" s="84"/>
      <c r="C15" s="84"/>
      <c r="D15" s="84"/>
      <c r="E15" s="84"/>
      <c r="F15" s="84"/>
      <c r="G15" s="85"/>
      <c r="H15" s="84"/>
      <c r="J15" s="122"/>
    </row>
    <row r="16" s="58" customFormat="1" ht="15.75" spans="1:10">
      <c r="A16" s="86">
        <v>1</v>
      </c>
      <c r="B16" s="87" t="s">
        <v>692</v>
      </c>
      <c r="C16" s="69" t="s">
        <v>652</v>
      </c>
      <c r="D16" s="86" t="s">
        <v>31</v>
      </c>
      <c r="E16" s="88" t="s">
        <v>110</v>
      </c>
      <c r="F16" s="89" t="s">
        <v>653</v>
      </c>
      <c r="G16" s="90">
        <v>1</v>
      </c>
      <c r="H16" s="91"/>
      <c r="I16" s="123"/>
      <c r="J16" s="124"/>
    </row>
    <row r="17" s="58" customFormat="1" ht="15" spans="1:10">
      <c r="A17" s="63">
        <v>2</v>
      </c>
      <c r="B17" s="87"/>
      <c r="C17" s="64" t="s">
        <v>652</v>
      </c>
      <c r="D17" s="63" t="s">
        <v>103</v>
      </c>
      <c r="E17" s="92" t="s">
        <v>160</v>
      </c>
      <c r="F17" s="67" t="s">
        <v>656</v>
      </c>
      <c r="G17" s="334" t="s">
        <v>409</v>
      </c>
      <c r="H17" s="94"/>
      <c r="I17" s="123"/>
      <c r="J17" s="123"/>
    </row>
    <row r="18" s="58" customFormat="1" ht="15" spans="1:10">
      <c r="A18" s="63">
        <v>3</v>
      </c>
      <c r="B18" s="87"/>
      <c r="C18" s="64" t="s">
        <v>652</v>
      </c>
      <c r="D18" s="63" t="s">
        <v>106</v>
      </c>
      <c r="E18" s="95" t="s">
        <v>161</v>
      </c>
      <c r="F18" s="67" t="s">
        <v>656</v>
      </c>
      <c r="G18" s="342" t="s">
        <v>385</v>
      </c>
      <c r="H18" s="94"/>
      <c r="I18" s="123"/>
      <c r="J18" s="125"/>
    </row>
    <row r="19" s="58" customFormat="1" ht="15" spans="1:10">
      <c r="A19" s="63">
        <v>4</v>
      </c>
      <c r="B19" s="87"/>
      <c r="C19" s="64" t="s">
        <v>652</v>
      </c>
      <c r="D19" s="63" t="s">
        <v>662</v>
      </c>
      <c r="E19" s="97" t="s">
        <v>162</v>
      </c>
      <c r="F19" s="67" t="s">
        <v>693</v>
      </c>
      <c r="G19" s="98" t="s">
        <v>694</v>
      </c>
      <c r="H19" s="94"/>
      <c r="I19" s="123"/>
      <c r="J19" s="123"/>
    </row>
    <row r="20" s="58" customFormat="1" ht="15.6" customHeight="1" spans="1:10">
      <c r="A20" s="63">
        <v>5</v>
      </c>
      <c r="B20" s="87"/>
      <c r="C20" s="64" t="s">
        <v>652</v>
      </c>
      <c r="D20" s="63" t="s">
        <v>665</v>
      </c>
      <c r="E20" s="92" t="s">
        <v>119</v>
      </c>
      <c r="F20" s="67" t="s">
        <v>656</v>
      </c>
      <c r="G20" s="99" t="s">
        <v>695</v>
      </c>
      <c r="H20" s="94"/>
      <c r="I20" s="123"/>
      <c r="J20" s="126"/>
    </row>
    <row r="21" s="58" customFormat="1" ht="15" spans="1:10">
      <c r="A21" s="63">
        <v>6</v>
      </c>
      <c r="B21" s="87"/>
      <c r="C21" s="64" t="s">
        <v>652</v>
      </c>
      <c r="D21" s="63" t="s">
        <v>669</v>
      </c>
      <c r="E21" s="92" t="s">
        <v>163</v>
      </c>
      <c r="F21" s="67" t="s">
        <v>656</v>
      </c>
      <c r="G21" s="100" t="s">
        <v>234</v>
      </c>
      <c r="H21" s="94"/>
      <c r="I21" s="123"/>
      <c r="J21" s="123"/>
    </row>
    <row r="22" s="58" customFormat="1" ht="15" spans="1:10">
      <c r="A22" s="63">
        <v>7</v>
      </c>
      <c r="B22" s="87"/>
      <c r="C22" s="64" t="s">
        <v>652</v>
      </c>
      <c r="D22" s="63" t="s">
        <v>432</v>
      </c>
      <c r="E22" s="101" t="s">
        <v>164</v>
      </c>
      <c r="F22" s="63" t="s">
        <v>696</v>
      </c>
      <c r="G22" s="348" t="s">
        <v>320</v>
      </c>
      <c r="I22" s="123"/>
      <c r="J22" s="123"/>
    </row>
    <row r="23" s="58" customFormat="1" ht="15" spans="1:10">
      <c r="A23" s="63">
        <v>8</v>
      </c>
      <c r="B23" s="87"/>
      <c r="C23" s="64" t="s">
        <v>652</v>
      </c>
      <c r="D23" s="63" t="s">
        <v>674</v>
      </c>
      <c r="E23" s="92" t="s">
        <v>165</v>
      </c>
      <c r="F23" s="67" t="s">
        <v>656</v>
      </c>
      <c r="G23" s="330" t="s">
        <v>124</v>
      </c>
      <c r="H23" s="94"/>
      <c r="I23" s="123"/>
      <c r="J23" s="123"/>
    </row>
    <row r="24" s="58" customFormat="1" ht="15" spans="1:10">
      <c r="A24" s="63">
        <v>9</v>
      </c>
      <c r="B24" s="87"/>
      <c r="C24" s="64" t="s">
        <v>652</v>
      </c>
      <c r="D24" s="63" t="s">
        <v>676</v>
      </c>
      <c r="E24" s="97" t="s">
        <v>115</v>
      </c>
      <c r="F24" s="67" t="s">
        <v>671</v>
      </c>
      <c r="G24" s="102" t="s">
        <v>134</v>
      </c>
      <c r="H24" s="94"/>
      <c r="I24" s="123"/>
      <c r="J24" s="123"/>
    </row>
    <row r="25" s="58" customFormat="1" ht="15" spans="1:10">
      <c r="A25" s="63">
        <v>10</v>
      </c>
      <c r="B25" s="87"/>
      <c r="C25" s="64" t="s">
        <v>652</v>
      </c>
      <c r="D25" s="63" t="s">
        <v>679</v>
      </c>
      <c r="E25" s="97" t="s">
        <v>166</v>
      </c>
      <c r="F25" s="67" t="s">
        <v>671</v>
      </c>
      <c r="G25" s="98" t="s">
        <v>479</v>
      </c>
      <c r="H25" s="94"/>
      <c r="I25" s="123"/>
      <c r="J25" s="123"/>
    </row>
    <row r="26" s="58" customFormat="1" ht="15" spans="1:10">
      <c r="A26" s="63">
        <v>11</v>
      </c>
      <c r="B26" s="87"/>
      <c r="C26" s="63"/>
      <c r="D26" s="63" t="s">
        <v>427</v>
      </c>
      <c r="E26" s="97" t="s">
        <v>116</v>
      </c>
      <c r="F26" s="67" t="s">
        <v>671</v>
      </c>
      <c r="G26" s="98" t="s">
        <v>673</v>
      </c>
      <c r="H26" s="94"/>
      <c r="I26" s="123"/>
      <c r="J26" s="123"/>
    </row>
    <row r="27" s="58" customFormat="1" ht="15" spans="1:10">
      <c r="A27" s="63">
        <v>12</v>
      </c>
      <c r="B27" s="87"/>
      <c r="C27" s="64" t="s">
        <v>652</v>
      </c>
      <c r="D27" s="63" t="s">
        <v>684</v>
      </c>
      <c r="E27" s="103" t="s">
        <v>697</v>
      </c>
      <c r="F27" s="67" t="s">
        <v>667</v>
      </c>
      <c r="G27" s="98">
        <v>1</v>
      </c>
      <c r="H27" s="94"/>
      <c r="I27" s="123"/>
      <c r="J27" s="127"/>
    </row>
    <row r="28" s="58" customFormat="1" ht="15" spans="1:10">
      <c r="A28" s="63">
        <v>13</v>
      </c>
      <c r="B28" s="87"/>
      <c r="C28" s="64" t="s">
        <v>652</v>
      </c>
      <c r="D28" s="63" t="s">
        <v>687</v>
      </c>
      <c r="E28" s="103" t="s">
        <v>113</v>
      </c>
      <c r="F28" s="67" t="s">
        <v>667</v>
      </c>
      <c r="G28" s="98">
        <v>3</v>
      </c>
      <c r="H28" s="94"/>
      <c r="I28" s="123"/>
      <c r="J28" s="127"/>
    </row>
    <row r="29" s="58" customFormat="1" ht="25.5" spans="1:10">
      <c r="A29" s="63">
        <v>14</v>
      </c>
      <c r="B29" s="87"/>
      <c r="C29" s="64" t="s">
        <v>652</v>
      </c>
      <c r="D29" s="63" t="s">
        <v>698</v>
      </c>
      <c r="E29" s="103" t="s">
        <v>168</v>
      </c>
      <c r="F29" s="67" t="s">
        <v>667</v>
      </c>
      <c r="G29" s="98">
        <v>1</v>
      </c>
      <c r="H29" s="94" t="s">
        <v>699</v>
      </c>
      <c r="I29" s="123"/>
      <c r="J29" s="127"/>
    </row>
    <row r="30" s="58" customFormat="1" ht="24.75" spans="1:10">
      <c r="A30" s="63">
        <v>15</v>
      </c>
      <c r="B30" s="87"/>
      <c r="C30" s="63"/>
      <c r="D30" s="63" t="s">
        <v>700</v>
      </c>
      <c r="E30" s="103" t="s">
        <v>169</v>
      </c>
      <c r="F30" s="63" t="s">
        <v>701</v>
      </c>
      <c r="G30" s="65">
        <v>1</v>
      </c>
      <c r="H30" s="104" t="s">
        <v>702</v>
      </c>
      <c r="I30" s="123"/>
      <c r="J30" s="125"/>
    </row>
    <row r="31" s="58" customFormat="1" ht="51" spans="1:10">
      <c r="A31" s="63">
        <v>16</v>
      </c>
      <c r="B31" s="87"/>
      <c r="C31" s="63"/>
      <c r="D31" s="63" t="s">
        <v>703</v>
      </c>
      <c r="E31" s="103" t="s">
        <v>170</v>
      </c>
      <c r="F31" s="63" t="s">
        <v>701</v>
      </c>
      <c r="G31" s="65">
        <v>1</v>
      </c>
      <c r="H31" s="105" t="s">
        <v>704</v>
      </c>
      <c r="I31" s="123"/>
      <c r="J31" s="127"/>
    </row>
    <row r="32" s="58" customFormat="1" ht="15" spans="1:10">
      <c r="A32" s="63">
        <v>17</v>
      </c>
      <c r="B32" s="87"/>
      <c r="C32" s="63"/>
      <c r="D32" s="63" t="s">
        <v>377</v>
      </c>
      <c r="E32" s="106" t="s">
        <v>171</v>
      </c>
      <c r="F32" s="67" t="s">
        <v>705</v>
      </c>
      <c r="G32" s="94"/>
      <c r="H32" s="94"/>
      <c r="I32" s="123"/>
      <c r="J32" s="123"/>
    </row>
    <row r="33" s="58" customFormat="1" ht="15" spans="1:10">
      <c r="A33" s="63">
        <v>18</v>
      </c>
      <c r="B33" s="87"/>
      <c r="C33" s="63"/>
      <c r="D33" s="63" t="s">
        <v>706</v>
      </c>
      <c r="E33" s="106" t="s">
        <v>172</v>
      </c>
      <c r="F33" s="67" t="s">
        <v>705</v>
      </c>
      <c r="G33" s="94"/>
      <c r="H33" s="94"/>
      <c r="I33" s="123"/>
      <c r="J33" s="123"/>
    </row>
    <row r="34" s="58" customFormat="1" ht="15" spans="1:10">
      <c r="A34" s="63">
        <v>19</v>
      </c>
      <c r="B34" s="87"/>
      <c r="C34" s="63"/>
      <c r="D34" s="63" t="s">
        <v>707</v>
      </c>
      <c r="E34" s="107" t="s">
        <v>173</v>
      </c>
      <c r="F34" s="67" t="s">
        <v>671</v>
      </c>
      <c r="G34" s="98">
        <v>3</v>
      </c>
      <c r="H34" s="94"/>
      <c r="I34" s="123"/>
      <c r="J34" s="123"/>
    </row>
    <row r="35" s="58" customFormat="1" ht="15" spans="1:10">
      <c r="A35" s="63">
        <v>20</v>
      </c>
      <c r="B35" s="87"/>
      <c r="C35" s="64" t="s">
        <v>652</v>
      </c>
      <c r="D35" s="63" t="s">
        <v>381</v>
      </c>
      <c r="E35" s="107" t="s">
        <v>174</v>
      </c>
      <c r="F35" s="67" t="s">
        <v>671</v>
      </c>
      <c r="G35" s="98" t="s">
        <v>133</v>
      </c>
      <c r="H35" s="94"/>
      <c r="I35" s="123"/>
      <c r="J35" s="123"/>
    </row>
    <row r="36" s="58" customFormat="1" ht="15" spans="1:10">
      <c r="A36" s="63">
        <v>21</v>
      </c>
      <c r="B36" s="87"/>
      <c r="C36" s="63"/>
      <c r="D36" s="63" t="s">
        <v>708</v>
      </c>
      <c r="E36" s="107" t="s">
        <v>118</v>
      </c>
      <c r="F36" s="67" t="s">
        <v>671</v>
      </c>
      <c r="G36" s="98" t="s">
        <v>678</v>
      </c>
      <c r="H36" s="94"/>
      <c r="I36" s="123"/>
      <c r="J36" s="123"/>
    </row>
    <row r="37" s="58" customFormat="1" ht="15" spans="1:10">
      <c r="A37" s="63">
        <v>22</v>
      </c>
      <c r="B37" s="87"/>
      <c r="C37" s="63"/>
      <c r="D37" s="63" t="s">
        <v>709</v>
      </c>
      <c r="E37" s="108" t="s">
        <v>175</v>
      </c>
      <c r="F37" s="67" t="s">
        <v>671</v>
      </c>
      <c r="G37" s="102" t="s">
        <v>710</v>
      </c>
      <c r="H37" s="94"/>
      <c r="I37" s="123"/>
      <c r="J37" s="123"/>
    </row>
    <row r="38" s="58" customFormat="1" ht="15" spans="1:10">
      <c r="A38" s="63">
        <v>23</v>
      </c>
      <c r="B38" s="87"/>
      <c r="C38" s="63"/>
      <c r="D38" s="63" t="s">
        <v>711</v>
      </c>
      <c r="E38" s="108" t="s">
        <v>176</v>
      </c>
      <c r="F38" s="67" t="s">
        <v>671</v>
      </c>
      <c r="G38" s="102" t="s">
        <v>712</v>
      </c>
      <c r="H38" s="94"/>
      <c r="I38" s="123"/>
      <c r="J38" s="123"/>
    </row>
    <row r="39" s="58" customFormat="1" ht="15" spans="1:10">
      <c r="A39" s="63">
        <v>24</v>
      </c>
      <c r="B39" s="87"/>
      <c r="C39" s="63"/>
      <c r="D39" s="63" t="s">
        <v>713</v>
      </c>
      <c r="E39" s="97" t="s">
        <v>177</v>
      </c>
      <c r="F39" s="67" t="s">
        <v>671</v>
      </c>
      <c r="G39" s="98" t="s">
        <v>714</v>
      </c>
      <c r="H39" s="94"/>
      <c r="I39" s="123"/>
      <c r="J39" s="123"/>
    </row>
    <row r="40" s="58" customFormat="1" ht="15" spans="1:10">
      <c r="A40" s="63">
        <v>25</v>
      </c>
      <c r="B40" s="87"/>
      <c r="C40" s="63"/>
      <c r="D40" s="63" t="s">
        <v>715</v>
      </c>
      <c r="E40" s="97" t="s">
        <v>178</v>
      </c>
      <c r="F40" s="67" t="s">
        <v>671</v>
      </c>
      <c r="G40" s="98" t="s">
        <v>716</v>
      </c>
      <c r="H40" s="94"/>
      <c r="I40" s="123"/>
      <c r="J40" s="123"/>
    </row>
    <row r="41" s="58" customFormat="1" ht="24.75" spans="1:10">
      <c r="A41" s="63">
        <v>26</v>
      </c>
      <c r="B41" s="87"/>
      <c r="C41" s="63"/>
      <c r="D41" s="63" t="s">
        <v>385</v>
      </c>
      <c r="E41" s="92" t="s">
        <v>179</v>
      </c>
      <c r="F41" s="63" t="s">
        <v>717</v>
      </c>
      <c r="G41" s="98" t="s">
        <v>388</v>
      </c>
      <c r="H41" s="104" t="s">
        <v>718</v>
      </c>
      <c r="I41" s="123"/>
      <c r="J41" s="123"/>
    </row>
    <row r="42" s="58" customFormat="1" ht="15" spans="1:10">
      <c r="A42" s="63">
        <v>27</v>
      </c>
      <c r="B42" s="87"/>
      <c r="C42" s="63"/>
      <c r="D42" s="63" t="s">
        <v>719</v>
      </c>
      <c r="E42" s="97" t="s">
        <v>180</v>
      </c>
      <c r="F42" s="67" t="s">
        <v>671</v>
      </c>
      <c r="G42" s="98" t="s">
        <v>720</v>
      </c>
      <c r="H42" s="94"/>
      <c r="I42" s="123"/>
      <c r="J42" s="123"/>
    </row>
    <row r="43" s="58" customFormat="1" ht="25.5" spans="1:10">
      <c r="A43" s="63">
        <v>28</v>
      </c>
      <c r="B43" s="87"/>
      <c r="C43" s="63"/>
      <c r="D43" s="63" t="s">
        <v>721</v>
      </c>
      <c r="E43" s="97" t="s">
        <v>181</v>
      </c>
      <c r="F43" s="67" t="s">
        <v>671</v>
      </c>
      <c r="G43" s="102" t="s">
        <v>710</v>
      </c>
      <c r="H43" s="94"/>
      <c r="I43" s="123"/>
      <c r="J43" s="123"/>
    </row>
    <row r="44" s="58" customFormat="1" ht="25.5" spans="1:10">
      <c r="A44" s="63">
        <v>29</v>
      </c>
      <c r="B44" s="87"/>
      <c r="C44" s="63"/>
      <c r="D44" s="63" t="s">
        <v>722</v>
      </c>
      <c r="E44" s="97" t="s">
        <v>182</v>
      </c>
      <c r="F44" s="67" t="s">
        <v>671</v>
      </c>
      <c r="G44" s="102" t="s">
        <v>712</v>
      </c>
      <c r="H44" s="94"/>
      <c r="I44" s="123"/>
      <c r="J44" s="123"/>
    </row>
    <row r="45" s="58" customFormat="1" ht="25.5" spans="1:10">
      <c r="A45" s="63">
        <v>30</v>
      </c>
      <c r="B45" s="87"/>
      <c r="C45" s="64" t="s">
        <v>652</v>
      </c>
      <c r="D45" s="63" t="s">
        <v>723</v>
      </c>
      <c r="E45" s="92" t="s">
        <v>183</v>
      </c>
      <c r="F45" s="67" t="s">
        <v>656</v>
      </c>
      <c r="G45" s="98" t="s">
        <v>235</v>
      </c>
      <c r="H45" s="94"/>
      <c r="I45" s="123"/>
      <c r="J45" s="123"/>
    </row>
    <row r="46" s="58" customFormat="1" ht="15" spans="1:10">
      <c r="A46" s="63">
        <v>31</v>
      </c>
      <c r="B46" s="87"/>
      <c r="C46" s="64" t="s">
        <v>652</v>
      </c>
      <c r="D46" s="63" t="s">
        <v>724</v>
      </c>
      <c r="E46" s="92" t="s">
        <v>184</v>
      </c>
      <c r="F46" s="67" t="s">
        <v>656</v>
      </c>
      <c r="G46" s="98" t="s">
        <v>236</v>
      </c>
      <c r="H46" s="94"/>
      <c r="I46" s="123"/>
      <c r="J46" s="123"/>
    </row>
    <row r="47" s="58" customFormat="1" ht="15" spans="1:10">
      <c r="A47" s="63">
        <v>32</v>
      </c>
      <c r="B47" s="87"/>
      <c r="C47" s="64" t="s">
        <v>652</v>
      </c>
      <c r="D47" s="63" t="s">
        <v>725</v>
      </c>
      <c r="E47" s="92" t="s">
        <v>185</v>
      </c>
      <c r="F47" s="67" t="s">
        <v>656</v>
      </c>
      <c r="G47" s="98" t="s">
        <v>237</v>
      </c>
      <c r="H47" s="94"/>
      <c r="I47" s="123"/>
      <c r="J47" s="123"/>
    </row>
    <row r="48" s="58" customFormat="1" ht="15" spans="1:10">
      <c r="A48" s="63">
        <v>33</v>
      </c>
      <c r="B48" s="87"/>
      <c r="C48" s="64" t="s">
        <v>652</v>
      </c>
      <c r="D48" s="63" t="s">
        <v>726</v>
      </c>
      <c r="E48" s="92" t="s">
        <v>186</v>
      </c>
      <c r="F48" s="67" t="s">
        <v>656</v>
      </c>
      <c r="G48" s="98" t="s">
        <v>238</v>
      </c>
      <c r="H48" s="94"/>
      <c r="I48" s="123"/>
      <c r="J48" s="123"/>
    </row>
    <row r="49" s="58" customFormat="1" ht="15" spans="1:10">
      <c r="A49" s="63">
        <v>34</v>
      </c>
      <c r="B49" s="87"/>
      <c r="C49" s="64" t="s">
        <v>652</v>
      </c>
      <c r="D49" s="63" t="s">
        <v>727</v>
      </c>
      <c r="E49" s="97" t="s">
        <v>187</v>
      </c>
      <c r="F49" s="67" t="s">
        <v>671</v>
      </c>
      <c r="G49" s="76" t="s">
        <v>728</v>
      </c>
      <c r="H49" s="94"/>
      <c r="I49" s="123"/>
      <c r="J49" s="123"/>
    </row>
    <row r="50" s="58" customFormat="1" ht="15" spans="1:10">
      <c r="A50" s="63">
        <v>35</v>
      </c>
      <c r="B50" s="87"/>
      <c r="C50" s="64" t="s">
        <v>652</v>
      </c>
      <c r="D50" s="63" t="s">
        <v>237</v>
      </c>
      <c r="E50" s="92" t="s">
        <v>188</v>
      </c>
      <c r="F50" s="67" t="s">
        <v>656</v>
      </c>
      <c r="G50" s="76" t="s">
        <v>246</v>
      </c>
      <c r="H50" s="94"/>
      <c r="I50" s="123"/>
      <c r="J50" s="123"/>
    </row>
    <row r="51" s="58" customFormat="1" ht="24.75" spans="1:10">
      <c r="A51" s="63">
        <v>36</v>
      </c>
      <c r="B51" s="87"/>
      <c r="C51" s="64" t="s">
        <v>652</v>
      </c>
      <c r="D51" s="63" t="s">
        <v>729</v>
      </c>
      <c r="E51" s="92" t="s">
        <v>189</v>
      </c>
      <c r="F51" s="67" t="s">
        <v>656</v>
      </c>
      <c r="G51" s="109" t="s">
        <v>730</v>
      </c>
      <c r="H51" s="105" t="s">
        <v>731</v>
      </c>
      <c r="I51" s="123"/>
      <c r="J51" s="126"/>
    </row>
    <row r="52" s="58" customFormat="1" ht="15" spans="1:10">
      <c r="A52" s="63">
        <v>37</v>
      </c>
      <c r="B52" s="87"/>
      <c r="C52" s="64" t="s">
        <v>652</v>
      </c>
      <c r="D52" s="63" t="s">
        <v>732</v>
      </c>
      <c r="E52" s="92" t="s">
        <v>190</v>
      </c>
      <c r="F52" s="67" t="s">
        <v>656</v>
      </c>
      <c r="G52" s="68" t="s">
        <v>349</v>
      </c>
      <c r="H52" s="94"/>
      <c r="I52" s="123"/>
      <c r="J52" s="123"/>
    </row>
    <row r="53" s="58" customFormat="1" ht="15" spans="1:10">
      <c r="A53" s="63">
        <v>38</v>
      </c>
      <c r="B53" s="87"/>
      <c r="C53" s="64" t="s">
        <v>652</v>
      </c>
      <c r="D53" s="63" t="s">
        <v>733</v>
      </c>
      <c r="E53" s="92" t="s">
        <v>191</v>
      </c>
      <c r="F53" s="67" t="s">
        <v>656</v>
      </c>
      <c r="G53" s="98">
        <v>0</v>
      </c>
      <c r="H53" s="94"/>
      <c r="I53" s="123"/>
      <c r="J53" s="128"/>
    </row>
    <row r="54" s="58" customFormat="1" ht="15" spans="1:10">
      <c r="A54" s="63">
        <v>39</v>
      </c>
      <c r="B54" s="87"/>
      <c r="C54" s="64" t="s">
        <v>652</v>
      </c>
      <c r="D54" s="63" t="s">
        <v>734</v>
      </c>
      <c r="E54" s="92" t="s">
        <v>192</v>
      </c>
      <c r="F54" s="67" t="s">
        <v>656</v>
      </c>
      <c r="G54" s="98">
        <v>15</v>
      </c>
      <c r="H54" s="94"/>
      <c r="I54" s="123"/>
      <c r="J54" s="123"/>
    </row>
    <row r="55" s="58" customFormat="1" ht="15" spans="1:10">
      <c r="A55" s="63">
        <v>40</v>
      </c>
      <c r="B55" s="87"/>
      <c r="C55" s="64" t="s">
        <v>652</v>
      </c>
      <c r="D55" s="63" t="s">
        <v>735</v>
      </c>
      <c r="E55" s="92" t="s">
        <v>193</v>
      </c>
      <c r="F55" s="63" t="s">
        <v>736</v>
      </c>
      <c r="G55" s="68" t="s">
        <v>305</v>
      </c>
      <c r="H55" s="104" t="s">
        <v>737</v>
      </c>
      <c r="I55" s="123"/>
      <c r="J55" s="123"/>
    </row>
    <row r="56" s="58" customFormat="1" ht="15" spans="1:10">
      <c r="A56" s="63">
        <v>42</v>
      </c>
      <c r="B56" s="87"/>
      <c r="C56" s="63"/>
      <c r="D56" s="63" t="s">
        <v>274</v>
      </c>
      <c r="E56" s="101" t="s">
        <v>194</v>
      </c>
      <c r="F56" s="67" t="s">
        <v>738</v>
      </c>
      <c r="G56" s="102" t="s">
        <v>712</v>
      </c>
      <c r="H56" s="94"/>
      <c r="I56" s="123"/>
      <c r="J56" s="123"/>
    </row>
    <row r="57" s="58" customFormat="1" ht="15" spans="1:10">
      <c r="A57" s="63">
        <v>41</v>
      </c>
      <c r="B57" s="87"/>
      <c r="C57" s="63"/>
      <c r="D57" s="63" t="s">
        <v>739</v>
      </c>
      <c r="E57" s="110" t="s">
        <v>195</v>
      </c>
      <c r="F57" s="67" t="s">
        <v>740</v>
      </c>
      <c r="G57" s="63" t="s">
        <v>741</v>
      </c>
      <c r="H57" s="94"/>
      <c r="I57" s="123"/>
      <c r="J57" s="129"/>
    </row>
    <row r="58" s="58" customFormat="1" ht="15" spans="1:10">
      <c r="A58" s="63">
        <v>43</v>
      </c>
      <c r="B58" s="87"/>
      <c r="C58" s="64" t="s">
        <v>652</v>
      </c>
      <c r="D58" s="63" t="s">
        <v>742</v>
      </c>
      <c r="E58" s="92" t="s">
        <v>121</v>
      </c>
      <c r="F58" s="67" t="s">
        <v>686</v>
      </c>
      <c r="G58" s="76" t="s">
        <v>31</v>
      </c>
      <c r="H58" s="94"/>
      <c r="I58" s="123"/>
      <c r="J58" s="123"/>
    </row>
    <row r="59" s="58" customFormat="1" ht="15" spans="1:10">
      <c r="A59" s="63">
        <v>44</v>
      </c>
      <c r="B59" s="87"/>
      <c r="C59" s="64" t="s">
        <v>652</v>
      </c>
      <c r="D59" s="63" t="s">
        <v>743</v>
      </c>
      <c r="E59" s="111" t="s">
        <v>120</v>
      </c>
      <c r="F59" s="67" t="s">
        <v>656</v>
      </c>
      <c r="G59" s="68" t="s">
        <v>744</v>
      </c>
      <c r="H59" s="112" t="s">
        <v>745</v>
      </c>
      <c r="I59" s="123"/>
      <c r="J59" s="126"/>
    </row>
    <row r="60" s="58" customFormat="1" ht="15" spans="1:10">
      <c r="A60" s="63">
        <v>45</v>
      </c>
      <c r="B60" s="87"/>
      <c r="C60" s="64" t="s">
        <v>652</v>
      </c>
      <c r="D60" s="63" t="s">
        <v>746</v>
      </c>
      <c r="E60" s="92" t="s">
        <v>196</v>
      </c>
      <c r="F60" s="67" t="s">
        <v>686</v>
      </c>
      <c r="G60" s="68" t="s">
        <v>747</v>
      </c>
      <c r="H60" s="112" t="s">
        <v>691</v>
      </c>
      <c r="I60" s="123"/>
      <c r="J60" s="123"/>
    </row>
    <row r="61" s="58" customFormat="1" ht="15" spans="1:10">
      <c r="A61" s="63">
        <v>46</v>
      </c>
      <c r="B61" s="87"/>
      <c r="C61" s="64" t="s">
        <v>652</v>
      </c>
      <c r="D61" s="63" t="s">
        <v>748</v>
      </c>
      <c r="E61" s="113" t="s">
        <v>122</v>
      </c>
      <c r="F61" s="67" t="s">
        <v>689</v>
      </c>
      <c r="G61" s="114" t="s">
        <v>749</v>
      </c>
      <c r="H61" s="112" t="s">
        <v>691</v>
      </c>
      <c r="I61" s="123"/>
      <c r="J61" s="123"/>
    </row>
    <row r="62" s="58" customFormat="1" ht="15" spans="1:10">
      <c r="A62" s="63">
        <v>47</v>
      </c>
      <c r="B62" s="87"/>
      <c r="C62" s="63"/>
      <c r="D62" s="63" t="s">
        <v>750</v>
      </c>
      <c r="E62" s="101" t="s">
        <v>197</v>
      </c>
      <c r="F62" s="67" t="s">
        <v>751</v>
      </c>
      <c r="G62" s="330" t="s">
        <v>245</v>
      </c>
      <c r="H62" s="94"/>
      <c r="I62" s="123"/>
      <c r="J62" s="121"/>
    </row>
    <row r="63" s="58" customFormat="1" ht="15" spans="1:10">
      <c r="A63" s="63">
        <v>48</v>
      </c>
      <c r="B63" s="87"/>
      <c r="C63" s="63"/>
      <c r="D63" s="63" t="s">
        <v>752</v>
      </c>
      <c r="E63" s="115" t="s">
        <v>198</v>
      </c>
      <c r="F63" s="67" t="s">
        <v>751</v>
      </c>
      <c r="G63" s="116" t="s">
        <v>753</v>
      </c>
      <c r="H63" s="94"/>
      <c r="I63" s="123"/>
      <c r="J63" s="121"/>
    </row>
    <row r="64" s="58" customFormat="1" ht="15" spans="1:10">
      <c r="A64" s="63">
        <v>49</v>
      </c>
      <c r="B64" s="87"/>
      <c r="C64" s="63"/>
      <c r="D64" s="63" t="s">
        <v>754</v>
      </c>
      <c r="E64" s="101" t="s">
        <v>199</v>
      </c>
      <c r="F64" s="67" t="s">
        <v>751</v>
      </c>
      <c r="G64" s="116"/>
      <c r="H64" s="94"/>
      <c r="I64" s="123"/>
      <c r="J64" s="121"/>
    </row>
    <row r="65" s="58" customFormat="1" ht="15" spans="1:10">
      <c r="A65" s="63">
        <v>50</v>
      </c>
      <c r="B65" s="87"/>
      <c r="C65" s="63"/>
      <c r="D65" s="63" t="s">
        <v>755</v>
      </c>
      <c r="E65" s="101" t="s">
        <v>200</v>
      </c>
      <c r="F65" s="67" t="s">
        <v>751</v>
      </c>
      <c r="G65" s="116"/>
      <c r="H65" s="94"/>
      <c r="I65" s="123"/>
      <c r="J65" s="121"/>
    </row>
    <row r="66" s="58" customFormat="1" ht="15" spans="1:9">
      <c r="A66" s="63">
        <v>51</v>
      </c>
      <c r="B66" s="87"/>
      <c r="C66" s="63"/>
      <c r="D66" s="63" t="s">
        <v>756</v>
      </c>
      <c r="E66" s="101" t="s">
        <v>201</v>
      </c>
      <c r="F66" s="67" t="s">
        <v>751</v>
      </c>
      <c r="G66" s="116"/>
      <c r="H66" s="94"/>
      <c r="I66" s="123"/>
    </row>
    <row r="67" s="58" customFormat="1" ht="15" spans="1:9">
      <c r="A67" s="63">
        <v>52</v>
      </c>
      <c r="B67" s="87"/>
      <c r="C67" s="63"/>
      <c r="D67" s="63" t="s">
        <v>757</v>
      </c>
      <c r="E67" s="101" t="s">
        <v>202</v>
      </c>
      <c r="F67" s="67" t="s">
        <v>751</v>
      </c>
      <c r="G67" s="116"/>
      <c r="H67" s="94"/>
      <c r="I67" s="123"/>
    </row>
    <row r="68" s="58" customFormat="1" ht="15" spans="1:9">
      <c r="A68" s="63">
        <v>53</v>
      </c>
      <c r="B68" s="87"/>
      <c r="C68" s="63"/>
      <c r="D68" s="63" t="s">
        <v>758</v>
      </c>
      <c r="E68" s="101" t="s">
        <v>203</v>
      </c>
      <c r="F68" s="67" t="s">
        <v>751</v>
      </c>
      <c r="G68" s="116"/>
      <c r="H68" s="94"/>
      <c r="I68" s="123"/>
    </row>
    <row r="69" s="58" customFormat="1" ht="15" spans="1:9">
      <c r="A69" s="63">
        <v>54</v>
      </c>
      <c r="B69" s="87"/>
      <c r="C69" s="63"/>
      <c r="D69" s="63" t="s">
        <v>759</v>
      </c>
      <c r="E69" s="101" t="s">
        <v>204</v>
      </c>
      <c r="F69" s="67" t="s">
        <v>751</v>
      </c>
      <c r="G69" s="116"/>
      <c r="H69" s="94"/>
      <c r="I69" s="123"/>
    </row>
    <row r="70" s="58" customFormat="1" ht="15" spans="1:9">
      <c r="A70" s="63">
        <v>55</v>
      </c>
      <c r="B70" s="87"/>
      <c r="C70" s="63"/>
      <c r="D70" s="63" t="s">
        <v>760</v>
      </c>
      <c r="E70" s="101" t="s">
        <v>205</v>
      </c>
      <c r="F70" s="67" t="s">
        <v>751</v>
      </c>
      <c r="G70" s="116"/>
      <c r="H70" s="94"/>
      <c r="I70" s="123"/>
    </row>
    <row r="71" s="58" customFormat="1" ht="15" spans="1:9">
      <c r="A71" s="63">
        <v>56</v>
      </c>
      <c r="B71" s="87"/>
      <c r="C71" s="63"/>
      <c r="D71" s="63" t="s">
        <v>761</v>
      </c>
      <c r="E71" s="101" t="s">
        <v>206</v>
      </c>
      <c r="F71" s="67" t="s">
        <v>751</v>
      </c>
      <c r="G71" s="116"/>
      <c r="H71" s="94"/>
      <c r="I71" s="123"/>
    </row>
    <row r="72" s="58" customFormat="1" ht="15" spans="1:9">
      <c r="A72" s="63">
        <v>57</v>
      </c>
      <c r="B72" s="87"/>
      <c r="C72" s="63"/>
      <c r="D72" s="63" t="s">
        <v>762</v>
      </c>
      <c r="E72" s="101" t="s">
        <v>207</v>
      </c>
      <c r="F72" s="67" t="s">
        <v>751</v>
      </c>
      <c r="G72" s="116"/>
      <c r="H72" s="94"/>
      <c r="I72" s="123"/>
    </row>
    <row r="73" s="58" customFormat="1" ht="15" spans="1:9">
      <c r="A73" s="63">
        <v>58</v>
      </c>
      <c r="B73" s="87"/>
      <c r="C73" s="63"/>
      <c r="D73" s="63" t="s">
        <v>763</v>
      </c>
      <c r="E73" s="101" t="s">
        <v>208</v>
      </c>
      <c r="F73" s="67" t="s">
        <v>751</v>
      </c>
      <c r="G73" s="116"/>
      <c r="H73" s="94"/>
      <c r="I73" s="123"/>
    </row>
    <row r="74" s="58" customFormat="1" ht="15" spans="1:9">
      <c r="A74" s="63">
        <v>59</v>
      </c>
      <c r="B74" s="87"/>
      <c r="C74" s="63"/>
      <c r="D74" s="63" t="s">
        <v>764</v>
      </c>
      <c r="E74" s="101" t="s">
        <v>209</v>
      </c>
      <c r="F74" s="67" t="s">
        <v>751</v>
      </c>
      <c r="G74" s="116"/>
      <c r="H74" s="94"/>
      <c r="I74" s="123"/>
    </row>
    <row r="75" s="58" customFormat="1" ht="15" spans="1:9">
      <c r="A75" s="63">
        <v>60</v>
      </c>
      <c r="B75" s="87"/>
      <c r="C75" s="63"/>
      <c r="D75" s="63" t="s">
        <v>765</v>
      </c>
      <c r="E75" s="101" t="s">
        <v>210</v>
      </c>
      <c r="F75" s="67" t="s">
        <v>751</v>
      </c>
      <c r="G75" s="116"/>
      <c r="H75" s="94"/>
      <c r="I75" s="123"/>
    </row>
    <row r="76" s="58" customFormat="1" ht="15" spans="1:9">
      <c r="A76" s="63">
        <v>61</v>
      </c>
      <c r="B76" s="87"/>
      <c r="C76" s="63"/>
      <c r="D76" s="63" t="s">
        <v>766</v>
      </c>
      <c r="E76" s="101" t="s">
        <v>211</v>
      </c>
      <c r="F76" s="67" t="s">
        <v>751</v>
      </c>
      <c r="G76" s="116"/>
      <c r="H76" s="94"/>
      <c r="I76" s="123"/>
    </row>
    <row r="77" s="58" customFormat="1" ht="15" spans="1:9">
      <c r="A77" s="63">
        <v>62</v>
      </c>
      <c r="B77" s="87"/>
      <c r="C77" s="63"/>
      <c r="D77" s="63" t="s">
        <v>767</v>
      </c>
      <c r="E77" s="101" t="s">
        <v>212</v>
      </c>
      <c r="F77" s="67" t="s">
        <v>751</v>
      </c>
      <c r="G77" s="116"/>
      <c r="H77" s="94"/>
      <c r="I77" s="123"/>
    </row>
    <row r="78" s="58" customFormat="1" ht="15" spans="1:9">
      <c r="A78" s="63">
        <v>63</v>
      </c>
      <c r="B78" s="87"/>
      <c r="C78" s="63"/>
      <c r="D78" s="63" t="s">
        <v>768</v>
      </c>
      <c r="E78" s="101" t="s">
        <v>213</v>
      </c>
      <c r="F78" s="67" t="s">
        <v>751</v>
      </c>
      <c r="G78" s="116"/>
      <c r="H78" s="94"/>
      <c r="I78" s="123"/>
    </row>
    <row r="79" s="58" customFormat="1" ht="15" spans="1:9">
      <c r="A79" s="63">
        <v>64</v>
      </c>
      <c r="B79" s="87"/>
      <c r="C79" s="63"/>
      <c r="D79" s="63" t="s">
        <v>769</v>
      </c>
      <c r="E79" s="101" t="s">
        <v>214</v>
      </c>
      <c r="F79" s="67" t="s">
        <v>751</v>
      </c>
      <c r="G79" s="116"/>
      <c r="H79" s="94"/>
      <c r="I79" s="123"/>
    </row>
    <row r="80" s="58" customFormat="1" ht="15" spans="1:9">
      <c r="A80" s="63">
        <v>65</v>
      </c>
      <c r="B80" s="87"/>
      <c r="C80" s="63"/>
      <c r="D80" s="63" t="s">
        <v>770</v>
      </c>
      <c r="E80" s="101" t="s">
        <v>215</v>
      </c>
      <c r="F80" s="67" t="s">
        <v>751</v>
      </c>
      <c r="G80" s="116"/>
      <c r="H80" s="94"/>
      <c r="I80" s="123"/>
    </row>
    <row r="81" s="58" customFormat="1" ht="15" spans="1:9">
      <c r="A81" s="63">
        <v>66</v>
      </c>
      <c r="B81" s="87"/>
      <c r="C81" s="63"/>
      <c r="D81" s="63" t="s">
        <v>771</v>
      </c>
      <c r="E81" s="101" t="s">
        <v>216</v>
      </c>
      <c r="F81" s="67" t="s">
        <v>751</v>
      </c>
      <c r="G81" s="116"/>
      <c r="H81" s="94"/>
      <c r="I81" s="123"/>
    </row>
    <row r="82" s="58" customFormat="1" ht="15" spans="1:9">
      <c r="A82" s="63">
        <v>67</v>
      </c>
      <c r="B82" s="87"/>
      <c r="C82" s="63"/>
      <c r="D82" s="63" t="s">
        <v>772</v>
      </c>
      <c r="E82" s="101" t="s">
        <v>217</v>
      </c>
      <c r="F82" s="67" t="s">
        <v>751</v>
      </c>
      <c r="G82" s="116"/>
      <c r="H82" s="94"/>
      <c r="I82" s="123"/>
    </row>
    <row r="83" s="58" customFormat="1" ht="15" spans="1:9">
      <c r="A83" s="63">
        <v>68</v>
      </c>
      <c r="B83" s="87"/>
      <c r="C83" s="63"/>
      <c r="D83" s="63" t="s">
        <v>773</v>
      </c>
      <c r="E83" s="101" t="s">
        <v>218</v>
      </c>
      <c r="F83" s="67" t="s">
        <v>751</v>
      </c>
      <c r="G83" s="116"/>
      <c r="H83" s="94"/>
      <c r="I83" s="123"/>
    </row>
    <row r="84" s="58" customFormat="1" ht="15" spans="1:9">
      <c r="A84" s="63">
        <v>69</v>
      </c>
      <c r="B84" s="87"/>
      <c r="C84" s="63"/>
      <c r="D84" s="63" t="s">
        <v>774</v>
      </c>
      <c r="E84" s="101" t="s">
        <v>219</v>
      </c>
      <c r="F84" s="67" t="s">
        <v>751</v>
      </c>
      <c r="G84" s="116"/>
      <c r="H84" s="94"/>
      <c r="I84" s="123"/>
    </row>
    <row r="85" s="58" customFormat="1" ht="15" spans="1:9">
      <c r="A85" s="63">
        <v>70</v>
      </c>
      <c r="B85" s="87"/>
      <c r="C85" s="63"/>
      <c r="D85" s="63" t="s">
        <v>775</v>
      </c>
      <c r="E85" s="101" t="s">
        <v>220</v>
      </c>
      <c r="F85" s="67" t="s">
        <v>751</v>
      </c>
      <c r="G85" s="116"/>
      <c r="H85" s="94"/>
      <c r="I85" s="123"/>
    </row>
    <row r="86" s="58" customFormat="1" ht="15" spans="1:9">
      <c r="A86" s="63">
        <v>71</v>
      </c>
      <c r="B86" s="87"/>
      <c r="C86" s="63"/>
      <c r="D86" s="63" t="s">
        <v>776</v>
      </c>
      <c r="E86" s="101" t="s">
        <v>221</v>
      </c>
      <c r="F86" s="67" t="s">
        <v>751</v>
      </c>
      <c r="G86" s="116"/>
      <c r="H86" s="94"/>
      <c r="I86" s="123"/>
    </row>
    <row r="87" s="58" customFormat="1" ht="15" spans="1:9">
      <c r="A87" s="63">
        <v>72</v>
      </c>
      <c r="B87" s="87"/>
      <c r="C87" s="63"/>
      <c r="D87" s="63" t="s">
        <v>777</v>
      </c>
      <c r="E87" s="101" t="s">
        <v>222</v>
      </c>
      <c r="F87" s="67" t="s">
        <v>751</v>
      </c>
      <c r="G87" s="116"/>
      <c r="H87" s="94"/>
      <c r="I87" s="123"/>
    </row>
    <row r="88" s="58" customFormat="1" ht="15" spans="1:9">
      <c r="A88" s="63">
        <v>73</v>
      </c>
      <c r="B88" s="87"/>
      <c r="C88" s="63"/>
      <c r="D88" s="63" t="s">
        <v>778</v>
      </c>
      <c r="E88" s="101" t="s">
        <v>223</v>
      </c>
      <c r="F88" s="67" t="s">
        <v>751</v>
      </c>
      <c r="G88" s="116"/>
      <c r="H88" s="94"/>
      <c r="I88" s="123"/>
    </row>
    <row r="89" s="58" customFormat="1" ht="15" spans="1:9">
      <c r="A89" s="63">
        <v>74</v>
      </c>
      <c r="B89" s="87"/>
      <c r="C89" s="63"/>
      <c r="D89" s="63" t="s">
        <v>779</v>
      </c>
      <c r="E89" s="101" t="s">
        <v>224</v>
      </c>
      <c r="F89" s="67" t="s">
        <v>751</v>
      </c>
      <c r="G89" s="116"/>
      <c r="H89" s="94"/>
      <c r="I89" s="123"/>
    </row>
    <row r="90" s="58" customFormat="1" ht="15" spans="1:9">
      <c r="A90" s="63">
        <v>75</v>
      </c>
      <c r="B90" s="87"/>
      <c r="C90" s="63"/>
      <c r="D90" s="63" t="s">
        <v>780</v>
      </c>
      <c r="E90" s="101" t="s">
        <v>225</v>
      </c>
      <c r="F90" s="67" t="s">
        <v>751</v>
      </c>
      <c r="G90" s="116"/>
      <c r="H90" s="94"/>
      <c r="I90" s="123"/>
    </row>
    <row r="91" s="58" customFormat="1" ht="15" spans="1:9">
      <c r="A91" s="63">
        <v>76</v>
      </c>
      <c r="B91" s="87"/>
      <c r="C91" s="63"/>
      <c r="D91" s="63" t="s">
        <v>781</v>
      </c>
      <c r="E91" s="101" t="s">
        <v>226</v>
      </c>
      <c r="F91" s="67" t="s">
        <v>751</v>
      </c>
      <c r="G91" s="116"/>
      <c r="H91" s="94"/>
      <c r="I91" s="123"/>
    </row>
    <row r="92" s="58" customFormat="1" ht="15" spans="1:9">
      <c r="A92" s="63">
        <v>77</v>
      </c>
      <c r="B92" s="87"/>
      <c r="C92" s="63"/>
      <c r="D92" s="63" t="s">
        <v>782</v>
      </c>
      <c r="E92" s="101" t="s">
        <v>227</v>
      </c>
      <c r="F92" s="67" t="s">
        <v>751</v>
      </c>
      <c r="G92" s="116"/>
      <c r="H92" s="94"/>
      <c r="I92" s="123"/>
    </row>
    <row r="93" s="58" customFormat="1" ht="15" spans="1:9">
      <c r="A93" s="63">
        <v>78</v>
      </c>
      <c r="B93" s="87"/>
      <c r="C93" s="63"/>
      <c r="D93" s="63" t="s">
        <v>783</v>
      </c>
      <c r="E93" s="101" t="s">
        <v>228</v>
      </c>
      <c r="F93" s="67" t="s">
        <v>751</v>
      </c>
      <c r="G93" s="116"/>
      <c r="H93" s="94"/>
      <c r="I93" s="123"/>
    </row>
    <row r="94" s="58" customFormat="1" ht="15" spans="1:9">
      <c r="A94" s="63">
        <v>79</v>
      </c>
      <c r="B94" s="87"/>
      <c r="C94" s="63"/>
      <c r="D94" s="63" t="s">
        <v>784</v>
      </c>
      <c r="E94" s="101" t="s">
        <v>229</v>
      </c>
      <c r="F94" s="67" t="s">
        <v>751</v>
      </c>
      <c r="G94" s="116"/>
      <c r="H94" s="94"/>
      <c r="I94" s="123"/>
    </row>
    <row r="95" s="58" customFormat="1" ht="15" spans="1:9">
      <c r="A95" s="63">
        <v>80</v>
      </c>
      <c r="B95" s="87"/>
      <c r="C95" s="63"/>
      <c r="D95" s="63" t="s">
        <v>785</v>
      </c>
      <c r="E95" s="101" t="s">
        <v>230</v>
      </c>
      <c r="F95" s="67" t="s">
        <v>751</v>
      </c>
      <c r="G95" s="116"/>
      <c r="H95" s="94"/>
      <c r="I95" s="123"/>
    </row>
    <row r="96" s="58" customFormat="1" ht="15" spans="1:9">
      <c r="A96" s="63">
        <v>81</v>
      </c>
      <c r="B96" s="87"/>
      <c r="C96" s="63"/>
      <c r="D96" s="63" t="s">
        <v>786</v>
      </c>
      <c r="E96" s="130" t="s">
        <v>231</v>
      </c>
      <c r="F96" s="67" t="s">
        <v>787</v>
      </c>
      <c r="G96" s="116">
        <v>2</v>
      </c>
      <c r="H96" s="94"/>
      <c r="I96" s="123"/>
    </row>
    <row r="97" ht="15.75" spans="1:9">
      <c r="A97" s="77">
        <v>82</v>
      </c>
      <c r="B97" s="131"/>
      <c r="C97" s="77"/>
      <c r="D97" s="77" t="s">
        <v>788</v>
      </c>
      <c r="E97" s="132" t="s">
        <v>232</v>
      </c>
      <c r="F97" s="133" t="s">
        <v>671</v>
      </c>
      <c r="G97" s="134">
        <v>2</v>
      </c>
      <c r="H97" s="135"/>
      <c r="I97" s="123"/>
    </row>
    <row r="98" ht="16.5" spans="1:9">
      <c r="A98" s="136"/>
      <c r="B98" s="136"/>
      <c r="C98" s="136"/>
      <c r="D98" s="136"/>
      <c r="E98" s="84"/>
      <c r="F98" s="136"/>
      <c r="G98" s="137"/>
      <c r="H98" s="138"/>
      <c r="I98" s="123"/>
    </row>
    <row r="99" ht="15.75" spans="1:9">
      <c r="A99" s="86">
        <v>1</v>
      </c>
      <c r="B99" s="87" t="s">
        <v>789</v>
      </c>
      <c r="C99" s="87" t="s">
        <v>790</v>
      </c>
      <c r="D99" s="139" t="s">
        <v>31</v>
      </c>
      <c r="E99" s="140" t="s">
        <v>791</v>
      </c>
      <c r="F99" s="86" t="s">
        <v>792</v>
      </c>
      <c r="G99" s="90" t="s">
        <v>538</v>
      </c>
      <c r="H99" s="86"/>
      <c r="I99" s="123"/>
    </row>
    <row r="100" spans="1:8">
      <c r="A100" s="63">
        <v>2</v>
      </c>
      <c r="B100" s="87"/>
      <c r="C100" s="141" t="s">
        <v>790</v>
      </c>
      <c r="D100" s="65" t="s">
        <v>103</v>
      </c>
      <c r="E100" s="140" t="s">
        <v>793</v>
      </c>
      <c r="F100" s="72" t="s">
        <v>792</v>
      </c>
      <c r="G100" s="72" t="s">
        <v>539</v>
      </c>
      <c r="H100" s="72"/>
    </row>
    <row r="101" spans="1:8">
      <c r="A101" s="63">
        <v>3</v>
      </c>
      <c r="B101" s="87"/>
      <c r="C101" s="141" t="s">
        <v>790</v>
      </c>
      <c r="D101" s="65" t="s">
        <v>106</v>
      </c>
      <c r="E101" s="140" t="s">
        <v>794</v>
      </c>
      <c r="F101" s="63" t="s">
        <v>792</v>
      </c>
      <c r="G101" s="65">
        <v>1</v>
      </c>
      <c r="H101" s="63"/>
    </row>
    <row r="102" spans="1:8">
      <c r="A102" s="63">
        <v>4</v>
      </c>
      <c r="B102" s="87"/>
      <c r="C102" s="141" t="s">
        <v>790</v>
      </c>
      <c r="D102" s="65" t="s">
        <v>662</v>
      </c>
      <c r="E102" s="140" t="s">
        <v>795</v>
      </c>
      <c r="F102" s="63" t="s">
        <v>792</v>
      </c>
      <c r="G102" s="65" t="s">
        <v>540</v>
      </c>
      <c r="H102" s="63"/>
    </row>
    <row r="103" spans="1:8">
      <c r="A103" s="63">
        <v>5</v>
      </c>
      <c r="B103" s="87"/>
      <c r="C103" s="141" t="s">
        <v>790</v>
      </c>
      <c r="D103" s="65" t="s">
        <v>665</v>
      </c>
      <c r="E103" s="140" t="s">
        <v>796</v>
      </c>
      <c r="F103" s="63" t="s">
        <v>797</v>
      </c>
      <c r="G103" s="72" t="s">
        <v>541</v>
      </c>
      <c r="H103" s="142"/>
    </row>
    <row r="104" spans="1:8">
      <c r="A104" s="63">
        <v>6</v>
      </c>
      <c r="B104" s="87"/>
      <c r="C104" s="141" t="s">
        <v>790</v>
      </c>
      <c r="D104" s="65" t="s">
        <v>669</v>
      </c>
      <c r="E104" s="140" t="s">
        <v>798</v>
      </c>
      <c r="F104" s="63" t="s">
        <v>797</v>
      </c>
      <c r="G104" s="65">
        <v>3</v>
      </c>
      <c r="H104" s="63"/>
    </row>
    <row r="105" ht="13.5" spans="1:8">
      <c r="A105" s="77">
        <v>7</v>
      </c>
      <c r="B105" s="131"/>
      <c r="C105" s="131" t="s">
        <v>790</v>
      </c>
      <c r="D105" s="79" t="s">
        <v>432</v>
      </c>
      <c r="E105" s="143" t="s">
        <v>799</v>
      </c>
      <c r="F105" s="82" t="s">
        <v>797</v>
      </c>
      <c r="G105" s="144" t="s">
        <v>800</v>
      </c>
      <c r="H105" s="145"/>
    </row>
    <row r="106" ht="13.5"/>
  </sheetData>
  <autoFilter ref="J1:J99">
    <extLst/>
  </autoFilter>
  <mergeCells count="3">
    <mergeCell ref="B2:B14"/>
    <mergeCell ref="B16:B97"/>
    <mergeCell ref="B99:B105"/>
  </mergeCells>
  <conditionalFormatting sqref="G19">
    <cfRule type="duplicateValues" dxfId="1" priority="6"/>
  </conditionalFormatting>
  <conditionalFormatting sqref="E82 E74 E78">
    <cfRule type="duplicateValues" dxfId="0" priority="1"/>
  </conditionalFormatting>
  <conditionalFormatting sqref="G78 G82 G74">
    <cfRule type="duplicateValues" dxfId="0" priority="7"/>
  </conditionalFormatting>
  <pageMargins left="0.7" right="0.7" top="0.75" bottom="0.75" header="0.3" footer="0.3"/>
  <pageSetup paperSize="9" orientation="portrait" horizontalDpi="1200" verticalDpi="1200"/>
  <headerFooter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8"/>
  <dimension ref="A1:N203"/>
  <sheetViews>
    <sheetView workbookViewId="0">
      <selection activeCell="A1" sqref="A1"/>
    </sheetView>
  </sheetViews>
  <sheetFormatPr defaultColWidth="9" defaultRowHeight="14.25"/>
  <cols>
    <col min="1" max="1" width="9" style="2"/>
    <col min="2" max="2" width="11" style="2" customWidth="1"/>
    <col min="3" max="3" width="7.875" style="2" customWidth="1"/>
    <col min="4" max="4" width="20.375" style="2" customWidth="1"/>
    <col min="5" max="5" width="7.125" style="2" customWidth="1"/>
    <col min="6" max="6" width="27.125" style="2" customWidth="1"/>
    <col min="7" max="7" width="22.25" style="2" customWidth="1"/>
    <col min="8" max="9" width="9.25" style="5" customWidth="1"/>
    <col min="10" max="10" width="17.5" style="5" customWidth="1"/>
    <col min="11" max="11" width="16" style="5" customWidth="1"/>
    <col min="12" max="12" width="15.875" style="5" customWidth="1"/>
    <col min="13" max="13" width="15.25" style="5" customWidth="1"/>
    <col min="14" max="14" width="17.875" style="5" customWidth="1"/>
    <col min="15" max="16384" width="9" style="5"/>
  </cols>
  <sheetData>
    <row r="1" ht="20" customHeight="1" spans="1:14">
      <c r="A1" s="17" t="s">
        <v>670</v>
      </c>
      <c r="B1" s="17" t="s">
        <v>801</v>
      </c>
      <c r="C1" s="18" t="s">
        <v>802</v>
      </c>
      <c r="D1" s="17" t="s">
        <v>803</v>
      </c>
      <c r="E1" s="17" t="s">
        <v>804</v>
      </c>
      <c r="F1" s="17" t="s">
        <v>805</v>
      </c>
      <c r="G1" s="17" t="s">
        <v>806</v>
      </c>
      <c r="H1" s="19"/>
      <c r="I1" s="19"/>
      <c r="J1" s="19"/>
      <c r="K1" s="19"/>
      <c r="L1" s="19"/>
      <c r="M1" s="19"/>
      <c r="N1" s="19"/>
    </row>
    <row r="2" ht="15" spans="1:14">
      <c r="A2" s="20" t="s">
        <v>132</v>
      </c>
      <c r="B2" s="20" t="s">
        <v>133</v>
      </c>
      <c r="C2" s="20" t="s">
        <v>237</v>
      </c>
      <c r="D2" s="20" t="s">
        <v>238</v>
      </c>
      <c r="E2" s="20" t="s">
        <v>807</v>
      </c>
      <c r="F2" s="21" t="s">
        <v>808</v>
      </c>
      <c r="G2" s="21" t="s">
        <v>809</v>
      </c>
      <c r="H2" s="22" t="s">
        <v>810</v>
      </c>
      <c r="I2" s="30"/>
      <c r="J2" s="31" t="s">
        <v>811</v>
      </c>
      <c r="K2" s="31"/>
      <c r="L2" s="31"/>
      <c r="M2" s="31"/>
      <c r="N2" s="31"/>
    </row>
    <row r="3" ht="15" spans="1:14">
      <c r="A3" s="20"/>
      <c r="B3" s="20"/>
      <c r="C3" s="20"/>
      <c r="D3" s="20"/>
      <c r="E3" s="20"/>
      <c r="F3" s="21"/>
      <c r="G3" s="21"/>
      <c r="H3" s="22" t="s">
        <v>712</v>
      </c>
      <c r="I3" s="30"/>
      <c r="J3" s="31" t="s">
        <v>710</v>
      </c>
      <c r="K3" s="31"/>
      <c r="L3" s="31"/>
      <c r="M3" s="31"/>
      <c r="N3" s="31"/>
    </row>
    <row r="4" ht="15" spans="1:14">
      <c r="A4" s="20"/>
      <c r="B4" s="20"/>
      <c r="C4" s="20"/>
      <c r="D4" s="20"/>
      <c r="E4" s="20"/>
      <c r="F4" s="21"/>
      <c r="G4" s="21"/>
      <c r="H4" s="22" t="s">
        <v>812</v>
      </c>
      <c r="I4" s="30"/>
      <c r="J4" s="31" t="s">
        <v>813</v>
      </c>
      <c r="K4" s="31"/>
      <c r="L4" s="31"/>
      <c r="M4" s="31"/>
      <c r="N4" s="31"/>
    </row>
    <row r="5" ht="15" spans="1:14">
      <c r="A5" s="20"/>
      <c r="B5" s="20"/>
      <c r="C5" s="20"/>
      <c r="D5" s="20"/>
      <c r="E5" s="20"/>
      <c r="F5" s="21"/>
      <c r="G5" s="21"/>
      <c r="H5" s="22" t="s">
        <v>814</v>
      </c>
      <c r="I5" s="30"/>
      <c r="J5" s="31" t="s">
        <v>815</v>
      </c>
      <c r="K5" s="31"/>
      <c r="L5" s="31"/>
      <c r="M5" s="31"/>
      <c r="N5" s="31"/>
    </row>
    <row r="6" ht="15" spans="1:14">
      <c r="A6" s="20"/>
      <c r="B6" s="20"/>
      <c r="C6" s="20"/>
      <c r="D6" s="20"/>
      <c r="E6" s="20"/>
      <c r="F6" s="21"/>
      <c r="G6" s="21"/>
      <c r="H6" s="22" t="s">
        <v>816</v>
      </c>
      <c r="I6" s="30"/>
      <c r="J6" s="31" t="s">
        <v>817</v>
      </c>
      <c r="K6" s="31"/>
      <c r="L6" s="31"/>
      <c r="M6" s="31"/>
      <c r="N6" s="31"/>
    </row>
    <row r="7" ht="15" spans="1:14">
      <c r="A7" s="20"/>
      <c r="B7" s="20"/>
      <c r="C7" s="20"/>
      <c r="D7" s="20"/>
      <c r="E7" s="20"/>
      <c r="F7" s="21"/>
      <c r="G7" s="21"/>
      <c r="H7" s="22" t="s">
        <v>818</v>
      </c>
      <c r="I7" s="30"/>
      <c r="J7" s="31" t="s">
        <v>819</v>
      </c>
      <c r="K7" s="31"/>
      <c r="L7" s="31"/>
      <c r="M7" s="31"/>
      <c r="N7" s="31"/>
    </row>
    <row r="8" ht="15" spans="1:14">
      <c r="A8" s="20"/>
      <c r="B8" s="20"/>
      <c r="C8" s="20"/>
      <c r="D8" s="20"/>
      <c r="E8" s="20"/>
      <c r="F8" s="21"/>
      <c r="G8" s="21"/>
      <c r="H8" s="22" t="s">
        <v>820</v>
      </c>
      <c r="I8" s="30"/>
      <c r="J8" s="31" t="s">
        <v>821</v>
      </c>
      <c r="K8" s="31"/>
      <c r="L8" s="31"/>
      <c r="M8" s="31"/>
      <c r="N8" s="31"/>
    </row>
    <row r="9" ht="15" spans="1:14">
      <c r="A9" s="20"/>
      <c r="B9" s="20"/>
      <c r="C9" s="20"/>
      <c r="D9" s="20"/>
      <c r="E9" s="20"/>
      <c r="F9" s="21"/>
      <c r="G9" s="21"/>
      <c r="H9" s="22" t="s">
        <v>822</v>
      </c>
      <c r="I9" s="30"/>
      <c r="J9" s="31" t="s">
        <v>823</v>
      </c>
      <c r="K9" s="31"/>
      <c r="L9" s="31"/>
      <c r="M9" s="31"/>
      <c r="N9" s="31"/>
    </row>
    <row r="10" ht="15" spans="1:14">
      <c r="A10" s="20"/>
      <c r="B10" s="20"/>
      <c r="C10" s="20"/>
      <c r="D10" s="20"/>
      <c r="E10" s="20"/>
      <c r="F10" s="21"/>
      <c r="G10" s="21"/>
      <c r="H10" s="22" t="s">
        <v>824</v>
      </c>
      <c r="I10" s="30"/>
      <c r="J10" s="31" t="s">
        <v>825</v>
      </c>
      <c r="K10" s="31"/>
      <c r="L10" s="31"/>
      <c r="M10" s="31"/>
      <c r="N10" s="31"/>
    </row>
    <row r="11" ht="15" spans="1:14">
      <c r="A11" s="23" t="s">
        <v>132</v>
      </c>
      <c r="B11" s="23" t="s">
        <v>133</v>
      </c>
      <c r="C11" s="23" t="s">
        <v>237</v>
      </c>
      <c r="D11" s="23" t="s">
        <v>238</v>
      </c>
      <c r="E11" s="20" t="s">
        <v>807</v>
      </c>
      <c r="F11" s="21" t="s">
        <v>826</v>
      </c>
      <c r="G11" s="24" t="s">
        <v>827</v>
      </c>
      <c r="H11" s="25" t="s">
        <v>810</v>
      </c>
      <c r="I11" s="30"/>
      <c r="J11" s="31" t="s">
        <v>811</v>
      </c>
      <c r="K11" s="31"/>
      <c r="L11" s="31"/>
      <c r="M11" s="31"/>
      <c r="N11" s="31"/>
    </row>
    <row r="12" customHeight="1" spans="1:14">
      <c r="A12" s="26"/>
      <c r="B12" s="26"/>
      <c r="C12" s="26"/>
      <c r="D12" s="26"/>
      <c r="E12" s="20"/>
      <c r="F12" s="21"/>
      <c r="G12" s="27"/>
      <c r="H12" s="25" t="s">
        <v>710</v>
      </c>
      <c r="I12" s="30"/>
      <c r="J12" s="31" t="s">
        <v>714</v>
      </c>
      <c r="K12" s="31"/>
      <c r="L12" s="31"/>
      <c r="M12" s="31"/>
      <c r="N12" s="31"/>
    </row>
    <row r="13" ht="15" spans="1:14">
      <c r="A13" s="26"/>
      <c r="B13" s="26"/>
      <c r="C13" s="26"/>
      <c r="D13" s="26"/>
      <c r="E13" s="20"/>
      <c r="F13" s="21"/>
      <c r="G13" s="27"/>
      <c r="H13" s="25" t="s">
        <v>813</v>
      </c>
      <c r="I13" s="30"/>
      <c r="J13" s="31" t="s">
        <v>828</v>
      </c>
      <c r="K13" s="31"/>
      <c r="L13" s="31"/>
      <c r="M13" s="31"/>
      <c r="N13" s="31"/>
    </row>
    <row r="14" ht="15" spans="1:14">
      <c r="A14" s="26"/>
      <c r="B14" s="26"/>
      <c r="C14" s="26"/>
      <c r="D14" s="26"/>
      <c r="E14" s="20"/>
      <c r="F14" s="21"/>
      <c r="G14" s="27"/>
      <c r="H14" s="25" t="s">
        <v>815</v>
      </c>
      <c r="I14" s="30"/>
      <c r="J14" s="31" t="s">
        <v>829</v>
      </c>
      <c r="K14" s="31"/>
      <c r="L14" s="31"/>
      <c r="M14" s="31"/>
      <c r="N14" s="31"/>
    </row>
    <row r="15" ht="15" spans="1:14">
      <c r="A15" s="26"/>
      <c r="B15" s="26"/>
      <c r="C15" s="26"/>
      <c r="D15" s="26"/>
      <c r="E15" s="20" t="s">
        <v>830</v>
      </c>
      <c r="F15" s="21" t="s">
        <v>831</v>
      </c>
      <c r="G15" s="27"/>
      <c r="H15" s="25" t="s">
        <v>817</v>
      </c>
      <c r="I15" s="30"/>
      <c r="J15" s="31" t="s">
        <v>832</v>
      </c>
      <c r="K15" s="31"/>
      <c r="L15" s="31"/>
      <c r="M15" s="31"/>
      <c r="N15" s="31"/>
    </row>
    <row r="16" ht="15" spans="1:14">
      <c r="A16" s="26"/>
      <c r="B16" s="26"/>
      <c r="C16" s="26"/>
      <c r="D16" s="26"/>
      <c r="E16" s="20"/>
      <c r="F16" s="21"/>
      <c r="G16" s="27"/>
      <c r="H16" s="25" t="s">
        <v>819</v>
      </c>
      <c r="I16" s="30"/>
      <c r="J16" s="31" t="s">
        <v>833</v>
      </c>
      <c r="K16" s="31"/>
      <c r="L16" s="31"/>
      <c r="M16" s="31"/>
      <c r="N16" s="31"/>
    </row>
    <row r="17" ht="15" spans="1:14">
      <c r="A17" s="26"/>
      <c r="B17" s="26"/>
      <c r="C17" s="26"/>
      <c r="D17" s="26"/>
      <c r="E17" s="20"/>
      <c r="F17" s="21"/>
      <c r="G17" s="27"/>
      <c r="H17" s="25" t="s">
        <v>821</v>
      </c>
      <c r="I17" s="30"/>
      <c r="J17" s="31" t="s">
        <v>834</v>
      </c>
      <c r="K17" s="31"/>
      <c r="L17" s="31"/>
      <c r="M17" s="31"/>
      <c r="N17" s="31"/>
    </row>
    <row r="18" ht="15" spans="1:14">
      <c r="A18" s="26"/>
      <c r="B18" s="26"/>
      <c r="C18" s="26"/>
      <c r="D18" s="26"/>
      <c r="E18" s="20"/>
      <c r="F18" s="21"/>
      <c r="G18" s="27"/>
      <c r="H18" s="25" t="s">
        <v>823</v>
      </c>
      <c r="I18" s="30"/>
      <c r="J18" s="31" t="s">
        <v>835</v>
      </c>
      <c r="K18" s="31"/>
      <c r="L18" s="31"/>
      <c r="M18" s="31"/>
      <c r="N18" s="31"/>
    </row>
    <row r="19" ht="15" spans="1:14">
      <c r="A19" s="28"/>
      <c r="B19" s="28"/>
      <c r="C19" s="28"/>
      <c r="D19" s="28"/>
      <c r="E19" s="20"/>
      <c r="F19" s="21"/>
      <c r="G19" s="29"/>
      <c r="H19" s="25" t="s">
        <v>825</v>
      </c>
      <c r="I19" s="30"/>
      <c r="J19" s="31" t="s">
        <v>836</v>
      </c>
      <c r="K19" s="31"/>
      <c r="L19" s="31"/>
      <c r="M19" s="31"/>
      <c r="N19" s="31"/>
    </row>
    <row r="20" ht="15" spans="1:14">
      <c r="A20" s="23" t="s">
        <v>134</v>
      </c>
      <c r="B20" s="23" t="s">
        <v>133</v>
      </c>
      <c r="C20" s="23" t="s">
        <v>237</v>
      </c>
      <c r="D20" s="23" t="s">
        <v>837</v>
      </c>
      <c r="E20" s="20" t="s">
        <v>807</v>
      </c>
      <c r="F20" s="21" t="s">
        <v>838</v>
      </c>
      <c r="G20" s="24" t="s">
        <v>809</v>
      </c>
      <c r="H20" s="25" t="s">
        <v>810</v>
      </c>
      <c r="I20" s="30"/>
      <c r="J20" s="31" t="s">
        <v>811</v>
      </c>
      <c r="K20" s="32" t="s">
        <v>839</v>
      </c>
      <c r="L20" s="33"/>
      <c r="M20" s="33"/>
      <c r="N20" s="34"/>
    </row>
    <row r="21" customHeight="1" spans="1:14">
      <c r="A21" s="26"/>
      <c r="B21" s="26"/>
      <c r="C21" s="26"/>
      <c r="D21" s="26"/>
      <c r="E21" s="20"/>
      <c r="F21" s="21"/>
      <c r="G21" s="27"/>
      <c r="H21" s="25" t="s">
        <v>712</v>
      </c>
      <c r="I21" s="30"/>
      <c r="J21" s="31" t="s">
        <v>710</v>
      </c>
      <c r="K21" s="35" t="s">
        <v>840</v>
      </c>
      <c r="L21" s="35" t="s">
        <v>841</v>
      </c>
      <c r="M21" s="35" t="s">
        <v>842</v>
      </c>
      <c r="N21" s="35" t="s">
        <v>843</v>
      </c>
    </row>
    <row r="22" ht="15" spans="1:14">
      <c r="A22" s="26"/>
      <c r="B22" s="26"/>
      <c r="C22" s="26"/>
      <c r="D22" s="26"/>
      <c r="E22" s="20"/>
      <c r="F22" s="21"/>
      <c r="G22" s="27"/>
      <c r="H22" s="25" t="s">
        <v>812</v>
      </c>
      <c r="I22" s="30"/>
      <c r="J22" s="31" t="s">
        <v>813</v>
      </c>
      <c r="K22" s="35" t="s">
        <v>844</v>
      </c>
      <c r="L22" s="35" t="s">
        <v>845</v>
      </c>
      <c r="M22" s="35" t="s">
        <v>846</v>
      </c>
      <c r="N22" s="35" t="s">
        <v>847</v>
      </c>
    </row>
    <row r="23" ht="15" spans="1:14">
      <c r="A23" s="26"/>
      <c r="B23" s="26"/>
      <c r="C23" s="26"/>
      <c r="D23" s="26"/>
      <c r="E23" s="20"/>
      <c r="F23" s="21"/>
      <c r="G23" s="27"/>
      <c r="H23" s="25" t="s">
        <v>814</v>
      </c>
      <c r="I23" s="30"/>
      <c r="J23" s="31" t="s">
        <v>815</v>
      </c>
      <c r="K23" s="35" t="s">
        <v>848</v>
      </c>
      <c r="L23" s="35" t="s">
        <v>849</v>
      </c>
      <c r="M23" s="35" t="s">
        <v>850</v>
      </c>
      <c r="N23" s="35" t="s">
        <v>851</v>
      </c>
    </row>
    <row r="24" ht="15" spans="1:14">
      <c r="A24" s="26"/>
      <c r="B24" s="26"/>
      <c r="C24" s="26"/>
      <c r="D24" s="26"/>
      <c r="E24" s="20"/>
      <c r="F24" s="21"/>
      <c r="G24" s="27"/>
      <c r="H24" s="25" t="s">
        <v>816</v>
      </c>
      <c r="I24" s="30"/>
      <c r="J24" s="31" t="s">
        <v>817</v>
      </c>
      <c r="K24" s="35"/>
      <c r="L24" s="35"/>
      <c r="M24" s="35"/>
      <c r="N24" s="35"/>
    </row>
    <row r="25" ht="15" spans="1:14">
      <c r="A25" s="26"/>
      <c r="B25" s="26"/>
      <c r="C25" s="26"/>
      <c r="D25" s="26"/>
      <c r="E25" s="20"/>
      <c r="F25" s="21"/>
      <c r="G25" s="27"/>
      <c r="H25" s="25" t="s">
        <v>818</v>
      </c>
      <c r="I25" s="30"/>
      <c r="J25" s="31" t="s">
        <v>819</v>
      </c>
      <c r="K25" s="35"/>
      <c r="L25" s="35"/>
      <c r="M25" s="35"/>
      <c r="N25" s="35"/>
    </row>
    <row r="26" ht="15" spans="1:14">
      <c r="A26" s="26"/>
      <c r="B26" s="26"/>
      <c r="C26" s="26"/>
      <c r="D26" s="26"/>
      <c r="E26" s="20"/>
      <c r="F26" s="21"/>
      <c r="G26" s="27"/>
      <c r="H26" s="25" t="s">
        <v>820</v>
      </c>
      <c r="I26" s="30"/>
      <c r="J26" s="31" t="s">
        <v>821</v>
      </c>
      <c r="K26" s="35"/>
      <c r="L26" s="35"/>
      <c r="M26" s="35"/>
      <c r="N26" s="35"/>
    </row>
    <row r="27" ht="15" spans="1:14">
      <c r="A27" s="26"/>
      <c r="B27" s="26"/>
      <c r="C27" s="26"/>
      <c r="D27" s="26"/>
      <c r="E27" s="20"/>
      <c r="F27" s="21"/>
      <c r="G27" s="27"/>
      <c r="H27" s="25" t="s">
        <v>822</v>
      </c>
      <c r="I27" s="30"/>
      <c r="J27" s="31" t="s">
        <v>823</v>
      </c>
      <c r="K27" s="35"/>
      <c r="L27" s="35"/>
      <c r="M27" s="35"/>
      <c r="N27" s="35"/>
    </row>
    <row r="28" ht="15" spans="1:14">
      <c r="A28" s="28"/>
      <c r="B28" s="28"/>
      <c r="C28" s="28"/>
      <c r="D28" s="28"/>
      <c r="E28" s="20"/>
      <c r="F28" s="21"/>
      <c r="G28" s="29"/>
      <c r="H28" s="25" t="s">
        <v>824</v>
      </c>
      <c r="I28" s="30"/>
      <c r="J28" s="31" t="s">
        <v>825</v>
      </c>
      <c r="K28" s="35"/>
      <c r="L28" s="35"/>
      <c r="M28" s="35"/>
      <c r="N28" s="35"/>
    </row>
    <row r="29" ht="15" spans="1:14">
      <c r="A29" s="23" t="s">
        <v>134</v>
      </c>
      <c r="B29" s="23" t="s">
        <v>133</v>
      </c>
      <c r="C29" s="23" t="s">
        <v>237</v>
      </c>
      <c r="D29" s="23" t="s">
        <v>837</v>
      </c>
      <c r="E29" s="20" t="s">
        <v>807</v>
      </c>
      <c r="F29" s="21" t="s">
        <v>826</v>
      </c>
      <c r="G29" s="24" t="s">
        <v>827</v>
      </c>
      <c r="H29" s="25" t="s">
        <v>810</v>
      </c>
      <c r="I29" s="30"/>
      <c r="J29" s="31" t="s">
        <v>811</v>
      </c>
      <c r="K29" s="32" t="s">
        <v>839</v>
      </c>
      <c r="L29" s="33"/>
      <c r="M29" s="33"/>
      <c r="N29" s="34"/>
    </row>
    <row r="30" customHeight="1" spans="1:14">
      <c r="A30" s="26"/>
      <c r="B30" s="26"/>
      <c r="C30" s="26"/>
      <c r="D30" s="26"/>
      <c r="E30" s="20"/>
      <c r="F30" s="21"/>
      <c r="G30" s="27"/>
      <c r="H30" s="25" t="s">
        <v>710</v>
      </c>
      <c r="I30" s="30"/>
      <c r="J30" s="31" t="s">
        <v>714</v>
      </c>
      <c r="K30" s="35" t="s">
        <v>840</v>
      </c>
      <c r="L30" s="35" t="s">
        <v>841</v>
      </c>
      <c r="M30" s="35" t="s">
        <v>842</v>
      </c>
      <c r="N30" s="35" t="s">
        <v>843</v>
      </c>
    </row>
    <row r="31" ht="15" spans="1:14">
      <c r="A31" s="26"/>
      <c r="B31" s="26"/>
      <c r="C31" s="26"/>
      <c r="D31" s="26"/>
      <c r="E31" s="20"/>
      <c r="F31" s="21"/>
      <c r="G31" s="27"/>
      <c r="H31" s="25" t="s">
        <v>813</v>
      </c>
      <c r="I31" s="30"/>
      <c r="J31" s="31" t="s">
        <v>828</v>
      </c>
      <c r="K31" s="35" t="s">
        <v>844</v>
      </c>
      <c r="L31" s="35" t="s">
        <v>845</v>
      </c>
      <c r="M31" s="35" t="s">
        <v>846</v>
      </c>
      <c r="N31" s="35" t="s">
        <v>847</v>
      </c>
    </row>
    <row r="32" ht="15" spans="1:14">
      <c r="A32" s="26"/>
      <c r="B32" s="26"/>
      <c r="C32" s="26"/>
      <c r="D32" s="26"/>
      <c r="E32" s="20"/>
      <c r="F32" s="21"/>
      <c r="G32" s="27"/>
      <c r="H32" s="25" t="s">
        <v>815</v>
      </c>
      <c r="I32" s="30"/>
      <c r="J32" s="31" t="s">
        <v>829</v>
      </c>
      <c r="K32" s="35" t="s">
        <v>848</v>
      </c>
      <c r="L32" s="35" t="s">
        <v>849</v>
      </c>
      <c r="M32" s="35" t="s">
        <v>850</v>
      </c>
      <c r="N32" s="35" t="s">
        <v>851</v>
      </c>
    </row>
    <row r="33" ht="15" spans="1:14">
      <c r="A33" s="26"/>
      <c r="B33" s="26"/>
      <c r="C33" s="26"/>
      <c r="D33" s="26"/>
      <c r="E33" s="20" t="s">
        <v>830</v>
      </c>
      <c r="F33" s="21" t="s">
        <v>831</v>
      </c>
      <c r="G33" s="27"/>
      <c r="H33" s="25" t="s">
        <v>817</v>
      </c>
      <c r="I33" s="30"/>
      <c r="J33" s="31" t="s">
        <v>832</v>
      </c>
      <c r="K33" s="31"/>
      <c r="L33" s="31"/>
      <c r="M33" s="31"/>
      <c r="N33" s="31"/>
    </row>
    <row r="34" ht="15" spans="1:14">
      <c r="A34" s="26"/>
      <c r="B34" s="26"/>
      <c r="C34" s="26"/>
      <c r="D34" s="26"/>
      <c r="E34" s="20"/>
      <c r="F34" s="21"/>
      <c r="G34" s="27"/>
      <c r="H34" s="25" t="s">
        <v>819</v>
      </c>
      <c r="I34" s="30"/>
      <c r="J34" s="31" t="s">
        <v>833</v>
      </c>
      <c r="K34" s="31"/>
      <c r="L34" s="31"/>
      <c r="M34" s="31"/>
      <c r="N34" s="31"/>
    </row>
    <row r="35" ht="15" spans="1:14">
      <c r="A35" s="26"/>
      <c r="B35" s="26"/>
      <c r="C35" s="26"/>
      <c r="D35" s="26"/>
      <c r="E35" s="20"/>
      <c r="F35" s="21"/>
      <c r="G35" s="27"/>
      <c r="H35" s="25" t="s">
        <v>821</v>
      </c>
      <c r="I35" s="30"/>
      <c r="J35" s="31" t="s">
        <v>834</v>
      </c>
      <c r="K35" s="31"/>
      <c r="L35" s="31"/>
      <c r="M35" s="31"/>
      <c r="N35" s="31"/>
    </row>
    <row r="36" ht="15" spans="1:14">
      <c r="A36" s="26"/>
      <c r="B36" s="26"/>
      <c r="C36" s="26"/>
      <c r="D36" s="26"/>
      <c r="E36" s="20"/>
      <c r="F36" s="21"/>
      <c r="G36" s="27"/>
      <c r="H36" s="25" t="s">
        <v>823</v>
      </c>
      <c r="I36" s="30"/>
      <c r="J36" s="31" t="s">
        <v>835</v>
      </c>
      <c r="K36" s="31"/>
      <c r="L36" s="31"/>
      <c r="M36" s="31"/>
      <c r="N36" s="31"/>
    </row>
    <row r="37" ht="15.75" spans="1:14">
      <c r="A37" s="28"/>
      <c r="B37" s="28"/>
      <c r="C37" s="28"/>
      <c r="D37" s="28"/>
      <c r="E37" s="20"/>
      <c r="F37" s="21"/>
      <c r="G37" s="29"/>
      <c r="H37" s="25" t="s">
        <v>825</v>
      </c>
      <c r="I37" s="30"/>
      <c r="J37" s="31" t="s">
        <v>836</v>
      </c>
      <c r="K37" s="36"/>
      <c r="L37" s="36"/>
      <c r="M37" s="31"/>
      <c r="N37" s="31"/>
    </row>
    <row r="38" ht="15" spans="1:14">
      <c r="A38" s="20" t="s">
        <v>137</v>
      </c>
      <c r="B38" s="20" t="s">
        <v>138</v>
      </c>
      <c r="C38" s="20" t="s">
        <v>237</v>
      </c>
      <c r="D38" s="21" t="s">
        <v>852</v>
      </c>
      <c r="E38" s="20" t="s">
        <v>807</v>
      </c>
      <c r="F38" s="20" t="s">
        <v>263</v>
      </c>
      <c r="G38" s="20" t="s">
        <v>853</v>
      </c>
      <c r="H38" s="25" t="s">
        <v>810</v>
      </c>
      <c r="I38" s="30"/>
      <c r="J38" s="25" t="s">
        <v>811</v>
      </c>
      <c r="K38" s="37" t="s">
        <v>854</v>
      </c>
      <c r="L38" s="38" t="s">
        <v>855</v>
      </c>
      <c r="M38" s="30"/>
      <c r="N38" s="31"/>
    </row>
    <row r="39" ht="15" spans="1:14">
      <c r="A39" s="20"/>
      <c r="B39" s="20"/>
      <c r="C39" s="20"/>
      <c r="D39" s="20"/>
      <c r="E39" s="20"/>
      <c r="F39" s="20"/>
      <c r="G39" s="20"/>
      <c r="H39" s="25" t="s">
        <v>710</v>
      </c>
      <c r="I39" s="30"/>
      <c r="J39" s="25" t="s">
        <v>712</v>
      </c>
      <c r="K39" s="39" t="s">
        <v>714</v>
      </c>
      <c r="L39" s="40" t="s">
        <v>716</v>
      </c>
      <c r="M39" s="30"/>
      <c r="N39" s="31"/>
    </row>
    <row r="40" ht="15" spans="1:14">
      <c r="A40" s="20"/>
      <c r="B40" s="20"/>
      <c r="C40" s="20"/>
      <c r="D40" s="20"/>
      <c r="E40" s="20"/>
      <c r="F40" s="20"/>
      <c r="G40" s="20"/>
      <c r="H40" s="25" t="s">
        <v>813</v>
      </c>
      <c r="I40" s="30"/>
      <c r="J40" s="25" t="s">
        <v>812</v>
      </c>
      <c r="K40" s="39" t="s">
        <v>828</v>
      </c>
      <c r="L40" s="40" t="s">
        <v>856</v>
      </c>
      <c r="M40" s="30"/>
      <c r="N40" s="31"/>
    </row>
    <row r="41" ht="15" spans="1:14">
      <c r="A41" s="20"/>
      <c r="B41" s="20"/>
      <c r="C41" s="20"/>
      <c r="D41" s="20"/>
      <c r="E41" s="20"/>
      <c r="F41" s="20"/>
      <c r="G41" s="20"/>
      <c r="H41" s="25" t="s">
        <v>815</v>
      </c>
      <c r="I41" s="30"/>
      <c r="J41" s="25" t="s">
        <v>814</v>
      </c>
      <c r="K41" s="39" t="s">
        <v>829</v>
      </c>
      <c r="L41" s="40" t="s">
        <v>857</v>
      </c>
      <c r="M41" s="30"/>
      <c r="N41" s="31"/>
    </row>
    <row r="42" ht="15" spans="1:14">
      <c r="A42" s="20"/>
      <c r="B42" s="20"/>
      <c r="C42" s="20"/>
      <c r="D42" s="20"/>
      <c r="E42" s="20"/>
      <c r="F42" s="20"/>
      <c r="G42" s="20"/>
      <c r="H42" s="25" t="s">
        <v>817</v>
      </c>
      <c r="I42" s="30"/>
      <c r="J42" s="25" t="s">
        <v>816</v>
      </c>
      <c r="K42" s="39" t="s">
        <v>832</v>
      </c>
      <c r="L42" s="40" t="s">
        <v>858</v>
      </c>
      <c r="M42" s="30"/>
      <c r="N42" s="31"/>
    </row>
    <row r="43" ht="15" spans="1:14">
      <c r="A43" s="20"/>
      <c r="B43" s="20"/>
      <c r="C43" s="20"/>
      <c r="D43" s="20"/>
      <c r="E43" s="20"/>
      <c r="F43" s="20"/>
      <c r="G43" s="20"/>
      <c r="H43" s="25" t="s">
        <v>819</v>
      </c>
      <c r="I43" s="30"/>
      <c r="J43" s="25" t="s">
        <v>818</v>
      </c>
      <c r="K43" s="39" t="s">
        <v>833</v>
      </c>
      <c r="L43" s="40" t="s">
        <v>859</v>
      </c>
      <c r="M43" s="30"/>
      <c r="N43" s="31"/>
    </row>
    <row r="44" ht="15" spans="1:14">
      <c r="A44" s="20"/>
      <c r="B44" s="20"/>
      <c r="C44" s="20"/>
      <c r="D44" s="20"/>
      <c r="E44" s="20"/>
      <c r="F44" s="20"/>
      <c r="G44" s="20"/>
      <c r="H44" s="25" t="s">
        <v>821</v>
      </c>
      <c r="I44" s="30"/>
      <c r="J44" s="25" t="s">
        <v>820</v>
      </c>
      <c r="K44" s="39" t="s">
        <v>834</v>
      </c>
      <c r="L44" s="40" t="s">
        <v>860</v>
      </c>
      <c r="M44" s="30"/>
      <c r="N44" s="31"/>
    </row>
    <row r="45" ht="15.75" spans="1:14">
      <c r="A45" s="20"/>
      <c r="B45" s="20"/>
      <c r="C45" s="20"/>
      <c r="D45" s="20"/>
      <c r="E45" s="20"/>
      <c r="F45" s="20"/>
      <c r="G45" s="20"/>
      <c r="H45" s="25" t="s">
        <v>823</v>
      </c>
      <c r="I45" s="30"/>
      <c r="J45" s="25" t="s">
        <v>822</v>
      </c>
      <c r="K45" s="41" t="s">
        <v>835</v>
      </c>
      <c r="L45" s="42" t="s">
        <v>861</v>
      </c>
      <c r="M45" s="30"/>
      <c r="N45" s="31"/>
    </row>
    <row r="46" ht="15" spans="1:14">
      <c r="A46" s="20" t="s">
        <v>137</v>
      </c>
      <c r="B46" s="20" t="s">
        <v>138</v>
      </c>
      <c r="C46" s="20" t="s">
        <v>237</v>
      </c>
      <c r="D46" s="21" t="s">
        <v>852</v>
      </c>
      <c r="E46" s="20" t="s">
        <v>807</v>
      </c>
      <c r="F46" s="20" t="s">
        <v>267</v>
      </c>
      <c r="G46" s="20" t="s">
        <v>862</v>
      </c>
      <c r="H46" s="25" t="s">
        <v>810</v>
      </c>
      <c r="I46" s="30"/>
      <c r="J46" s="31" t="s">
        <v>811</v>
      </c>
      <c r="K46" s="43" t="s">
        <v>863</v>
      </c>
      <c r="L46" s="43"/>
      <c r="M46" s="31"/>
      <c r="N46" s="31"/>
    </row>
    <row r="47" ht="15" spans="1:14">
      <c r="A47" s="20"/>
      <c r="B47" s="20"/>
      <c r="C47" s="20"/>
      <c r="D47" s="20"/>
      <c r="E47" s="20"/>
      <c r="F47" s="20"/>
      <c r="G47" s="20"/>
      <c r="H47" s="25" t="s">
        <v>710</v>
      </c>
      <c r="I47" s="30"/>
      <c r="J47" s="31" t="s">
        <v>712</v>
      </c>
      <c r="K47" s="31" t="s">
        <v>714</v>
      </c>
      <c r="L47" s="31"/>
      <c r="M47" s="31"/>
      <c r="N47" s="31"/>
    </row>
    <row r="48" ht="15" spans="1:14">
      <c r="A48" s="20"/>
      <c r="B48" s="20"/>
      <c r="C48" s="20"/>
      <c r="D48" s="20"/>
      <c r="E48" s="20"/>
      <c r="F48" s="20"/>
      <c r="G48" s="20"/>
      <c r="H48" s="25" t="s">
        <v>813</v>
      </c>
      <c r="I48" s="30"/>
      <c r="J48" s="31" t="s">
        <v>812</v>
      </c>
      <c r="K48" s="31" t="s">
        <v>828</v>
      </c>
      <c r="L48" s="31"/>
      <c r="M48" s="31"/>
      <c r="N48" s="31"/>
    </row>
    <row r="49" ht="15" spans="1:14">
      <c r="A49" s="20"/>
      <c r="B49" s="20"/>
      <c r="C49" s="20"/>
      <c r="D49" s="20"/>
      <c r="E49" s="20"/>
      <c r="F49" s="20"/>
      <c r="G49" s="20"/>
      <c r="H49" s="25" t="s">
        <v>815</v>
      </c>
      <c r="I49" s="30"/>
      <c r="J49" s="31" t="s">
        <v>814</v>
      </c>
      <c r="K49" s="31" t="s">
        <v>829</v>
      </c>
      <c r="L49" s="31"/>
      <c r="M49" s="31"/>
      <c r="N49" s="31"/>
    </row>
    <row r="50" ht="15" spans="1:14">
      <c r="A50" s="20"/>
      <c r="B50" s="20"/>
      <c r="C50" s="20"/>
      <c r="D50" s="20"/>
      <c r="E50" s="20"/>
      <c r="F50" s="20"/>
      <c r="G50" s="20"/>
      <c r="H50" s="25" t="s">
        <v>817</v>
      </c>
      <c r="I50" s="30"/>
      <c r="J50" s="31" t="s">
        <v>816</v>
      </c>
      <c r="K50" s="31" t="s">
        <v>832</v>
      </c>
      <c r="L50" s="31"/>
      <c r="M50" s="31"/>
      <c r="N50" s="31"/>
    </row>
    <row r="51" ht="15" spans="1:14">
      <c r="A51" s="20"/>
      <c r="B51" s="20"/>
      <c r="C51" s="20"/>
      <c r="D51" s="20"/>
      <c r="E51" s="20"/>
      <c r="F51" s="20"/>
      <c r="G51" s="20"/>
      <c r="H51" s="25" t="s">
        <v>819</v>
      </c>
      <c r="I51" s="30"/>
      <c r="J51" s="31" t="s">
        <v>818</v>
      </c>
      <c r="K51" s="31" t="s">
        <v>833</v>
      </c>
      <c r="L51" s="31"/>
      <c r="M51" s="31"/>
      <c r="N51" s="31"/>
    </row>
    <row r="52" ht="15" spans="1:14">
      <c r="A52" s="20"/>
      <c r="B52" s="20"/>
      <c r="C52" s="20"/>
      <c r="D52" s="20"/>
      <c r="E52" s="20"/>
      <c r="F52" s="20"/>
      <c r="G52" s="20"/>
      <c r="H52" s="25" t="s">
        <v>821</v>
      </c>
      <c r="I52" s="30"/>
      <c r="J52" s="31" t="s">
        <v>820</v>
      </c>
      <c r="K52" s="31" t="s">
        <v>834</v>
      </c>
      <c r="L52" s="31"/>
      <c r="M52" s="31"/>
      <c r="N52" s="31"/>
    </row>
    <row r="53" ht="15" spans="1:14">
      <c r="A53" s="20"/>
      <c r="B53" s="20"/>
      <c r="C53" s="20"/>
      <c r="D53" s="20"/>
      <c r="E53" s="20"/>
      <c r="F53" s="20"/>
      <c r="G53" s="20"/>
      <c r="H53" s="25" t="s">
        <v>823</v>
      </c>
      <c r="I53" s="30"/>
      <c r="J53" s="31" t="s">
        <v>822</v>
      </c>
      <c r="K53" s="31" t="s">
        <v>835</v>
      </c>
      <c r="L53" s="31"/>
      <c r="M53" s="31"/>
      <c r="N53" s="31"/>
    </row>
    <row r="54" ht="15" spans="1:14">
      <c r="A54" s="20" t="s">
        <v>137</v>
      </c>
      <c r="B54" s="20" t="s">
        <v>138</v>
      </c>
      <c r="C54" s="20" t="s">
        <v>237</v>
      </c>
      <c r="D54" s="21" t="s">
        <v>852</v>
      </c>
      <c r="E54" s="20" t="s">
        <v>807</v>
      </c>
      <c r="F54" s="20" t="s">
        <v>269</v>
      </c>
      <c r="G54" s="20" t="s">
        <v>864</v>
      </c>
      <c r="H54" s="25" t="s">
        <v>810</v>
      </c>
      <c r="I54" s="30"/>
      <c r="J54" s="31" t="s">
        <v>811</v>
      </c>
      <c r="K54" s="31" t="s">
        <v>863</v>
      </c>
      <c r="L54" s="31" t="s">
        <v>865</v>
      </c>
      <c r="M54" s="31"/>
      <c r="N54" s="31"/>
    </row>
    <row r="55" ht="15" spans="1:14">
      <c r="A55" s="20"/>
      <c r="B55" s="20"/>
      <c r="C55" s="20"/>
      <c r="D55" s="20"/>
      <c r="E55" s="20"/>
      <c r="F55" s="20"/>
      <c r="G55" s="20"/>
      <c r="H55" s="25" t="s">
        <v>710</v>
      </c>
      <c r="I55" s="30"/>
      <c r="J55" s="31" t="s">
        <v>712</v>
      </c>
      <c r="K55" s="31" t="s">
        <v>714</v>
      </c>
      <c r="L55" s="31" t="s">
        <v>716</v>
      </c>
      <c r="M55" s="31"/>
      <c r="N55" s="31"/>
    </row>
    <row r="56" ht="15" spans="1:14">
      <c r="A56" s="20"/>
      <c r="B56" s="20"/>
      <c r="C56" s="20"/>
      <c r="D56" s="20"/>
      <c r="E56" s="20"/>
      <c r="F56" s="20"/>
      <c r="G56" s="20"/>
      <c r="H56" s="25" t="s">
        <v>813</v>
      </c>
      <c r="I56" s="30"/>
      <c r="J56" s="31" t="s">
        <v>812</v>
      </c>
      <c r="K56" s="31" t="s">
        <v>828</v>
      </c>
      <c r="L56" s="31" t="s">
        <v>856</v>
      </c>
      <c r="M56" s="31"/>
      <c r="N56" s="31"/>
    </row>
    <row r="57" ht="15" spans="1:14">
      <c r="A57" s="20"/>
      <c r="B57" s="20"/>
      <c r="C57" s="20"/>
      <c r="D57" s="20"/>
      <c r="E57" s="20"/>
      <c r="F57" s="20"/>
      <c r="G57" s="20"/>
      <c r="H57" s="25" t="s">
        <v>815</v>
      </c>
      <c r="I57" s="30"/>
      <c r="J57" s="31" t="s">
        <v>814</v>
      </c>
      <c r="K57" s="31" t="s">
        <v>829</v>
      </c>
      <c r="L57" s="31" t="s">
        <v>857</v>
      </c>
      <c r="M57" s="31"/>
      <c r="N57" s="31"/>
    </row>
    <row r="58" ht="15" spans="1:14">
      <c r="A58" s="20"/>
      <c r="B58" s="20"/>
      <c r="C58" s="20"/>
      <c r="D58" s="20"/>
      <c r="E58" s="20"/>
      <c r="F58" s="20"/>
      <c r="G58" s="20"/>
      <c r="H58" s="25" t="s">
        <v>817</v>
      </c>
      <c r="I58" s="30"/>
      <c r="J58" s="31" t="s">
        <v>816</v>
      </c>
      <c r="K58" s="31" t="s">
        <v>832</v>
      </c>
      <c r="L58" s="31" t="s">
        <v>858</v>
      </c>
      <c r="M58" s="31"/>
      <c r="N58" s="31"/>
    </row>
    <row r="59" ht="15" spans="1:14">
      <c r="A59" s="20"/>
      <c r="B59" s="20"/>
      <c r="C59" s="20"/>
      <c r="D59" s="20"/>
      <c r="E59" s="20"/>
      <c r="F59" s="20"/>
      <c r="G59" s="20"/>
      <c r="H59" s="25" t="s">
        <v>819</v>
      </c>
      <c r="I59" s="30"/>
      <c r="J59" s="31" t="s">
        <v>818</v>
      </c>
      <c r="K59" s="31" t="s">
        <v>833</v>
      </c>
      <c r="L59" s="31" t="s">
        <v>859</v>
      </c>
      <c r="M59" s="31"/>
      <c r="N59" s="31"/>
    </row>
    <row r="60" ht="15" spans="1:14">
      <c r="A60" s="20"/>
      <c r="B60" s="20"/>
      <c r="C60" s="20"/>
      <c r="D60" s="20"/>
      <c r="E60" s="20"/>
      <c r="F60" s="20"/>
      <c r="G60" s="20"/>
      <c r="H60" s="25" t="s">
        <v>821</v>
      </c>
      <c r="I60" s="30"/>
      <c r="J60" s="31" t="s">
        <v>820</v>
      </c>
      <c r="K60" s="31" t="s">
        <v>834</v>
      </c>
      <c r="L60" s="31" t="s">
        <v>860</v>
      </c>
      <c r="M60" s="31"/>
      <c r="N60" s="31"/>
    </row>
    <row r="61" ht="15" spans="1:14">
      <c r="A61" s="20"/>
      <c r="B61" s="20"/>
      <c r="C61" s="20"/>
      <c r="D61" s="20"/>
      <c r="E61" s="20"/>
      <c r="F61" s="20"/>
      <c r="G61" s="20"/>
      <c r="H61" s="25" t="s">
        <v>823</v>
      </c>
      <c r="I61" s="30"/>
      <c r="J61" s="31" t="s">
        <v>822</v>
      </c>
      <c r="K61" s="31" t="s">
        <v>835</v>
      </c>
      <c r="L61" s="31" t="s">
        <v>861</v>
      </c>
      <c r="M61" s="31"/>
      <c r="N61" s="31"/>
    </row>
    <row r="62" ht="15" spans="1:14">
      <c r="A62" s="23" t="s">
        <v>135</v>
      </c>
      <c r="B62" s="23" t="s">
        <v>136</v>
      </c>
      <c r="C62" s="23" t="s">
        <v>237</v>
      </c>
      <c r="D62" s="24" t="s">
        <v>866</v>
      </c>
      <c r="E62" s="23" t="s">
        <v>807</v>
      </c>
      <c r="F62" s="23" t="s">
        <v>272</v>
      </c>
      <c r="G62" s="23" t="s">
        <v>867</v>
      </c>
      <c r="H62" s="25" t="s">
        <v>810</v>
      </c>
      <c r="I62" s="30"/>
      <c r="J62" s="31" t="s">
        <v>811</v>
      </c>
      <c r="K62" s="31"/>
      <c r="L62" s="31"/>
      <c r="M62" s="31"/>
      <c r="N62" s="31"/>
    </row>
    <row r="63" customHeight="1" spans="1:14">
      <c r="A63" s="26"/>
      <c r="B63" s="26"/>
      <c r="C63" s="26"/>
      <c r="D63" s="27"/>
      <c r="E63" s="26"/>
      <c r="F63" s="26"/>
      <c r="G63" s="26"/>
      <c r="H63" s="25" t="s">
        <v>710</v>
      </c>
      <c r="I63" s="30"/>
      <c r="J63" s="31" t="s">
        <v>712</v>
      </c>
      <c r="K63" s="31"/>
      <c r="L63" s="31"/>
      <c r="M63" s="31"/>
      <c r="N63" s="31"/>
    </row>
    <row r="64" ht="15" spans="1:14">
      <c r="A64" s="26"/>
      <c r="B64" s="26"/>
      <c r="C64" s="26"/>
      <c r="D64" s="27"/>
      <c r="E64" s="26"/>
      <c r="F64" s="26"/>
      <c r="G64" s="26"/>
      <c r="H64" s="25" t="s">
        <v>813</v>
      </c>
      <c r="I64" s="30"/>
      <c r="J64" s="31" t="s">
        <v>812</v>
      </c>
      <c r="K64" s="31"/>
      <c r="L64" s="31"/>
      <c r="M64" s="31"/>
      <c r="N64" s="31"/>
    </row>
    <row r="65" ht="15" spans="1:14">
      <c r="A65" s="26"/>
      <c r="B65" s="26"/>
      <c r="C65" s="26"/>
      <c r="D65" s="27"/>
      <c r="E65" s="26"/>
      <c r="F65" s="26"/>
      <c r="G65" s="26"/>
      <c r="H65" s="25" t="s">
        <v>815</v>
      </c>
      <c r="I65" s="30"/>
      <c r="J65" s="31" t="s">
        <v>814</v>
      </c>
      <c r="K65" s="31"/>
      <c r="L65" s="31"/>
      <c r="M65" s="31"/>
      <c r="N65" s="31"/>
    </row>
    <row r="66" ht="15" spans="1:14">
      <c r="A66" s="26"/>
      <c r="B66" s="26"/>
      <c r="C66" s="26"/>
      <c r="D66" s="27"/>
      <c r="E66" s="26"/>
      <c r="F66" s="26"/>
      <c r="G66" s="26"/>
      <c r="H66" s="25" t="s">
        <v>817</v>
      </c>
      <c r="I66" s="30"/>
      <c r="J66" s="31" t="s">
        <v>816</v>
      </c>
      <c r="K66" s="31"/>
      <c r="L66" s="31"/>
      <c r="M66" s="31"/>
      <c r="N66" s="31"/>
    </row>
    <row r="67" ht="15" spans="1:14">
      <c r="A67" s="26"/>
      <c r="B67" s="26"/>
      <c r="C67" s="26"/>
      <c r="D67" s="27"/>
      <c r="E67" s="26"/>
      <c r="F67" s="26"/>
      <c r="G67" s="26"/>
      <c r="H67" s="25" t="s">
        <v>819</v>
      </c>
      <c r="I67" s="30"/>
      <c r="J67" s="31" t="s">
        <v>818</v>
      </c>
      <c r="K67" s="31"/>
      <c r="L67" s="31"/>
      <c r="M67" s="31"/>
      <c r="N67" s="31"/>
    </row>
    <row r="68" ht="15" spans="1:14">
      <c r="A68" s="26"/>
      <c r="B68" s="26"/>
      <c r="C68" s="26"/>
      <c r="D68" s="27"/>
      <c r="E68" s="26"/>
      <c r="F68" s="26"/>
      <c r="G68" s="26"/>
      <c r="H68" s="25" t="s">
        <v>821</v>
      </c>
      <c r="I68" s="30"/>
      <c r="J68" s="31" t="s">
        <v>820</v>
      </c>
      <c r="K68" s="31"/>
      <c r="L68" s="31"/>
      <c r="M68" s="31"/>
      <c r="N68" s="31"/>
    </row>
    <row r="69" ht="15" spans="1:14">
      <c r="A69" s="26"/>
      <c r="B69" s="26"/>
      <c r="C69" s="26"/>
      <c r="D69" s="27"/>
      <c r="E69" s="26"/>
      <c r="F69" s="26"/>
      <c r="G69" s="26"/>
      <c r="H69" s="25" t="s">
        <v>823</v>
      </c>
      <c r="I69" s="30"/>
      <c r="J69" s="31" t="s">
        <v>822</v>
      </c>
      <c r="K69" s="31"/>
      <c r="L69" s="31"/>
      <c r="M69" s="31"/>
      <c r="N69" s="31"/>
    </row>
    <row r="70" ht="15" spans="1:14">
      <c r="A70" s="28"/>
      <c r="B70" s="28"/>
      <c r="C70" s="28"/>
      <c r="D70" s="29"/>
      <c r="E70" s="28"/>
      <c r="F70" s="28"/>
      <c r="G70" s="28"/>
      <c r="H70" s="25" t="s">
        <v>825</v>
      </c>
      <c r="I70" s="30"/>
      <c r="J70" s="31" t="s">
        <v>824</v>
      </c>
      <c r="K70" s="31"/>
      <c r="L70" s="31"/>
      <c r="M70" s="31"/>
      <c r="N70" s="31"/>
    </row>
    <row r="71" ht="15" spans="1:14">
      <c r="A71" s="23" t="s">
        <v>139</v>
      </c>
      <c r="B71" s="23" t="s">
        <v>140</v>
      </c>
      <c r="C71" s="23" t="s">
        <v>274</v>
      </c>
      <c r="D71" s="23" t="s">
        <v>238</v>
      </c>
      <c r="E71" s="23" t="s">
        <v>807</v>
      </c>
      <c r="F71" s="23" t="s">
        <v>868</v>
      </c>
      <c r="G71" s="23" t="s">
        <v>869</v>
      </c>
      <c r="H71" s="25" t="s">
        <v>810</v>
      </c>
      <c r="I71" s="30"/>
      <c r="J71" s="31" t="s">
        <v>811</v>
      </c>
      <c r="K71" s="31"/>
      <c r="L71" s="31"/>
      <c r="M71" s="31"/>
      <c r="N71" s="31"/>
    </row>
    <row r="72" ht="15" spans="1:14">
      <c r="A72" s="26"/>
      <c r="B72" s="26"/>
      <c r="C72" s="26"/>
      <c r="D72" s="26"/>
      <c r="E72" s="26"/>
      <c r="F72" s="26"/>
      <c r="G72" s="26"/>
      <c r="H72" s="25" t="s">
        <v>712</v>
      </c>
      <c r="I72" s="30"/>
      <c r="J72" s="31" t="s">
        <v>714</v>
      </c>
      <c r="K72" s="31"/>
      <c r="L72" s="31"/>
      <c r="M72" s="31"/>
      <c r="N72" s="31"/>
    </row>
    <row r="73" ht="15" spans="1:14">
      <c r="A73" s="26"/>
      <c r="B73" s="26"/>
      <c r="C73" s="26"/>
      <c r="D73" s="26"/>
      <c r="E73" s="26"/>
      <c r="F73" s="26"/>
      <c r="G73" s="26"/>
      <c r="H73" s="25" t="s">
        <v>812</v>
      </c>
      <c r="I73" s="30"/>
      <c r="J73" s="31" t="s">
        <v>828</v>
      </c>
      <c r="K73" s="31"/>
      <c r="L73" s="31"/>
      <c r="M73" s="31"/>
      <c r="N73" s="31"/>
    </row>
    <row r="74" ht="15" spans="1:14">
      <c r="A74" s="26"/>
      <c r="B74" s="26"/>
      <c r="C74" s="26"/>
      <c r="D74" s="26"/>
      <c r="E74" s="26"/>
      <c r="F74" s="26"/>
      <c r="G74" s="26"/>
      <c r="H74" s="25" t="s">
        <v>814</v>
      </c>
      <c r="I74" s="30"/>
      <c r="J74" s="31" t="s">
        <v>829</v>
      </c>
      <c r="K74" s="31"/>
      <c r="L74" s="31"/>
      <c r="M74" s="31"/>
      <c r="N74" s="31"/>
    </row>
    <row r="75" ht="15" spans="1:14">
      <c r="A75" s="26"/>
      <c r="B75" s="26"/>
      <c r="C75" s="26"/>
      <c r="D75" s="26"/>
      <c r="E75" s="26"/>
      <c r="F75" s="26"/>
      <c r="G75" s="26"/>
      <c r="H75" s="25" t="s">
        <v>816</v>
      </c>
      <c r="I75" s="30"/>
      <c r="J75" s="31" t="s">
        <v>832</v>
      </c>
      <c r="K75" s="31"/>
      <c r="L75" s="31"/>
      <c r="M75" s="31"/>
      <c r="N75" s="31"/>
    </row>
    <row r="76" ht="15" spans="1:14">
      <c r="A76" s="26"/>
      <c r="B76" s="26"/>
      <c r="C76" s="26"/>
      <c r="D76" s="26"/>
      <c r="E76" s="26"/>
      <c r="F76" s="26"/>
      <c r="G76" s="26"/>
      <c r="H76" s="25" t="s">
        <v>818</v>
      </c>
      <c r="I76" s="30"/>
      <c r="J76" s="31" t="s">
        <v>833</v>
      </c>
      <c r="K76" s="31"/>
      <c r="L76" s="31"/>
      <c r="M76" s="31"/>
      <c r="N76" s="31"/>
    </row>
    <row r="77" ht="15" spans="1:14">
      <c r="A77" s="26"/>
      <c r="B77" s="26"/>
      <c r="C77" s="26"/>
      <c r="D77" s="26"/>
      <c r="E77" s="26"/>
      <c r="F77" s="26"/>
      <c r="G77" s="26"/>
      <c r="H77" s="25" t="s">
        <v>820</v>
      </c>
      <c r="I77" s="30"/>
      <c r="J77" s="31" t="s">
        <v>834</v>
      </c>
      <c r="K77" s="31"/>
      <c r="L77" s="31"/>
      <c r="M77" s="31"/>
      <c r="N77" s="31"/>
    </row>
    <row r="78" ht="15" spans="1:14">
      <c r="A78" s="26"/>
      <c r="B78" s="26"/>
      <c r="C78" s="26"/>
      <c r="D78" s="26"/>
      <c r="E78" s="26"/>
      <c r="F78" s="26"/>
      <c r="G78" s="26"/>
      <c r="H78" s="25" t="s">
        <v>822</v>
      </c>
      <c r="I78" s="30"/>
      <c r="J78" s="31" t="s">
        <v>835</v>
      </c>
      <c r="K78" s="31"/>
      <c r="L78" s="31"/>
      <c r="M78" s="31"/>
      <c r="N78" s="31"/>
    </row>
    <row r="79" ht="15" spans="1:14">
      <c r="A79" s="28"/>
      <c r="B79" s="28"/>
      <c r="C79" s="28"/>
      <c r="D79" s="28"/>
      <c r="E79" s="28"/>
      <c r="F79" s="28"/>
      <c r="G79" s="28"/>
      <c r="H79" s="25" t="s">
        <v>824</v>
      </c>
      <c r="I79" s="30"/>
      <c r="J79" s="31" t="s">
        <v>836</v>
      </c>
      <c r="K79" s="31"/>
      <c r="L79" s="31"/>
      <c r="M79" s="31"/>
      <c r="N79" s="31"/>
    </row>
    <row r="80" ht="15" spans="1:14">
      <c r="A80" s="23" t="s">
        <v>147</v>
      </c>
      <c r="B80" s="23" t="s">
        <v>148</v>
      </c>
      <c r="C80" s="23" t="s">
        <v>274</v>
      </c>
      <c r="D80" s="23" t="s">
        <v>837</v>
      </c>
      <c r="E80" s="23" t="s">
        <v>807</v>
      </c>
      <c r="F80" s="23" t="s">
        <v>868</v>
      </c>
      <c r="G80" s="23" t="s">
        <v>869</v>
      </c>
      <c r="H80" s="25" t="s">
        <v>810</v>
      </c>
      <c r="I80" s="30"/>
      <c r="J80" s="31" t="s">
        <v>811</v>
      </c>
      <c r="K80" s="32" t="s">
        <v>839</v>
      </c>
      <c r="L80" s="33"/>
      <c r="M80" s="33"/>
      <c r="N80" s="34"/>
    </row>
    <row r="81" ht="15" spans="1:14">
      <c r="A81" s="26"/>
      <c r="B81" s="26"/>
      <c r="C81" s="26"/>
      <c r="D81" s="26"/>
      <c r="E81" s="26"/>
      <c r="F81" s="26"/>
      <c r="G81" s="26"/>
      <c r="H81" s="25">
        <v>24</v>
      </c>
      <c r="I81" s="30"/>
      <c r="J81" s="31">
        <v>21</v>
      </c>
      <c r="K81" s="35" t="s">
        <v>840</v>
      </c>
      <c r="L81" s="35" t="s">
        <v>841</v>
      </c>
      <c r="M81" s="35" t="s">
        <v>842</v>
      </c>
      <c r="N81" s="35" t="s">
        <v>843</v>
      </c>
    </row>
    <row r="82" ht="15" spans="1:14">
      <c r="A82" s="26"/>
      <c r="B82" s="26"/>
      <c r="C82" s="26"/>
      <c r="D82" s="26"/>
      <c r="E82" s="26"/>
      <c r="F82" s="26"/>
      <c r="G82" s="26"/>
      <c r="H82" s="25">
        <v>26</v>
      </c>
      <c r="I82" s="30"/>
      <c r="J82" s="31">
        <v>23</v>
      </c>
      <c r="K82" s="35" t="s">
        <v>870</v>
      </c>
      <c r="L82" s="35" t="s">
        <v>871</v>
      </c>
      <c r="M82" s="35" t="s">
        <v>872</v>
      </c>
      <c r="N82" s="44">
        <v>38</v>
      </c>
    </row>
    <row r="83" ht="15" spans="1:14">
      <c r="A83" s="26"/>
      <c r="B83" s="26"/>
      <c r="C83" s="26"/>
      <c r="D83" s="26"/>
      <c r="E83" s="26"/>
      <c r="F83" s="26"/>
      <c r="G83" s="26"/>
      <c r="H83" s="25">
        <v>28</v>
      </c>
      <c r="I83" s="30"/>
      <c r="J83" s="31">
        <v>25</v>
      </c>
      <c r="K83" s="35" t="s">
        <v>873</v>
      </c>
      <c r="L83" s="35" t="s">
        <v>874</v>
      </c>
      <c r="M83" s="35" t="s">
        <v>875</v>
      </c>
      <c r="N83" s="45"/>
    </row>
    <row r="84" ht="15" spans="1:14">
      <c r="A84" s="26"/>
      <c r="B84" s="26"/>
      <c r="C84" s="26"/>
      <c r="D84" s="26"/>
      <c r="E84" s="26"/>
      <c r="F84" s="26"/>
      <c r="G84" s="26"/>
      <c r="H84" s="25">
        <v>30</v>
      </c>
      <c r="I84" s="30"/>
      <c r="J84" s="31">
        <v>27</v>
      </c>
      <c r="K84" s="31"/>
      <c r="L84" s="31"/>
      <c r="M84" s="31"/>
      <c r="N84" s="31"/>
    </row>
    <row r="85" ht="15" spans="1:14">
      <c r="A85" s="26"/>
      <c r="B85" s="26"/>
      <c r="C85" s="26"/>
      <c r="D85" s="26"/>
      <c r="E85" s="26"/>
      <c r="F85" s="26"/>
      <c r="G85" s="26"/>
      <c r="H85" s="25">
        <v>32</v>
      </c>
      <c r="I85" s="30"/>
      <c r="J85" s="31">
        <v>29</v>
      </c>
      <c r="K85" s="31"/>
      <c r="L85" s="31"/>
      <c r="M85" s="31"/>
      <c r="N85" s="31"/>
    </row>
    <row r="86" ht="15" spans="1:14">
      <c r="A86" s="26"/>
      <c r="B86" s="26"/>
      <c r="C86" s="26"/>
      <c r="D86" s="26"/>
      <c r="E86" s="26"/>
      <c r="F86" s="26"/>
      <c r="G86" s="26"/>
      <c r="H86" s="25">
        <v>34</v>
      </c>
      <c r="I86" s="30"/>
      <c r="J86" s="31">
        <v>31</v>
      </c>
      <c r="K86" s="31"/>
      <c r="L86" s="31"/>
      <c r="M86" s="31"/>
      <c r="N86" s="31"/>
    </row>
    <row r="87" ht="15" spans="1:14">
      <c r="A87" s="26"/>
      <c r="B87" s="26"/>
      <c r="C87" s="26"/>
      <c r="D87" s="26"/>
      <c r="E87" s="26"/>
      <c r="F87" s="26"/>
      <c r="G87" s="26"/>
      <c r="H87" s="25">
        <v>36</v>
      </c>
      <c r="I87" s="30"/>
      <c r="J87" s="31">
        <v>33</v>
      </c>
      <c r="K87" s="31"/>
      <c r="L87" s="31"/>
      <c r="M87" s="31"/>
      <c r="N87" s="31"/>
    </row>
    <row r="88" ht="15" spans="1:14">
      <c r="A88" s="28"/>
      <c r="B88" s="28"/>
      <c r="C88" s="28"/>
      <c r="D88" s="28"/>
      <c r="E88" s="28"/>
      <c r="F88" s="28"/>
      <c r="G88" s="28"/>
      <c r="H88" s="25">
        <v>38</v>
      </c>
      <c r="I88" s="30"/>
      <c r="J88" s="31">
        <v>35</v>
      </c>
      <c r="K88" s="31"/>
      <c r="L88" s="31"/>
      <c r="M88" s="31"/>
      <c r="N88" s="31"/>
    </row>
    <row r="89" ht="15" spans="1:14">
      <c r="A89" s="23" t="s">
        <v>155</v>
      </c>
      <c r="B89" s="23" t="s">
        <v>156</v>
      </c>
      <c r="C89" s="23" t="s">
        <v>286</v>
      </c>
      <c r="D89" s="24" t="s">
        <v>876</v>
      </c>
      <c r="E89" s="23" t="s">
        <v>807</v>
      </c>
      <c r="F89" s="24" t="s">
        <v>877</v>
      </c>
      <c r="G89" s="24" t="s">
        <v>878</v>
      </c>
      <c r="H89" s="25" t="s">
        <v>810</v>
      </c>
      <c r="I89" s="30"/>
      <c r="J89" s="31" t="s">
        <v>811</v>
      </c>
      <c r="K89" s="31"/>
      <c r="L89" s="31"/>
      <c r="M89" s="31"/>
      <c r="N89" s="31"/>
    </row>
    <row r="90" customHeight="1" spans="1:14">
      <c r="A90" s="26"/>
      <c r="B90" s="26"/>
      <c r="C90" s="26"/>
      <c r="D90" s="27"/>
      <c r="E90" s="26"/>
      <c r="F90" s="27"/>
      <c r="G90" s="27"/>
      <c r="H90" s="25" t="s">
        <v>710</v>
      </c>
      <c r="I90" s="30"/>
      <c r="J90" s="31" t="s">
        <v>712</v>
      </c>
      <c r="K90" s="31"/>
      <c r="L90" s="31"/>
      <c r="M90" s="31"/>
      <c r="N90" s="31"/>
    </row>
    <row r="91" ht="15" spans="1:14">
      <c r="A91" s="26"/>
      <c r="B91" s="26"/>
      <c r="C91" s="26"/>
      <c r="D91" s="27"/>
      <c r="E91" s="26"/>
      <c r="F91" s="27"/>
      <c r="G91" s="27"/>
      <c r="H91" s="25" t="s">
        <v>813</v>
      </c>
      <c r="I91" s="30"/>
      <c r="J91" s="31" t="s">
        <v>812</v>
      </c>
      <c r="K91" s="31"/>
      <c r="L91" s="31"/>
      <c r="M91" s="31"/>
      <c r="N91" s="31"/>
    </row>
    <row r="92" ht="15" spans="1:14">
      <c r="A92" s="26"/>
      <c r="B92" s="26"/>
      <c r="C92" s="26"/>
      <c r="D92" s="27"/>
      <c r="E92" s="26"/>
      <c r="F92" s="27"/>
      <c r="G92" s="27"/>
      <c r="H92" s="25" t="s">
        <v>815</v>
      </c>
      <c r="I92" s="30"/>
      <c r="J92" s="31" t="s">
        <v>814</v>
      </c>
      <c r="K92" s="31"/>
      <c r="L92" s="31"/>
      <c r="M92" s="31"/>
      <c r="N92" s="31"/>
    </row>
    <row r="93" ht="15" spans="1:14">
      <c r="A93" s="26"/>
      <c r="B93" s="26"/>
      <c r="C93" s="26"/>
      <c r="D93" s="27"/>
      <c r="E93" s="26"/>
      <c r="F93" s="27"/>
      <c r="G93" s="27"/>
      <c r="H93" s="25" t="s">
        <v>817</v>
      </c>
      <c r="I93" s="30"/>
      <c r="J93" s="31" t="s">
        <v>816</v>
      </c>
      <c r="K93" s="31"/>
      <c r="L93" s="31"/>
      <c r="M93" s="31"/>
      <c r="N93" s="31"/>
    </row>
    <row r="94" ht="15" spans="1:14">
      <c r="A94" s="26"/>
      <c r="B94" s="26"/>
      <c r="C94" s="26"/>
      <c r="D94" s="27"/>
      <c r="E94" s="26"/>
      <c r="F94" s="27"/>
      <c r="G94" s="27"/>
      <c r="H94" s="25" t="s">
        <v>819</v>
      </c>
      <c r="I94" s="30"/>
      <c r="J94" s="31" t="s">
        <v>818</v>
      </c>
      <c r="K94" s="31"/>
      <c r="L94" s="31"/>
      <c r="M94" s="31"/>
      <c r="N94" s="31"/>
    </row>
    <row r="95" ht="15" spans="1:14">
      <c r="A95" s="26"/>
      <c r="B95" s="26"/>
      <c r="C95" s="26"/>
      <c r="D95" s="27"/>
      <c r="E95" s="26"/>
      <c r="F95" s="27"/>
      <c r="G95" s="27"/>
      <c r="H95" s="25" t="s">
        <v>821</v>
      </c>
      <c r="I95" s="30"/>
      <c r="J95" s="31" t="s">
        <v>820</v>
      </c>
      <c r="K95" s="31"/>
      <c r="L95" s="31"/>
      <c r="M95" s="31"/>
      <c r="N95" s="31"/>
    </row>
    <row r="96" ht="15" spans="1:14">
      <c r="A96" s="26"/>
      <c r="B96" s="26"/>
      <c r="C96" s="26"/>
      <c r="D96" s="27"/>
      <c r="E96" s="26"/>
      <c r="F96" s="27"/>
      <c r="G96" s="27"/>
      <c r="H96" s="25" t="s">
        <v>823</v>
      </c>
      <c r="I96" s="30"/>
      <c r="J96" s="31" t="s">
        <v>822</v>
      </c>
      <c r="K96" s="31"/>
      <c r="L96" s="31"/>
      <c r="M96" s="31"/>
      <c r="N96" s="31"/>
    </row>
    <row r="97" ht="15" spans="1:14">
      <c r="A97" s="26"/>
      <c r="B97" s="26"/>
      <c r="C97" s="26"/>
      <c r="D97" s="27"/>
      <c r="E97" s="26"/>
      <c r="F97" s="27"/>
      <c r="G97" s="27"/>
      <c r="H97" s="25" t="s">
        <v>825</v>
      </c>
      <c r="I97" s="30"/>
      <c r="J97" s="31" t="s">
        <v>824</v>
      </c>
      <c r="K97" s="31"/>
      <c r="L97" s="31"/>
      <c r="M97" s="31"/>
      <c r="N97" s="31"/>
    </row>
    <row r="98" ht="15" spans="1:14">
      <c r="A98" s="26"/>
      <c r="B98" s="26"/>
      <c r="C98" s="26"/>
      <c r="D98" s="27"/>
      <c r="E98" s="26"/>
      <c r="F98" s="27"/>
      <c r="G98" s="27"/>
      <c r="H98" s="25" t="s">
        <v>879</v>
      </c>
      <c r="I98" s="30"/>
      <c r="J98" s="31" t="s">
        <v>880</v>
      </c>
      <c r="K98" s="31"/>
      <c r="L98" s="31"/>
      <c r="M98" s="31"/>
      <c r="N98" s="31"/>
    </row>
    <row r="99" ht="15" spans="1:14">
      <c r="A99" s="26"/>
      <c r="B99" s="26"/>
      <c r="C99" s="26"/>
      <c r="D99" s="27"/>
      <c r="E99" s="26"/>
      <c r="F99" s="27"/>
      <c r="G99" s="27"/>
      <c r="H99" s="25" t="s">
        <v>881</v>
      </c>
      <c r="I99" s="30"/>
      <c r="J99" s="31" t="s">
        <v>882</v>
      </c>
      <c r="K99" s="31"/>
      <c r="L99" s="31"/>
      <c r="M99" s="31"/>
      <c r="N99" s="31"/>
    </row>
    <row r="100" ht="15" spans="1:14">
      <c r="A100" s="26"/>
      <c r="B100" s="26"/>
      <c r="C100" s="26"/>
      <c r="D100" s="27"/>
      <c r="E100" s="26"/>
      <c r="F100" s="27"/>
      <c r="G100" s="27"/>
      <c r="H100" s="25" t="s">
        <v>883</v>
      </c>
      <c r="I100" s="30"/>
      <c r="J100" s="31" t="s">
        <v>884</v>
      </c>
      <c r="K100" s="31"/>
      <c r="L100" s="31"/>
      <c r="M100" s="31"/>
      <c r="N100" s="31"/>
    </row>
    <row r="101" ht="15" spans="1:14">
      <c r="A101" s="26"/>
      <c r="B101" s="26"/>
      <c r="C101" s="26"/>
      <c r="D101" s="27"/>
      <c r="E101" s="26"/>
      <c r="F101" s="27"/>
      <c r="G101" s="27"/>
      <c r="H101" s="25" t="s">
        <v>885</v>
      </c>
      <c r="I101" s="30"/>
      <c r="J101" s="31" t="s">
        <v>886</v>
      </c>
      <c r="K101" s="31"/>
      <c r="L101" s="31"/>
      <c r="M101" s="31"/>
      <c r="N101" s="31"/>
    </row>
    <row r="102" ht="15" spans="1:14">
      <c r="A102" s="26"/>
      <c r="B102" s="26"/>
      <c r="C102" s="26"/>
      <c r="D102" s="27"/>
      <c r="E102" s="26"/>
      <c r="F102" s="27"/>
      <c r="G102" s="27"/>
      <c r="H102" s="25" t="s">
        <v>887</v>
      </c>
      <c r="I102" s="30"/>
      <c r="J102" s="31" t="s">
        <v>888</v>
      </c>
      <c r="K102" s="31"/>
      <c r="L102" s="31"/>
      <c r="M102" s="31"/>
      <c r="N102" s="31"/>
    </row>
    <row r="103" ht="15" spans="1:14">
      <c r="A103" s="26"/>
      <c r="B103" s="26"/>
      <c r="C103" s="26"/>
      <c r="D103" s="27"/>
      <c r="E103" s="26"/>
      <c r="F103" s="27"/>
      <c r="G103" s="27"/>
      <c r="H103" s="25" t="s">
        <v>889</v>
      </c>
      <c r="I103" s="30"/>
      <c r="J103" s="31" t="s">
        <v>890</v>
      </c>
      <c r="K103" s="31"/>
      <c r="L103" s="31"/>
      <c r="M103" s="31"/>
      <c r="N103" s="31"/>
    </row>
    <row r="104" ht="15" spans="1:14">
      <c r="A104" s="26"/>
      <c r="B104" s="26"/>
      <c r="C104" s="26"/>
      <c r="D104" s="27"/>
      <c r="E104" s="26"/>
      <c r="F104" s="27"/>
      <c r="G104" s="27"/>
      <c r="H104" s="25" t="s">
        <v>891</v>
      </c>
      <c r="I104" s="30"/>
      <c r="J104" s="31" t="s">
        <v>892</v>
      </c>
      <c r="K104" s="31"/>
      <c r="L104" s="31"/>
      <c r="M104" s="31"/>
      <c r="N104" s="31"/>
    </row>
    <row r="105" ht="15" spans="1:14">
      <c r="A105" s="28"/>
      <c r="B105" s="28"/>
      <c r="C105" s="28"/>
      <c r="D105" s="29"/>
      <c r="E105" s="28"/>
      <c r="F105" s="29"/>
      <c r="G105" s="29"/>
      <c r="H105" s="25" t="s">
        <v>893</v>
      </c>
      <c r="I105" s="30"/>
      <c r="J105" s="31" t="s">
        <v>894</v>
      </c>
      <c r="K105" s="31"/>
      <c r="L105" s="31"/>
      <c r="M105" s="31"/>
      <c r="N105" s="31"/>
    </row>
    <row r="106" ht="15" spans="1:14">
      <c r="A106" s="23" t="s">
        <v>155</v>
      </c>
      <c r="B106" s="23" t="s">
        <v>157</v>
      </c>
      <c r="C106" s="23" t="s">
        <v>286</v>
      </c>
      <c r="D106" s="24" t="s">
        <v>895</v>
      </c>
      <c r="E106" s="23" t="s">
        <v>830</v>
      </c>
      <c r="F106" s="24" t="s">
        <v>896</v>
      </c>
      <c r="G106" s="24" t="s">
        <v>878</v>
      </c>
      <c r="H106" s="25" t="s">
        <v>810</v>
      </c>
      <c r="I106" s="30"/>
      <c r="J106" s="31" t="s">
        <v>811</v>
      </c>
      <c r="K106" s="31"/>
      <c r="L106" s="31"/>
      <c r="M106" s="31"/>
      <c r="N106" s="31"/>
    </row>
    <row r="107" customHeight="1" spans="1:14">
      <c r="A107" s="26"/>
      <c r="B107" s="26"/>
      <c r="C107" s="26"/>
      <c r="D107" s="27"/>
      <c r="E107" s="26"/>
      <c r="F107" s="27"/>
      <c r="G107" s="27"/>
      <c r="H107" s="25" t="s">
        <v>710</v>
      </c>
      <c r="I107" s="30"/>
      <c r="J107" s="31" t="s">
        <v>712</v>
      </c>
      <c r="K107" s="31"/>
      <c r="L107" s="31"/>
      <c r="M107" s="31"/>
      <c r="N107" s="31"/>
    </row>
    <row r="108" ht="15" spans="1:14">
      <c r="A108" s="26"/>
      <c r="B108" s="26"/>
      <c r="C108" s="26"/>
      <c r="D108" s="27"/>
      <c r="E108" s="26"/>
      <c r="F108" s="27"/>
      <c r="G108" s="27"/>
      <c r="H108" s="25" t="s">
        <v>813</v>
      </c>
      <c r="I108" s="30"/>
      <c r="J108" s="31" t="s">
        <v>812</v>
      </c>
      <c r="K108" s="31"/>
      <c r="L108" s="31"/>
      <c r="M108" s="31"/>
      <c r="N108" s="31"/>
    </row>
    <row r="109" ht="15" spans="1:14">
      <c r="A109" s="26"/>
      <c r="B109" s="26"/>
      <c r="C109" s="26"/>
      <c r="D109" s="27"/>
      <c r="E109" s="26"/>
      <c r="F109" s="27"/>
      <c r="G109" s="27"/>
      <c r="H109" s="25" t="s">
        <v>815</v>
      </c>
      <c r="I109" s="30"/>
      <c r="J109" s="31" t="s">
        <v>814</v>
      </c>
      <c r="K109" s="31"/>
      <c r="L109" s="31"/>
      <c r="M109" s="31"/>
      <c r="N109" s="31"/>
    </row>
    <row r="110" ht="15" spans="1:14">
      <c r="A110" s="26"/>
      <c r="B110" s="26"/>
      <c r="C110" s="26"/>
      <c r="D110" s="27"/>
      <c r="E110" s="26"/>
      <c r="F110" s="27"/>
      <c r="G110" s="27"/>
      <c r="H110" s="25" t="s">
        <v>817</v>
      </c>
      <c r="I110" s="30"/>
      <c r="J110" s="31" t="s">
        <v>816</v>
      </c>
      <c r="K110" s="31"/>
      <c r="L110" s="31"/>
      <c r="M110" s="31"/>
      <c r="N110" s="31"/>
    </row>
    <row r="111" ht="15" spans="1:14">
      <c r="A111" s="26"/>
      <c r="B111" s="26"/>
      <c r="C111" s="26"/>
      <c r="D111" s="27"/>
      <c r="E111" s="26"/>
      <c r="F111" s="27"/>
      <c r="G111" s="27"/>
      <c r="H111" s="25" t="s">
        <v>819</v>
      </c>
      <c r="I111" s="30"/>
      <c r="J111" s="31" t="s">
        <v>818</v>
      </c>
      <c r="K111" s="31"/>
      <c r="L111" s="31"/>
      <c r="M111" s="31"/>
      <c r="N111" s="31"/>
    </row>
    <row r="112" ht="15" spans="1:14">
      <c r="A112" s="26"/>
      <c r="B112" s="26"/>
      <c r="C112" s="26"/>
      <c r="D112" s="27"/>
      <c r="E112" s="26"/>
      <c r="F112" s="27"/>
      <c r="G112" s="27"/>
      <c r="H112" s="25" t="s">
        <v>821</v>
      </c>
      <c r="I112" s="30"/>
      <c r="J112" s="31" t="s">
        <v>820</v>
      </c>
      <c r="K112" s="31"/>
      <c r="L112" s="31"/>
      <c r="M112" s="31"/>
      <c r="N112" s="31"/>
    </row>
    <row r="113" ht="15" spans="1:14">
      <c r="A113" s="26"/>
      <c r="B113" s="26"/>
      <c r="C113" s="26"/>
      <c r="D113" s="27"/>
      <c r="E113" s="26"/>
      <c r="F113" s="27"/>
      <c r="G113" s="27"/>
      <c r="H113" s="25" t="s">
        <v>823</v>
      </c>
      <c r="I113" s="30"/>
      <c r="J113" s="31" t="s">
        <v>822</v>
      </c>
      <c r="K113" s="31"/>
      <c r="L113" s="31"/>
      <c r="M113" s="31"/>
      <c r="N113" s="31"/>
    </row>
    <row r="114" ht="15" spans="1:14">
      <c r="A114" s="26"/>
      <c r="B114" s="26"/>
      <c r="C114" s="26"/>
      <c r="D114" s="27"/>
      <c r="E114" s="26"/>
      <c r="F114" s="27"/>
      <c r="G114" s="27"/>
      <c r="H114" s="25" t="s">
        <v>825</v>
      </c>
      <c r="I114" s="30"/>
      <c r="J114" s="31" t="s">
        <v>824</v>
      </c>
      <c r="K114" s="31"/>
      <c r="L114" s="31"/>
      <c r="M114" s="31"/>
      <c r="N114" s="31"/>
    </row>
    <row r="115" ht="15" spans="1:14">
      <c r="A115" s="26"/>
      <c r="B115" s="26"/>
      <c r="C115" s="26"/>
      <c r="D115" s="27"/>
      <c r="E115" s="26"/>
      <c r="F115" s="27"/>
      <c r="G115" s="27"/>
      <c r="H115" s="25" t="s">
        <v>879</v>
      </c>
      <c r="I115" s="30"/>
      <c r="J115" s="31" t="s">
        <v>880</v>
      </c>
      <c r="K115" s="31"/>
      <c r="L115" s="31"/>
      <c r="M115" s="31"/>
      <c r="N115" s="31"/>
    </row>
    <row r="116" ht="15" spans="1:14">
      <c r="A116" s="26"/>
      <c r="B116" s="26"/>
      <c r="C116" s="26"/>
      <c r="D116" s="27"/>
      <c r="E116" s="26"/>
      <c r="F116" s="27"/>
      <c r="G116" s="27"/>
      <c r="H116" s="25" t="s">
        <v>881</v>
      </c>
      <c r="I116" s="30"/>
      <c r="J116" s="31" t="s">
        <v>882</v>
      </c>
      <c r="K116" s="31"/>
      <c r="L116" s="31"/>
      <c r="M116" s="31"/>
      <c r="N116" s="31"/>
    </row>
    <row r="117" ht="15" spans="1:14">
      <c r="A117" s="26"/>
      <c r="B117" s="26"/>
      <c r="C117" s="26"/>
      <c r="D117" s="27"/>
      <c r="E117" s="26"/>
      <c r="F117" s="27"/>
      <c r="G117" s="27"/>
      <c r="H117" s="25" t="s">
        <v>883</v>
      </c>
      <c r="I117" s="30"/>
      <c r="J117" s="31" t="s">
        <v>884</v>
      </c>
      <c r="K117" s="31"/>
      <c r="L117" s="31"/>
      <c r="M117" s="31"/>
      <c r="N117" s="31"/>
    </row>
    <row r="118" ht="15" spans="1:14">
      <c r="A118" s="26"/>
      <c r="B118" s="26"/>
      <c r="C118" s="26"/>
      <c r="D118" s="27"/>
      <c r="E118" s="26"/>
      <c r="F118" s="27"/>
      <c r="G118" s="27"/>
      <c r="H118" s="25" t="s">
        <v>885</v>
      </c>
      <c r="I118" s="30"/>
      <c r="J118" s="31" t="s">
        <v>886</v>
      </c>
      <c r="K118" s="31"/>
      <c r="L118" s="31"/>
      <c r="M118" s="31"/>
      <c r="N118" s="31"/>
    </row>
    <row r="119" ht="15" spans="1:14">
      <c r="A119" s="26"/>
      <c r="B119" s="26"/>
      <c r="C119" s="26"/>
      <c r="D119" s="27"/>
      <c r="E119" s="26"/>
      <c r="F119" s="27"/>
      <c r="G119" s="27"/>
      <c r="H119" s="25" t="s">
        <v>887</v>
      </c>
      <c r="I119" s="30"/>
      <c r="J119" s="31" t="s">
        <v>888</v>
      </c>
      <c r="K119" s="31"/>
      <c r="L119" s="31"/>
      <c r="M119" s="31"/>
      <c r="N119" s="31"/>
    </row>
    <row r="120" ht="15" spans="1:14">
      <c r="A120" s="26"/>
      <c r="B120" s="26"/>
      <c r="C120" s="26"/>
      <c r="D120" s="27"/>
      <c r="E120" s="26"/>
      <c r="F120" s="27"/>
      <c r="G120" s="27"/>
      <c r="H120" s="25" t="s">
        <v>889</v>
      </c>
      <c r="I120" s="30"/>
      <c r="J120" s="31" t="s">
        <v>890</v>
      </c>
      <c r="K120" s="31"/>
      <c r="L120" s="31"/>
      <c r="M120" s="31"/>
      <c r="N120" s="31"/>
    </row>
    <row r="121" ht="15" spans="1:14">
      <c r="A121" s="26"/>
      <c r="B121" s="26"/>
      <c r="C121" s="26"/>
      <c r="D121" s="27"/>
      <c r="E121" s="26"/>
      <c r="F121" s="27"/>
      <c r="G121" s="27"/>
      <c r="H121" s="25" t="s">
        <v>891</v>
      </c>
      <c r="I121" s="30"/>
      <c r="J121" s="31" t="s">
        <v>892</v>
      </c>
      <c r="K121" s="31"/>
      <c r="L121" s="31"/>
      <c r="M121" s="31"/>
      <c r="N121" s="31"/>
    </row>
    <row r="122" ht="15" spans="1:14">
      <c r="A122" s="28"/>
      <c r="B122" s="28"/>
      <c r="C122" s="28"/>
      <c r="D122" s="29"/>
      <c r="E122" s="28"/>
      <c r="F122" s="29"/>
      <c r="G122" s="29"/>
      <c r="H122" s="25" t="s">
        <v>893</v>
      </c>
      <c r="I122" s="30"/>
      <c r="J122" s="31" t="s">
        <v>894</v>
      </c>
      <c r="K122" s="31"/>
      <c r="L122" s="31"/>
      <c r="M122" s="31"/>
      <c r="N122" s="31"/>
    </row>
    <row r="123" ht="15" spans="1:14">
      <c r="A123" s="20" t="s">
        <v>152</v>
      </c>
      <c r="B123" s="20" t="s">
        <v>154</v>
      </c>
      <c r="C123" s="20" t="s">
        <v>302</v>
      </c>
      <c r="D123" s="21" t="s">
        <v>897</v>
      </c>
      <c r="E123" s="20" t="s">
        <v>807</v>
      </c>
      <c r="F123" s="21" t="s">
        <v>898</v>
      </c>
      <c r="G123" s="21" t="s">
        <v>899</v>
      </c>
      <c r="H123" s="31" t="s">
        <v>900</v>
      </c>
      <c r="I123" s="31" t="s">
        <v>901</v>
      </c>
      <c r="J123" s="31" t="s">
        <v>902</v>
      </c>
      <c r="K123" s="31"/>
      <c r="L123" s="31"/>
      <c r="M123" s="31"/>
      <c r="N123" s="31"/>
    </row>
    <row r="124" ht="15" spans="1:14">
      <c r="A124" s="20"/>
      <c r="B124" s="20"/>
      <c r="C124" s="20"/>
      <c r="D124" s="20"/>
      <c r="E124" s="20"/>
      <c r="F124" s="20"/>
      <c r="G124" s="20"/>
      <c r="H124" s="31" t="s">
        <v>712</v>
      </c>
      <c r="I124" s="31" t="s">
        <v>710</v>
      </c>
      <c r="J124" s="31" t="s">
        <v>714</v>
      </c>
      <c r="K124" s="31"/>
      <c r="L124" s="31"/>
      <c r="M124" s="31"/>
      <c r="N124" s="31"/>
    </row>
    <row r="125" ht="15" spans="1:14">
      <c r="A125" s="20"/>
      <c r="B125" s="20"/>
      <c r="C125" s="20"/>
      <c r="D125" s="20"/>
      <c r="E125" s="20"/>
      <c r="F125" s="20"/>
      <c r="G125" s="20"/>
      <c r="H125" s="31" t="s">
        <v>812</v>
      </c>
      <c r="I125" s="31" t="s">
        <v>813</v>
      </c>
      <c r="J125" s="31" t="s">
        <v>828</v>
      </c>
      <c r="K125" s="31"/>
      <c r="L125" s="31"/>
      <c r="M125" s="31"/>
      <c r="N125" s="31"/>
    </row>
    <row r="126" ht="15" spans="1:14">
      <c r="A126" s="20"/>
      <c r="B126" s="20"/>
      <c r="C126" s="20"/>
      <c r="D126" s="20"/>
      <c r="E126" s="20"/>
      <c r="F126" s="20"/>
      <c r="G126" s="20"/>
      <c r="H126" s="31" t="s">
        <v>814</v>
      </c>
      <c r="I126" s="31" t="s">
        <v>815</v>
      </c>
      <c r="J126" s="31" t="s">
        <v>829</v>
      </c>
      <c r="K126" s="31"/>
      <c r="L126" s="31"/>
      <c r="M126" s="31"/>
      <c r="N126" s="31"/>
    </row>
    <row r="127" ht="15" spans="1:14">
      <c r="A127" s="20"/>
      <c r="B127" s="20"/>
      <c r="C127" s="20"/>
      <c r="D127" s="20"/>
      <c r="E127" s="20"/>
      <c r="F127" s="20"/>
      <c r="G127" s="20"/>
      <c r="H127" s="31" t="s">
        <v>816</v>
      </c>
      <c r="I127" s="31" t="s">
        <v>817</v>
      </c>
      <c r="J127" s="31" t="s">
        <v>832</v>
      </c>
      <c r="K127" s="31"/>
      <c r="L127" s="31"/>
      <c r="M127" s="31"/>
      <c r="N127" s="31"/>
    </row>
    <row r="128" ht="15" spans="1:14">
      <c r="A128" s="20"/>
      <c r="B128" s="20"/>
      <c r="C128" s="20"/>
      <c r="D128" s="20"/>
      <c r="E128" s="20"/>
      <c r="F128" s="20"/>
      <c r="G128" s="20"/>
      <c r="H128" s="31" t="s">
        <v>818</v>
      </c>
      <c r="I128" s="31" t="s">
        <v>819</v>
      </c>
      <c r="J128" s="31" t="s">
        <v>833</v>
      </c>
      <c r="K128" s="31"/>
      <c r="L128" s="31"/>
      <c r="M128" s="31"/>
      <c r="N128" s="31"/>
    </row>
    <row r="129" ht="15" spans="1:14">
      <c r="A129" s="20"/>
      <c r="B129" s="20"/>
      <c r="C129" s="20"/>
      <c r="D129" s="20"/>
      <c r="E129" s="20"/>
      <c r="F129" s="20"/>
      <c r="G129" s="20"/>
      <c r="H129" s="31" t="s">
        <v>820</v>
      </c>
      <c r="I129" s="31" t="s">
        <v>821</v>
      </c>
      <c r="J129" s="31" t="s">
        <v>834</v>
      </c>
      <c r="K129" s="31"/>
      <c r="L129" s="31"/>
      <c r="M129" s="31"/>
      <c r="N129" s="31"/>
    </row>
    <row r="130" ht="15" spans="1:14">
      <c r="A130" s="20"/>
      <c r="B130" s="20"/>
      <c r="C130" s="20"/>
      <c r="D130" s="20"/>
      <c r="E130" s="20"/>
      <c r="F130" s="20"/>
      <c r="G130" s="20"/>
      <c r="H130" s="31" t="s">
        <v>822</v>
      </c>
      <c r="I130" s="31" t="s">
        <v>823</v>
      </c>
      <c r="J130" s="31" t="s">
        <v>835</v>
      </c>
      <c r="K130" s="31"/>
      <c r="L130" s="31"/>
      <c r="M130" s="31"/>
      <c r="N130" s="31"/>
    </row>
    <row r="131" ht="15" spans="1:14">
      <c r="A131" s="20"/>
      <c r="B131" s="20"/>
      <c r="C131" s="20"/>
      <c r="D131" s="20"/>
      <c r="E131" s="20"/>
      <c r="F131" s="20"/>
      <c r="G131" s="20"/>
      <c r="H131" s="31" t="s">
        <v>824</v>
      </c>
      <c r="I131" s="31" t="s">
        <v>825</v>
      </c>
      <c r="J131" s="31" t="s">
        <v>836</v>
      </c>
      <c r="K131" s="31"/>
      <c r="L131" s="31"/>
      <c r="M131" s="31"/>
      <c r="N131" s="31"/>
    </row>
    <row r="132" ht="15" spans="1:14">
      <c r="A132" s="20"/>
      <c r="B132" s="20"/>
      <c r="C132" s="20"/>
      <c r="D132" s="20"/>
      <c r="E132" s="20"/>
      <c r="F132" s="20"/>
      <c r="G132" s="20"/>
      <c r="H132" s="31" t="s">
        <v>880</v>
      </c>
      <c r="I132" s="31" t="s">
        <v>879</v>
      </c>
      <c r="J132" s="31" t="s">
        <v>903</v>
      </c>
      <c r="K132" s="31"/>
      <c r="L132" s="31"/>
      <c r="M132" s="31"/>
      <c r="N132" s="31"/>
    </row>
    <row r="133" ht="15" spans="1:14">
      <c r="A133" s="20"/>
      <c r="B133" s="20"/>
      <c r="C133" s="20"/>
      <c r="D133" s="20"/>
      <c r="E133" s="20"/>
      <c r="F133" s="20"/>
      <c r="G133" s="20"/>
      <c r="H133" s="31" t="s">
        <v>882</v>
      </c>
      <c r="I133" s="31" t="s">
        <v>881</v>
      </c>
      <c r="J133" s="31" t="s">
        <v>904</v>
      </c>
      <c r="K133" s="31"/>
      <c r="L133" s="31"/>
      <c r="M133" s="31"/>
      <c r="N133" s="31"/>
    </row>
    <row r="134" ht="15" spans="1:14">
      <c r="A134" s="20"/>
      <c r="B134" s="20"/>
      <c r="C134" s="20"/>
      <c r="D134" s="20"/>
      <c r="E134" s="20"/>
      <c r="F134" s="20"/>
      <c r="G134" s="20"/>
      <c r="H134" s="31" t="s">
        <v>884</v>
      </c>
      <c r="I134" s="31" t="s">
        <v>883</v>
      </c>
      <c r="J134" s="31" t="s">
        <v>905</v>
      </c>
      <c r="K134" s="31"/>
      <c r="L134" s="31"/>
      <c r="M134" s="31"/>
      <c r="N134" s="31"/>
    </row>
    <row r="135" ht="15" spans="1:14">
      <c r="A135" s="20"/>
      <c r="B135" s="20"/>
      <c r="C135" s="20"/>
      <c r="D135" s="20"/>
      <c r="E135" s="20"/>
      <c r="F135" s="20"/>
      <c r="G135" s="20"/>
      <c r="H135" s="31" t="s">
        <v>886</v>
      </c>
      <c r="I135" s="31" t="s">
        <v>885</v>
      </c>
      <c r="J135" s="31" t="s">
        <v>906</v>
      </c>
      <c r="K135" s="31"/>
      <c r="L135" s="31"/>
      <c r="M135" s="31"/>
      <c r="N135" s="31"/>
    </row>
    <row r="136" ht="15" spans="1:14">
      <c r="A136" s="20"/>
      <c r="B136" s="20"/>
      <c r="C136" s="20"/>
      <c r="D136" s="20"/>
      <c r="E136" s="20"/>
      <c r="F136" s="20"/>
      <c r="G136" s="20"/>
      <c r="H136" s="31" t="s">
        <v>888</v>
      </c>
      <c r="I136" s="31" t="s">
        <v>887</v>
      </c>
      <c r="J136" s="31" t="s">
        <v>907</v>
      </c>
      <c r="K136" s="31"/>
      <c r="L136" s="31"/>
      <c r="M136" s="31"/>
      <c r="N136" s="31"/>
    </row>
    <row r="137" ht="15" spans="1:14">
      <c r="A137" s="20"/>
      <c r="B137" s="20"/>
      <c r="C137" s="20"/>
      <c r="D137" s="20"/>
      <c r="E137" s="20"/>
      <c r="F137" s="20"/>
      <c r="G137" s="20"/>
      <c r="H137" s="31" t="s">
        <v>890</v>
      </c>
      <c r="I137" s="31" t="s">
        <v>889</v>
      </c>
      <c r="J137" s="31" t="s">
        <v>908</v>
      </c>
      <c r="K137" s="31"/>
      <c r="L137" s="31"/>
      <c r="M137" s="31"/>
      <c r="N137" s="31"/>
    </row>
    <row r="138" ht="15" spans="1:14">
      <c r="A138" s="20"/>
      <c r="B138" s="20"/>
      <c r="C138" s="20"/>
      <c r="D138" s="20"/>
      <c r="E138" s="20"/>
      <c r="F138" s="20"/>
      <c r="G138" s="20"/>
      <c r="H138" s="31" t="s">
        <v>892</v>
      </c>
      <c r="I138" s="31" t="s">
        <v>891</v>
      </c>
      <c r="J138" s="31" t="s">
        <v>909</v>
      </c>
      <c r="K138" s="31"/>
      <c r="L138" s="31"/>
      <c r="M138" s="31"/>
      <c r="N138" s="31"/>
    </row>
    <row r="139" ht="15" spans="1:14">
      <c r="A139" s="20"/>
      <c r="B139" s="20"/>
      <c r="C139" s="20"/>
      <c r="D139" s="20"/>
      <c r="E139" s="20"/>
      <c r="F139" s="20"/>
      <c r="G139" s="20"/>
      <c r="H139" s="31" t="s">
        <v>894</v>
      </c>
      <c r="I139" s="31" t="s">
        <v>893</v>
      </c>
      <c r="J139" s="31" t="s">
        <v>910</v>
      </c>
      <c r="K139" s="31"/>
      <c r="L139" s="31"/>
      <c r="M139" s="31"/>
      <c r="N139" s="31"/>
    </row>
    <row r="140" ht="15" spans="1:14">
      <c r="A140" s="20" t="s">
        <v>152</v>
      </c>
      <c r="B140" s="20" t="s">
        <v>154</v>
      </c>
      <c r="C140" s="20" t="s">
        <v>302</v>
      </c>
      <c r="D140" s="21" t="s">
        <v>897</v>
      </c>
      <c r="E140" s="20" t="s">
        <v>807</v>
      </c>
      <c r="F140" s="21" t="s">
        <v>911</v>
      </c>
      <c r="G140" s="21" t="s">
        <v>899</v>
      </c>
      <c r="H140" s="31" t="s">
        <v>900</v>
      </c>
      <c r="I140" s="31" t="s">
        <v>901</v>
      </c>
      <c r="J140" s="31" t="s">
        <v>902</v>
      </c>
      <c r="K140" s="31"/>
      <c r="L140" s="31"/>
      <c r="M140" s="31"/>
      <c r="N140" s="31"/>
    </row>
    <row r="141" ht="15" spans="1:14">
      <c r="A141" s="20"/>
      <c r="B141" s="20"/>
      <c r="C141" s="20"/>
      <c r="D141" s="20"/>
      <c r="E141" s="20"/>
      <c r="F141" s="20"/>
      <c r="G141" s="20"/>
      <c r="H141" s="46" t="s">
        <v>912</v>
      </c>
      <c r="I141" s="49"/>
      <c r="J141" s="50"/>
      <c r="K141" s="31"/>
      <c r="L141" s="31"/>
      <c r="M141" s="31"/>
      <c r="N141" s="31"/>
    </row>
    <row r="142" ht="15" spans="1:14">
      <c r="A142" s="20"/>
      <c r="B142" s="20"/>
      <c r="C142" s="20"/>
      <c r="D142" s="20"/>
      <c r="E142" s="20"/>
      <c r="F142" s="20"/>
      <c r="G142" s="20"/>
      <c r="H142" s="47"/>
      <c r="I142" s="51"/>
      <c r="J142" s="52"/>
      <c r="K142" s="31"/>
      <c r="L142" s="31"/>
      <c r="M142" s="31"/>
      <c r="N142" s="31"/>
    </row>
    <row r="143" ht="15" spans="1:14">
      <c r="A143" s="20"/>
      <c r="B143" s="20"/>
      <c r="C143" s="20"/>
      <c r="D143" s="20"/>
      <c r="E143" s="20"/>
      <c r="F143" s="20"/>
      <c r="G143" s="20"/>
      <c r="H143" s="47"/>
      <c r="I143" s="51"/>
      <c r="J143" s="52"/>
      <c r="K143" s="31"/>
      <c r="L143" s="31"/>
      <c r="M143" s="31"/>
      <c r="N143" s="31"/>
    </row>
    <row r="144" ht="15" spans="1:14">
      <c r="A144" s="20"/>
      <c r="B144" s="20"/>
      <c r="C144" s="20"/>
      <c r="D144" s="20"/>
      <c r="E144" s="20"/>
      <c r="F144" s="20"/>
      <c r="G144" s="20"/>
      <c r="H144" s="47"/>
      <c r="I144" s="51"/>
      <c r="J144" s="52"/>
      <c r="K144" s="31"/>
      <c r="L144" s="31"/>
      <c r="M144" s="31"/>
      <c r="N144" s="31"/>
    </row>
    <row r="145" ht="15" spans="1:14">
      <c r="A145" s="20"/>
      <c r="B145" s="20"/>
      <c r="C145" s="20"/>
      <c r="D145" s="20"/>
      <c r="E145" s="20"/>
      <c r="F145" s="20"/>
      <c r="G145" s="20"/>
      <c r="H145" s="47"/>
      <c r="I145" s="51"/>
      <c r="J145" s="52"/>
      <c r="K145" s="31"/>
      <c r="L145" s="31"/>
      <c r="M145" s="31"/>
      <c r="N145" s="31"/>
    </row>
    <row r="146" ht="15" spans="1:14">
      <c r="A146" s="20"/>
      <c r="B146" s="20"/>
      <c r="C146" s="20"/>
      <c r="D146" s="20"/>
      <c r="E146" s="20"/>
      <c r="F146" s="20"/>
      <c r="G146" s="20"/>
      <c r="H146" s="47"/>
      <c r="I146" s="51"/>
      <c r="J146" s="52"/>
      <c r="K146" s="31"/>
      <c r="L146" s="31"/>
      <c r="M146" s="31"/>
      <c r="N146" s="31"/>
    </row>
    <row r="147" ht="15" spans="1:14">
      <c r="A147" s="20"/>
      <c r="B147" s="20"/>
      <c r="C147" s="20"/>
      <c r="D147" s="20"/>
      <c r="E147" s="20"/>
      <c r="F147" s="20"/>
      <c r="G147" s="20"/>
      <c r="H147" s="47"/>
      <c r="I147" s="51"/>
      <c r="J147" s="52"/>
      <c r="K147" s="31"/>
      <c r="L147" s="31"/>
      <c r="M147" s="31"/>
      <c r="N147" s="31"/>
    </row>
    <row r="148" ht="15" spans="1:14">
      <c r="A148" s="20"/>
      <c r="B148" s="20"/>
      <c r="C148" s="20"/>
      <c r="D148" s="20"/>
      <c r="E148" s="20"/>
      <c r="F148" s="20"/>
      <c r="G148" s="20"/>
      <c r="H148" s="47"/>
      <c r="I148" s="51"/>
      <c r="J148" s="52"/>
      <c r="K148" s="31"/>
      <c r="L148" s="31"/>
      <c r="M148" s="31"/>
      <c r="N148" s="31"/>
    </row>
    <row r="149" ht="15" spans="1:14">
      <c r="A149" s="20"/>
      <c r="B149" s="20"/>
      <c r="C149" s="20"/>
      <c r="D149" s="20"/>
      <c r="E149" s="20"/>
      <c r="F149" s="20"/>
      <c r="G149" s="20"/>
      <c r="H149" s="47"/>
      <c r="I149" s="51"/>
      <c r="J149" s="52"/>
      <c r="K149" s="31"/>
      <c r="L149" s="31"/>
      <c r="M149" s="31"/>
      <c r="N149" s="31"/>
    </row>
    <row r="150" ht="15" spans="1:14">
      <c r="A150" s="20"/>
      <c r="B150" s="20"/>
      <c r="C150" s="20"/>
      <c r="D150" s="20"/>
      <c r="E150" s="20"/>
      <c r="F150" s="20"/>
      <c r="G150" s="20"/>
      <c r="H150" s="47"/>
      <c r="I150" s="51"/>
      <c r="J150" s="52"/>
      <c r="K150" s="31"/>
      <c r="L150" s="31"/>
      <c r="M150" s="31"/>
      <c r="N150" s="31"/>
    </row>
    <row r="151" ht="15" spans="1:14">
      <c r="A151" s="20"/>
      <c r="B151" s="20"/>
      <c r="C151" s="20"/>
      <c r="D151" s="20"/>
      <c r="E151" s="20"/>
      <c r="F151" s="20"/>
      <c r="G151" s="20"/>
      <c r="H151" s="47"/>
      <c r="I151" s="51"/>
      <c r="J151" s="52"/>
      <c r="K151" s="31"/>
      <c r="L151" s="31"/>
      <c r="M151" s="31"/>
      <c r="N151" s="31"/>
    </row>
    <row r="152" ht="15" spans="1:14">
      <c r="A152" s="20"/>
      <c r="B152" s="20"/>
      <c r="C152" s="20"/>
      <c r="D152" s="20"/>
      <c r="E152" s="20"/>
      <c r="F152" s="20"/>
      <c r="G152" s="20"/>
      <c r="H152" s="47"/>
      <c r="I152" s="51"/>
      <c r="J152" s="52"/>
      <c r="K152" s="31"/>
      <c r="L152" s="31"/>
      <c r="M152" s="31"/>
      <c r="N152" s="31"/>
    </row>
    <row r="153" ht="15" spans="1:14">
      <c r="A153" s="20"/>
      <c r="B153" s="20"/>
      <c r="C153" s="20"/>
      <c r="D153" s="20"/>
      <c r="E153" s="20"/>
      <c r="F153" s="20"/>
      <c r="G153" s="20"/>
      <c r="H153" s="47"/>
      <c r="I153" s="51"/>
      <c r="J153" s="52"/>
      <c r="K153" s="31"/>
      <c r="L153" s="31"/>
      <c r="M153" s="31"/>
      <c r="N153" s="31"/>
    </row>
    <row r="154" ht="15" spans="1:14">
      <c r="A154" s="20"/>
      <c r="B154" s="20"/>
      <c r="C154" s="20"/>
      <c r="D154" s="20"/>
      <c r="E154" s="20"/>
      <c r="F154" s="20"/>
      <c r="G154" s="20"/>
      <c r="H154" s="47"/>
      <c r="I154" s="51"/>
      <c r="J154" s="52"/>
      <c r="K154" s="31"/>
      <c r="L154" s="31"/>
      <c r="M154" s="31"/>
      <c r="N154" s="31"/>
    </row>
    <row r="155" ht="15" spans="1:14">
      <c r="A155" s="20"/>
      <c r="B155" s="20"/>
      <c r="C155" s="20"/>
      <c r="D155" s="20"/>
      <c r="E155" s="20"/>
      <c r="F155" s="20"/>
      <c r="G155" s="20"/>
      <c r="H155" s="47"/>
      <c r="I155" s="51"/>
      <c r="J155" s="52"/>
      <c r="K155" s="31"/>
      <c r="L155" s="31"/>
      <c r="M155" s="31"/>
      <c r="N155" s="31"/>
    </row>
    <row r="156" ht="15" spans="1:14">
      <c r="A156" s="20"/>
      <c r="B156" s="20"/>
      <c r="C156" s="20"/>
      <c r="D156" s="20"/>
      <c r="E156" s="20"/>
      <c r="F156" s="20"/>
      <c r="G156" s="20"/>
      <c r="H156" s="48"/>
      <c r="I156" s="53"/>
      <c r="J156" s="54"/>
      <c r="K156" s="31"/>
      <c r="L156" s="31"/>
      <c r="M156" s="31"/>
      <c r="N156" s="31"/>
    </row>
    <row r="157" ht="15" spans="1:14">
      <c r="A157" s="20" t="s">
        <v>152</v>
      </c>
      <c r="B157" s="20" t="s">
        <v>153</v>
      </c>
      <c r="C157" s="20" t="s">
        <v>302</v>
      </c>
      <c r="D157" s="21" t="s">
        <v>897</v>
      </c>
      <c r="E157" s="20" t="s">
        <v>807</v>
      </c>
      <c r="F157" s="21" t="s">
        <v>913</v>
      </c>
      <c r="G157" s="21" t="s">
        <v>899</v>
      </c>
      <c r="H157" s="31" t="s">
        <v>900</v>
      </c>
      <c r="I157" s="31" t="s">
        <v>901</v>
      </c>
      <c r="J157" s="31" t="s">
        <v>902</v>
      </c>
      <c r="K157" s="31"/>
      <c r="L157" s="31"/>
      <c r="M157" s="31"/>
      <c r="N157" s="31"/>
    </row>
    <row r="158" ht="15" spans="1:14">
      <c r="A158" s="20"/>
      <c r="B158" s="20"/>
      <c r="C158" s="20"/>
      <c r="D158" s="20"/>
      <c r="E158" s="20"/>
      <c r="F158" s="21"/>
      <c r="G158" s="20"/>
      <c r="H158" s="31" t="s">
        <v>712</v>
      </c>
      <c r="I158" s="31" t="s">
        <v>710</v>
      </c>
      <c r="J158" s="31" t="s">
        <v>714</v>
      </c>
      <c r="K158" s="31"/>
      <c r="L158" s="31"/>
      <c r="M158" s="31"/>
      <c r="N158" s="31"/>
    </row>
    <row r="159" ht="15" spans="1:14">
      <c r="A159" s="20"/>
      <c r="B159" s="20"/>
      <c r="C159" s="20"/>
      <c r="D159" s="20"/>
      <c r="E159" s="20"/>
      <c r="F159" s="21"/>
      <c r="G159" s="20"/>
      <c r="H159" s="31" t="s">
        <v>812</v>
      </c>
      <c r="I159" s="31" t="s">
        <v>813</v>
      </c>
      <c r="J159" s="31" t="s">
        <v>828</v>
      </c>
      <c r="K159" s="31"/>
      <c r="L159" s="31"/>
      <c r="M159" s="31"/>
      <c r="N159" s="31"/>
    </row>
    <row r="160" ht="15" spans="1:14">
      <c r="A160" s="20"/>
      <c r="B160" s="20"/>
      <c r="C160" s="20"/>
      <c r="D160" s="20"/>
      <c r="E160" s="20"/>
      <c r="F160" s="21"/>
      <c r="G160" s="20"/>
      <c r="H160" s="31" t="s">
        <v>814</v>
      </c>
      <c r="I160" s="31" t="s">
        <v>815</v>
      </c>
      <c r="J160" s="31" t="s">
        <v>829</v>
      </c>
      <c r="K160" s="31"/>
      <c r="L160" s="31"/>
      <c r="M160" s="31"/>
      <c r="N160" s="31"/>
    </row>
    <row r="161" ht="15" spans="1:14">
      <c r="A161" s="20"/>
      <c r="B161" s="20"/>
      <c r="C161" s="20"/>
      <c r="D161" s="20"/>
      <c r="E161" s="20"/>
      <c r="F161" s="21"/>
      <c r="G161" s="20"/>
      <c r="H161" s="31" t="s">
        <v>816</v>
      </c>
      <c r="I161" s="31" t="s">
        <v>817</v>
      </c>
      <c r="J161" s="31" t="s">
        <v>832</v>
      </c>
      <c r="K161" s="31"/>
      <c r="L161" s="31"/>
      <c r="M161" s="31"/>
      <c r="N161" s="31"/>
    </row>
    <row r="162" ht="15" spans="1:14">
      <c r="A162" s="20"/>
      <c r="B162" s="20"/>
      <c r="C162" s="20"/>
      <c r="D162" s="20"/>
      <c r="E162" s="20"/>
      <c r="F162" s="21"/>
      <c r="G162" s="20"/>
      <c r="H162" s="31" t="s">
        <v>818</v>
      </c>
      <c r="I162" s="31" t="s">
        <v>819</v>
      </c>
      <c r="J162" s="31" t="s">
        <v>833</v>
      </c>
      <c r="K162" s="31"/>
      <c r="L162" s="31"/>
      <c r="M162" s="31"/>
      <c r="N162" s="31"/>
    </row>
    <row r="163" ht="15" spans="1:14">
      <c r="A163" s="20"/>
      <c r="B163" s="20"/>
      <c r="C163" s="20"/>
      <c r="D163" s="20"/>
      <c r="E163" s="20"/>
      <c r="F163" s="21"/>
      <c r="G163" s="20"/>
      <c r="H163" s="31" t="s">
        <v>820</v>
      </c>
      <c r="I163" s="31" t="s">
        <v>821</v>
      </c>
      <c r="J163" s="31" t="s">
        <v>834</v>
      </c>
      <c r="K163" s="31"/>
      <c r="L163" s="31"/>
      <c r="M163" s="31"/>
      <c r="N163" s="31"/>
    </row>
    <row r="164" ht="15" spans="1:14">
      <c r="A164" s="20"/>
      <c r="B164" s="20"/>
      <c r="C164" s="20"/>
      <c r="D164" s="20"/>
      <c r="E164" s="20"/>
      <c r="F164" s="21"/>
      <c r="G164" s="20"/>
      <c r="H164" s="31" t="s">
        <v>822</v>
      </c>
      <c r="I164" s="31" t="s">
        <v>823</v>
      </c>
      <c r="J164" s="31" t="s">
        <v>835</v>
      </c>
      <c r="K164" s="31"/>
      <c r="L164" s="31"/>
      <c r="M164" s="31"/>
      <c r="N164" s="31"/>
    </row>
    <row r="165" ht="15" spans="1:14">
      <c r="A165" s="20"/>
      <c r="B165" s="20"/>
      <c r="C165" s="20"/>
      <c r="D165" s="20"/>
      <c r="E165" s="20"/>
      <c r="F165" s="21"/>
      <c r="G165" s="20"/>
      <c r="H165" s="31" t="s">
        <v>824</v>
      </c>
      <c r="I165" s="31" t="s">
        <v>825</v>
      </c>
      <c r="J165" s="31" t="s">
        <v>836</v>
      </c>
      <c r="K165" s="31"/>
      <c r="L165" s="31"/>
      <c r="M165" s="31"/>
      <c r="N165" s="31"/>
    </row>
    <row r="166" ht="15" spans="1:14">
      <c r="A166" s="20"/>
      <c r="B166" s="20"/>
      <c r="C166" s="20"/>
      <c r="D166" s="20"/>
      <c r="E166" s="20"/>
      <c r="F166" s="21"/>
      <c r="G166" s="20"/>
      <c r="H166" s="31" t="s">
        <v>880</v>
      </c>
      <c r="I166" s="31" t="s">
        <v>879</v>
      </c>
      <c r="J166" s="31" t="s">
        <v>903</v>
      </c>
      <c r="K166" s="31"/>
      <c r="L166" s="31"/>
      <c r="M166" s="31"/>
      <c r="N166" s="31"/>
    </row>
    <row r="167" ht="15" spans="1:14">
      <c r="A167" s="20"/>
      <c r="B167" s="20"/>
      <c r="C167" s="20"/>
      <c r="D167" s="20"/>
      <c r="E167" s="20"/>
      <c r="F167" s="21"/>
      <c r="G167" s="20"/>
      <c r="H167" s="31" t="s">
        <v>882</v>
      </c>
      <c r="I167" s="31" t="s">
        <v>881</v>
      </c>
      <c r="J167" s="31" t="s">
        <v>904</v>
      </c>
      <c r="K167" s="31"/>
      <c r="L167" s="31"/>
      <c r="M167" s="31"/>
      <c r="N167" s="31"/>
    </row>
    <row r="168" ht="15" spans="1:14">
      <c r="A168" s="20"/>
      <c r="B168" s="20"/>
      <c r="C168" s="20"/>
      <c r="D168" s="20"/>
      <c r="E168" s="20"/>
      <c r="F168" s="21"/>
      <c r="G168" s="20"/>
      <c r="H168" s="31" t="s">
        <v>884</v>
      </c>
      <c r="I168" s="31" t="s">
        <v>883</v>
      </c>
      <c r="J168" s="31" t="s">
        <v>905</v>
      </c>
      <c r="K168" s="31"/>
      <c r="L168" s="31"/>
      <c r="M168" s="31"/>
      <c r="N168" s="31"/>
    </row>
    <row r="169" ht="15" spans="1:14">
      <c r="A169" s="20"/>
      <c r="B169" s="20"/>
      <c r="C169" s="20"/>
      <c r="D169" s="20"/>
      <c r="E169" s="20"/>
      <c r="F169" s="21"/>
      <c r="G169" s="20"/>
      <c r="H169" s="31" t="s">
        <v>886</v>
      </c>
      <c r="I169" s="31" t="s">
        <v>885</v>
      </c>
      <c r="J169" s="31" t="s">
        <v>906</v>
      </c>
      <c r="K169" s="31"/>
      <c r="L169" s="31"/>
      <c r="M169" s="31"/>
      <c r="N169" s="31"/>
    </row>
    <row r="170" ht="15" spans="1:14">
      <c r="A170" s="20"/>
      <c r="B170" s="20"/>
      <c r="C170" s="20"/>
      <c r="D170" s="20"/>
      <c r="E170" s="20"/>
      <c r="F170" s="21"/>
      <c r="G170" s="20"/>
      <c r="H170" s="31" t="s">
        <v>888</v>
      </c>
      <c r="I170" s="31" t="s">
        <v>887</v>
      </c>
      <c r="J170" s="31" t="s">
        <v>907</v>
      </c>
      <c r="K170" s="31"/>
      <c r="L170" s="31"/>
      <c r="M170" s="31"/>
      <c r="N170" s="31"/>
    </row>
    <row r="171" ht="15" spans="1:14">
      <c r="A171" s="20"/>
      <c r="B171" s="20"/>
      <c r="C171" s="20"/>
      <c r="D171" s="20"/>
      <c r="E171" s="20"/>
      <c r="F171" s="21"/>
      <c r="G171" s="20"/>
      <c r="H171" s="31" t="s">
        <v>890</v>
      </c>
      <c r="I171" s="31" t="s">
        <v>889</v>
      </c>
      <c r="J171" s="31" t="s">
        <v>908</v>
      </c>
      <c r="K171" s="31"/>
      <c r="L171" s="31"/>
      <c r="M171" s="31"/>
      <c r="N171" s="31"/>
    </row>
    <row r="172" ht="15" spans="1:14">
      <c r="A172" s="20"/>
      <c r="B172" s="20"/>
      <c r="C172" s="20"/>
      <c r="D172" s="20"/>
      <c r="E172" s="20"/>
      <c r="F172" s="21"/>
      <c r="G172" s="20"/>
      <c r="H172" s="31" t="s">
        <v>892</v>
      </c>
      <c r="I172" s="31" t="s">
        <v>891</v>
      </c>
      <c r="J172" s="31" t="s">
        <v>909</v>
      </c>
      <c r="K172" s="31"/>
      <c r="L172" s="31"/>
      <c r="M172" s="31"/>
      <c r="N172" s="31"/>
    </row>
    <row r="173" ht="15" spans="1:14">
      <c r="A173" s="20"/>
      <c r="B173" s="20"/>
      <c r="C173" s="20"/>
      <c r="D173" s="20"/>
      <c r="E173" s="20"/>
      <c r="F173" s="21"/>
      <c r="G173" s="20"/>
      <c r="H173" s="31" t="s">
        <v>894</v>
      </c>
      <c r="I173" s="31" t="s">
        <v>893</v>
      </c>
      <c r="J173" s="31" t="s">
        <v>910</v>
      </c>
      <c r="K173" s="31"/>
      <c r="L173" s="31"/>
      <c r="M173" s="31"/>
      <c r="N173" s="31"/>
    </row>
    <row r="174" ht="15" spans="1:14">
      <c r="A174" s="20" t="s">
        <v>152</v>
      </c>
      <c r="B174" s="20" t="s">
        <v>153</v>
      </c>
      <c r="C174" s="20" t="s">
        <v>302</v>
      </c>
      <c r="D174" s="24" t="s">
        <v>914</v>
      </c>
      <c r="E174" s="20" t="s">
        <v>830</v>
      </c>
      <c r="F174" s="21" t="s">
        <v>915</v>
      </c>
      <c r="G174" s="21" t="s">
        <v>899</v>
      </c>
      <c r="H174" s="31" t="s">
        <v>900</v>
      </c>
      <c r="I174" s="31" t="s">
        <v>901</v>
      </c>
      <c r="J174" s="31" t="s">
        <v>902</v>
      </c>
      <c r="K174" s="31"/>
      <c r="L174" s="31"/>
      <c r="M174" s="31"/>
      <c r="N174" s="31"/>
    </row>
    <row r="175" ht="15" spans="1:14">
      <c r="A175" s="20"/>
      <c r="B175" s="20"/>
      <c r="C175" s="20"/>
      <c r="D175" s="27"/>
      <c r="E175" s="20"/>
      <c r="F175" s="21"/>
      <c r="G175" s="21"/>
      <c r="H175" s="31" t="s">
        <v>712</v>
      </c>
      <c r="I175" s="31" t="s">
        <v>710</v>
      </c>
      <c r="J175" s="31" t="s">
        <v>714</v>
      </c>
      <c r="K175" s="31"/>
      <c r="L175" s="31"/>
      <c r="M175" s="31"/>
      <c r="N175" s="31"/>
    </row>
    <row r="176" ht="15" spans="1:14">
      <c r="A176" s="20"/>
      <c r="B176" s="20"/>
      <c r="C176" s="20"/>
      <c r="D176" s="27"/>
      <c r="E176" s="20"/>
      <c r="F176" s="20"/>
      <c r="G176" s="20"/>
      <c r="H176" s="31" t="s">
        <v>812</v>
      </c>
      <c r="I176" s="31" t="s">
        <v>813</v>
      </c>
      <c r="J176" s="31" t="s">
        <v>828</v>
      </c>
      <c r="K176" s="31"/>
      <c r="L176" s="31"/>
      <c r="M176" s="31"/>
      <c r="N176" s="31"/>
    </row>
    <row r="177" ht="15" spans="1:14">
      <c r="A177" s="20"/>
      <c r="B177" s="20"/>
      <c r="C177" s="20"/>
      <c r="D177" s="27"/>
      <c r="E177" s="20"/>
      <c r="F177" s="20"/>
      <c r="G177" s="20"/>
      <c r="H177" s="31" t="s">
        <v>814</v>
      </c>
      <c r="I177" s="31" t="s">
        <v>815</v>
      </c>
      <c r="J177" s="31" t="s">
        <v>829</v>
      </c>
      <c r="K177" s="31"/>
      <c r="L177" s="31"/>
      <c r="M177" s="31"/>
      <c r="N177" s="31"/>
    </row>
    <row r="178" ht="15" spans="1:14">
      <c r="A178" s="20"/>
      <c r="B178" s="20"/>
      <c r="C178" s="20"/>
      <c r="D178" s="27"/>
      <c r="E178" s="20"/>
      <c r="F178" s="20"/>
      <c r="G178" s="20"/>
      <c r="H178" s="31" t="s">
        <v>816</v>
      </c>
      <c r="I178" s="31" t="s">
        <v>817</v>
      </c>
      <c r="J178" s="31" t="s">
        <v>832</v>
      </c>
      <c r="K178" s="31"/>
      <c r="L178" s="31"/>
      <c r="M178" s="31"/>
      <c r="N178" s="31"/>
    </row>
    <row r="179" ht="15" spans="1:14">
      <c r="A179" s="20"/>
      <c r="B179" s="20"/>
      <c r="C179" s="20"/>
      <c r="D179" s="27"/>
      <c r="E179" s="20"/>
      <c r="F179" s="20"/>
      <c r="G179" s="20"/>
      <c r="H179" s="31" t="s">
        <v>818</v>
      </c>
      <c r="I179" s="31" t="s">
        <v>819</v>
      </c>
      <c r="J179" s="31" t="s">
        <v>833</v>
      </c>
      <c r="K179" s="31"/>
      <c r="L179" s="31"/>
      <c r="M179" s="31"/>
      <c r="N179" s="31"/>
    </row>
    <row r="180" ht="15" spans="1:14">
      <c r="A180" s="20"/>
      <c r="B180" s="20"/>
      <c r="C180" s="20"/>
      <c r="D180" s="27"/>
      <c r="E180" s="20"/>
      <c r="F180" s="20"/>
      <c r="G180" s="20"/>
      <c r="H180" s="31" t="s">
        <v>820</v>
      </c>
      <c r="I180" s="31" t="s">
        <v>821</v>
      </c>
      <c r="J180" s="31" t="s">
        <v>834</v>
      </c>
      <c r="K180" s="31"/>
      <c r="L180" s="31"/>
      <c r="M180" s="31"/>
      <c r="N180" s="31"/>
    </row>
    <row r="181" ht="15" spans="1:14">
      <c r="A181" s="20"/>
      <c r="B181" s="20"/>
      <c r="C181" s="20"/>
      <c r="D181" s="27"/>
      <c r="E181" s="20"/>
      <c r="F181" s="20"/>
      <c r="G181" s="20"/>
      <c r="H181" s="31" t="s">
        <v>822</v>
      </c>
      <c r="I181" s="31" t="s">
        <v>823</v>
      </c>
      <c r="J181" s="31" t="s">
        <v>835</v>
      </c>
      <c r="K181" s="31"/>
      <c r="L181" s="31"/>
      <c r="M181" s="31"/>
      <c r="N181" s="31"/>
    </row>
    <row r="182" ht="15" spans="1:14">
      <c r="A182" s="20"/>
      <c r="B182" s="20"/>
      <c r="C182" s="20"/>
      <c r="D182" s="27"/>
      <c r="E182" s="20"/>
      <c r="F182" s="20"/>
      <c r="G182" s="20"/>
      <c r="H182" s="31" t="s">
        <v>824</v>
      </c>
      <c r="I182" s="31" t="s">
        <v>825</v>
      </c>
      <c r="J182" s="31" t="s">
        <v>836</v>
      </c>
      <c r="K182" s="31"/>
      <c r="L182" s="31"/>
      <c r="M182" s="31"/>
      <c r="N182" s="31"/>
    </row>
    <row r="183" ht="15" spans="1:14">
      <c r="A183" s="20"/>
      <c r="B183" s="20"/>
      <c r="C183" s="20"/>
      <c r="D183" s="27"/>
      <c r="E183" s="20"/>
      <c r="F183" s="20"/>
      <c r="G183" s="20"/>
      <c r="H183" s="31" t="s">
        <v>880</v>
      </c>
      <c r="I183" s="31" t="s">
        <v>879</v>
      </c>
      <c r="J183" s="31" t="s">
        <v>903</v>
      </c>
      <c r="K183" s="31"/>
      <c r="L183" s="31"/>
      <c r="M183" s="31"/>
      <c r="N183" s="31"/>
    </row>
    <row r="184" ht="15" spans="1:14">
      <c r="A184" s="20"/>
      <c r="B184" s="20"/>
      <c r="C184" s="20"/>
      <c r="D184" s="27"/>
      <c r="E184" s="20"/>
      <c r="F184" s="20"/>
      <c r="G184" s="20"/>
      <c r="H184" s="31" t="s">
        <v>882</v>
      </c>
      <c r="I184" s="31" t="s">
        <v>881</v>
      </c>
      <c r="J184" s="31" t="s">
        <v>904</v>
      </c>
      <c r="K184" s="31"/>
      <c r="L184" s="31"/>
      <c r="M184" s="31"/>
      <c r="N184" s="31"/>
    </row>
    <row r="185" ht="15" spans="1:14">
      <c r="A185" s="20"/>
      <c r="B185" s="20"/>
      <c r="C185" s="20"/>
      <c r="D185" s="27"/>
      <c r="E185" s="20"/>
      <c r="F185" s="20"/>
      <c r="G185" s="20"/>
      <c r="H185" s="31" t="s">
        <v>884</v>
      </c>
      <c r="I185" s="31" t="s">
        <v>883</v>
      </c>
      <c r="J185" s="31" t="s">
        <v>905</v>
      </c>
      <c r="K185" s="31"/>
      <c r="L185" s="31"/>
      <c r="M185" s="31"/>
      <c r="N185" s="31"/>
    </row>
    <row r="186" ht="15" spans="1:14">
      <c r="A186" s="20"/>
      <c r="B186" s="20"/>
      <c r="C186" s="20"/>
      <c r="D186" s="27"/>
      <c r="E186" s="20"/>
      <c r="F186" s="20"/>
      <c r="G186" s="20"/>
      <c r="H186" s="31" t="s">
        <v>886</v>
      </c>
      <c r="I186" s="31" t="s">
        <v>885</v>
      </c>
      <c r="J186" s="31" t="s">
        <v>906</v>
      </c>
      <c r="K186" s="31"/>
      <c r="L186" s="31"/>
      <c r="M186" s="31"/>
      <c r="N186" s="31"/>
    </row>
    <row r="187" ht="15" spans="1:14">
      <c r="A187" s="20"/>
      <c r="B187" s="20"/>
      <c r="C187" s="20"/>
      <c r="D187" s="27"/>
      <c r="E187" s="20"/>
      <c r="F187" s="20"/>
      <c r="G187" s="20"/>
      <c r="H187" s="31" t="s">
        <v>888</v>
      </c>
      <c r="I187" s="31" t="s">
        <v>887</v>
      </c>
      <c r="J187" s="31" t="s">
        <v>907</v>
      </c>
      <c r="K187" s="31"/>
      <c r="L187" s="31"/>
      <c r="M187" s="31"/>
      <c r="N187" s="31"/>
    </row>
    <row r="188" ht="15" spans="1:14">
      <c r="A188" s="20"/>
      <c r="B188" s="20"/>
      <c r="C188" s="20"/>
      <c r="D188" s="27"/>
      <c r="E188" s="20"/>
      <c r="F188" s="20"/>
      <c r="G188" s="20"/>
      <c r="H188" s="31" t="s">
        <v>890</v>
      </c>
      <c r="I188" s="31" t="s">
        <v>889</v>
      </c>
      <c r="J188" s="31" t="s">
        <v>908</v>
      </c>
      <c r="K188" s="31"/>
      <c r="L188" s="31"/>
      <c r="M188" s="31"/>
      <c r="N188" s="31"/>
    </row>
    <row r="189" ht="15" spans="1:14">
      <c r="A189" s="20"/>
      <c r="B189" s="20"/>
      <c r="C189" s="20"/>
      <c r="D189" s="27"/>
      <c r="E189" s="20"/>
      <c r="F189" s="20"/>
      <c r="G189" s="20"/>
      <c r="H189" s="31" t="s">
        <v>892</v>
      </c>
      <c r="I189" s="31" t="s">
        <v>891</v>
      </c>
      <c r="J189" s="31" t="s">
        <v>909</v>
      </c>
      <c r="K189" s="31"/>
      <c r="L189" s="31"/>
      <c r="M189" s="31"/>
      <c r="N189" s="31"/>
    </row>
    <row r="190" ht="15" spans="1:14">
      <c r="A190" s="20"/>
      <c r="B190" s="20"/>
      <c r="C190" s="20"/>
      <c r="D190" s="29"/>
      <c r="E190" s="20"/>
      <c r="F190" s="20"/>
      <c r="G190" s="20"/>
      <c r="H190" s="31" t="s">
        <v>894</v>
      </c>
      <c r="I190" s="31" t="s">
        <v>893</v>
      </c>
      <c r="J190" s="31" t="s">
        <v>910</v>
      </c>
      <c r="K190" s="31"/>
      <c r="L190" s="31"/>
      <c r="M190" s="31"/>
      <c r="N190" s="31"/>
    </row>
    <row r="191" ht="15" spans="1:14">
      <c r="A191" s="23" t="s">
        <v>150</v>
      </c>
      <c r="B191" s="23" t="s">
        <v>148</v>
      </c>
      <c r="C191" s="23" t="s">
        <v>280</v>
      </c>
      <c r="D191" s="23" t="s">
        <v>916</v>
      </c>
      <c r="E191" s="23" t="s">
        <v>807</v>
      </c>
      <c r="F191" s="24" t="s">
        <v>917</v>
      </c>
      <c r="G191" s="23" t="s">
        <v>918</v>
      </c>
      <c r="H191" s="25" t="s">
        <v>810</v>
      </c>
      <c r="I191" s="30"/>
      <c r="J191" s="31" t="s">
        <v>811</v>
      </c>
      <c r="K191" s="31"/>
      <c r="L191" s="31"/>
      <c r="M191" s="31"/>
      <c r="N191" s="31"/>
    </row>
    <row r="192" customHeight="1" spans="1:14">
      <c r="A192" s="26"/>
      <c r="B192" s="26"/>
      <c r="C192" s="26"/>
      <c r="D192" s="26"/>
      <c r="E192" s="26"/>
      <c r="F192" s="27"/>
      <c r="G192" s="26"/>
      <c r="H192" s="25">
        <v>2</v>
      </c>
      <c r="I192" s="30"/>
      <c r="J192" s="31">
        <v>4</v>
      </c>
      <c r="K192" s="31"/>
      <c r="L192" s="31"/>
      <c r="M192" s="31"/>
      <c r="N192" s="31"/>
    </row>
    <row r="193" ht="15" spans="1:14">
      <c r="A193" s="26"/>
      <c r="B193" s="26"/>
      <c r="C193" s="26"/>
      <c r="D193" s="26"/>
      <c r="E193" s="26"/>
      <c r="F193" s="27"/>
      <c r="G193" s="26"/>
      <c r="H193" s="25">
        <v>6</v>
      </c>
      <c r="I193" s="30"/>
      <c r="J193" s="31">
        <v>8</v>
      </c>
      <c r="K193" s="31"/>
      <c r="L193" s="31"/>
      <c r="M193" s="31"/>
      <c r="N193" s="31"/>
    </row>
    <row r="194" ht="15" spans="1:14">
      <c r="A194" s="26"/>
      <c r="B194" s="26"/>
      <c r="C194" s="26"/>
      <c r="D194" s="26"/>
      <c r="E194" s="26"/>
      <c r="F194" s="27"/>
      <c r="G194" s="26"/>
      <c r="H194" s="25">
        <v>10</v>
      </c>
      <c r="I194" s="30"/>
      <c r="J194" s="31">
        <v>12</v>
      </c>
      <c r="K194" s="31"/>
      <c r="L194" s="31"/>
      <c r="M194" s="31"/>
      <c r="N194" s="31"/>
    </row>
    <row r="195" ht="15" spans="1:14">
      <c r="A195" s="26"/>
      <c r="B195" s="26"/>
      <c r="C195" s="26"/>
      <c r="D195" s="26"/>
      <c r="E195" s="26"/>
      <c r="F195" s="27"/>
      <c r="G195" s="26"/>
      <c r="H195" s="25">
        <v>14</v>
      </c>
      <c r="I195" s="30"/>
      <c r="J195" s="31">
        <v>16</v>
      </c>
      <c r="K195" s="31"/>
      <c r="L195" s="31"/>
      <c r="M195" s="31"/>
      <c r="N195" s="31"/>
    </row>
    <row r="196" ht="15" spans="1:14">
      <c r="A196" s="26"/>
      <c r="B196" s="26"/>
      <c r="C196" s="26"/>
      <c r="D196" s="26"/>
      <c r="E196" s="26"/>
      <c r="F196" s="27"/>
      <c r="G196" s="26"/>
      <c r="H196" s="25">
        <v>18</v>
      </c>
      <c r="I196" s="30"/>
      <c r="J196" s="31">
        <v>20</v>
      </c>
      <c r="K196" s="31"/>
      <c r="L196" s="31"/>
      <c r="M196" s="31"/>
      <c r="N196" s="31"/>
    </row>
    <row r="197" ht="15" spans="1:14">
      <c r="A197" s="26"/>
      <c r="B197" s="26"/>
      <c r="C197" s="26"/>
      <c r="D197" s="26"/>
      <c r="E197" s="26"/>
      <c r="F197" s="27"/>
      <c r="G197" s="26"/>
      <c r="H197" s="25">
        <v>22</v>
      </c>
      <c r="I197" s="30"/>
      <c r="J197" s="31">
        <v>24</v>
      </c>
      <c r="K197" s="31"/>
      <c r="L197" s="31"/>
      <c r="M197" s="31"/>
      <c r="N197" s="31"/>
    </row>
    <row r="198" ht="15" spans="1:14">
      <c r="A198" s="26"/>
      <c r="B198" s="26"/>
      <c r="C198" s="26"/>
      <c r="D198" s="26"/>
      <c r="E198" s="26"/>
      <c r="F198" s="27"/>
      <c r="G198" s="26"/>
      <c r="H198" s="25">
        <v>26</v>
      </c>
      <c r="I198" s="30"/>
      <c r="J198" s="31">
        <v>28</v>
      </c>
      <c r="K198" s="31"/>
      <c r="L198" s="31"/>
      <c r="M198" s="31"/>
      <c r="N198" s="31"/>
    </row>
    <row r="199" ht="15" spans="1:14">
      <c r="A199" s="28"/>
      <c r="B199" s="28"/>
      <c r="C199" s="28"/>
      <c r="D199" s="28"/>
      <c r="E199" s="28"/>
      <c r="F199" s="29"/>
      <c r="G199" s="28"/>
      <c r="H199" s="25">
        <v>30</v>
      </c>
      <c r="I199" s="30"/>
      <c r="J199" s="31">
        <v>32</v>
      </c>
      <c r="K199" s="31"/>
      <c r="L199" s="31"/>
      <c r="M199" s="31"/>
      <c r="N199" s="31"/>
    </row>
    <row r="200" ht="15" spans="1:14">
      <c r="A200" s="23" t="s">
        <v>151</v>
      </c>
      <c r="B200" s="23" t="s">
        <v>148</v>
      </c>
      <c r="C200" s="23" t="s">
        <v>919</v>
      </c>
      <c r="D200" s="23" t="s">
        <v>918</v>
      </c>
      <c r="E200" s="23" t="s">
        <v>918</v>
      </c>
      <c r="F200" s="23" t="s">
        <v>918</v>
      </c>
      <c r="G200" s="23" t="s">
        <v>918</v>
      </c>
      <c r="H200" s="25" t="s">
        <v>920</v>
      </c>
      <c r="I200" s="22"/>
      <c r="J200" s="22"/>
      <c r="K200" s="22"/>
      <c r="L200" s="30"/>
      <c r="M200" s="31"/>
      <c r="N200" s="31"/>
    </row>
    <row r="201" ht="15" spans="1:14">
      <c r="A201" s="26"/>
      <c r="B201" s="26"/>
      <c r="C201" s="26"/>
      <c r="D201" s="26"/>
      <c r="E201" s="26"/>
      <c r="F201" s="26"/>
      <c r="G201" s="26"/>
      <c r="H201" s="55" t="s">
        <v>921</v>
      </c>
      <c r="I201" s="56"/>
      <c r="J201" s="25" t="s">
        <v>922</v>
      </c>
      <c r="K201" s="31" t="s">
        <v>923</v>
      </c>
      <c r="L201" s="31" t="s">
        <v>924</v>
      </c>
      <c r="M201" s="31"/>
      <c r="N201" s="31"/>
    </row>
    <row r="202" ht="15" spans="1:14">
      <c r="A202" s="26"/>
      <c r="B202" s="26"/>
      <c r="C202" s="26"/>
      <c r="D202" s="26"/>
      <c r="E202" s="26"/>
      <c r="F202" s="26"/>
      <c r="G202" s="26"/>
      <c r="H202" s="55" t="s">
        <v>925</v>
      </c>
      <c r="I202" s="56"/>
      <c r="J202" s="25">
        <v>8</v>
      </c>
      <c r="K202" s="31">
        <v>12</v>
      </c>
      <c r="L202" s="31">
        <v>10</v>
      </c>
      <c r="M202" s="31"/>
      <c r="N202" s="31"/>
    </row>
    <row r="203" ht="15" spans="1:14">
      <c r="A203" s="28"/>
      <c r="B203" s="28"/>
      <c r="C203" s="28"/>
      <c r="D203" s="28"/>
      <c r="E203" s="28"/>
      <c r="F203" s="28"/>
      <c r="G203" s="28"/>
      <c r="H203" s="55" t="s">
        <v>926</v>
      </c>
      <c r="I203" s="56"/>
      <c r="J203" s="25">
        <v>28</v>
      </c>
      <c r="K203" s="31">
        <v>32</v>
      </c>
      <c r="L203" s="31">
        <v>30</v>
      </c>
      <c r="M203" s="31"/>
      <c r="N203" s="31"/>
    </row>
  </sheetData>
  <mergeCells count="270">
    <mergeCell ref="H1:I1"/>
    <mergeCell ref="H2:I2"/>
    <mergeCell ref="H3:I3"/>
    <mergeCell ref="H4:I4"/>
    <mergeCell ref="H5:I5"/>
    <mergeCell ref="H6:I6"/>
    <mergeCell ref="H7:I7"/>
    <mergeCell ref="H8:I8"/>
    <mergeCell ref="H9:I9"/>
    <mergeCell ref="H10:I10"/>
    <mergeCell ref="H11:I11"/>
    <mergeCell ref="H12:I12"/>
    <mergeCell ref="H13:I13"/>
    <mergeCell ref="H14:I14"/>
    <mergeCell ref="H15:I15"/>
    <mergeCell ref="H16:I16"/>
    <mergeCell ref="H17:I17"/>
    <mergeCell ref="H18:I18"/>
    <mergeCell ref="H19:I19"/>
    <mergeCell ref="H20:I20"/>
    <mergeCell ref="K20:N20"/>
    <mergeCell ref="H21:I21"/>
    <mergeCell ref="H22:I22"/>
    <mergeCell ref="H23:I23"/>
    <mergeCell ref="H24:I24"/>
    <mergeCell ref="H25:I25"/>
    <mergeCell ref="H26:I26"/>
    <mergeCell ref="H27:I27"/>
    <mergeCell ref="H28:I28"/>
    <mergeCell ref="H29:I29"/>
    <mergeCell ref="K29:N29"/>
    <mergeCell ref="H30:I30"/>
    <mergeCell ref="H31:I31"/>
    <mergeCell ref="H32:I32"/>
    <mergeCell ref="H33:I33"/>
    <mergeCell ref="H34:I34"/>
    <mergeCell ref="H35:I35"/>
    <mergeCell ref="H36:I36"/>
    <mergeCell ref="H37:I37"/>
    <mergeCell ref="H38:I38"/>
    <mergeCell ref="H39:I39"/>
    <mergeCell ref="H40:I40"/>
    <mergeCell ref="H41:I41"/>
    <mergeCell ref="H42:I42"/>
    <mergeCell ref="H43:I43"/>
    <mergeCell ref="H44:I44"/>
    <mergeCell ref="H45:I45"/>
    <mergeCell ref="H46:I46"/>
    <mergeCell ref="H47:I47"/>
    <mergeCell ref="H48:I48"/>
    <mergeCell ref="H49:I49"/>
    <mergeCell ref="H50:I50"/>
    <mergeCell ref="H51:I51"/>
    <mergeCell ref="H52:I52"/>
    <mergeCell ref="H53:I53"/>
    <mergeCell ref="H54:I54"/>
    <mergeCell ref="H55:I55"/>
    <mergeCell ref="H56:I56"/>
    <mergeCell ref="H57:I57"/>
    <mergeCell ref="H58:I58"/>
    <mergeCell ref="H59:I59"/>
    <mergeCell ref="H60:I60"/>
    <mergeCell ref="H61:I61"/>
    <mergeCell ref="H62:I62"/>
    <mergeCell ref="H63:I63"/>
    <mergeCell ref="H64:I64"/>
    <mergeCell ref="H65:I65"/>
    <mergeCell ref="H66:I66"/>
    <mergeCell ref="H67:I67"/>
    <mergeCell ref="H68:I68"/>
    <mergeCell ref="H69:I69"/>
    <mergeCell ref="H70:I70"/>
    <mergeCell ref="H71:I71"/>
    <mergeCell ref="H72:I72"/>
    <mergeCell ref="H73:I73"/>
    <mergeCell ref="H74:I74"/>
    <mergeCell ref="H75:I75"/>
    <mergeCell ref="H76:I76"/>
    <mergeCell ref="H77:I77"/>
    <mergeCell ref="H78:I78"/>
    <mergeCell ref="H79:I79"/>
    <mergeCell ref="H80:I80"/>
    <mergeCell ref="K80:N80"/>
    <mergeCell ref="H81:I81"/>
    <mergeCell ref="H82:I82"/>
    <mergeCell ref="H83:I83"/>
    <mergeCell ref="H84:I84"/>
    <mergeCell ref="H85:I85"/>
    <mergeCell ref="H86:I86"/>
    <mergeCell ref="H87:I87"/>
    <mergeCell ref="H88:I88"/>
    <mergeCell ref="H89:I89"/>
    <mergeCell ref="H90:I90"/>
    <mergeCell ref="H91:I91"/>
    <mergeCell ref="H92:I92"/>
    <mergeCell ref="H93:I93"/>
    <mergeCell ref="H94:I94"/>
    <mergeCell ref="H95:I95"/>
    <mergeCell ref="H96:I96"/>
    <mergeCell ref="H97:I97"/>
    <mergeCell ref="H98:I98"/>
    <mergeCell ref="H99:I99"/>
    <mergeCell ref="H100:I100"/>
    <mergeCell ref="H101:I101"/>
    <mergeCell ref="H102:I102"/>
    <mergeCell ref="H103:I103"/>
    <mergeCell ref="H104:I104"/>
    <mergeCell ref="H105:I105"/>
    <mergeCell ref="H106:I106"/>
    <mergeCell ref="H107:I107"/>
    <mergeCell ref="H108:I108"/>
    <mergeCell ref="H109:I109"/>
    <mergeCell ref="H110:I110"/>
    <mergeCell ref="H111:I111"/>
    <mergeCell ref="H112:I112"/>
    <mergeCell ref="H113:I113"/>
    <mergeCell ref="H114:I114"/>
    <mergeCell ref="H115:I115"/>
    <mergeCell ref="H116:I116"/>
    <mergeCell ref="H117:I117"/>
    <mergeCell ref="H118:I118"/>
    <mergeCell ref="H119:I119"/>
    <mergeCell ref="H120:I120"/>
    <mergeCell ref="H121:I121"/>
    <mergeCell ref="H122:I122"/>
    <mergeCell ref="H191:I191"/>
    <mergeCell ref="H192:I192"/>
    <mergeCell ref="H193:I193"/>
    <mergeCell ref="H194:I194"/>
    <mergeCell ref="H195:I195"/>
    <mergeCell ref="H196:I196"/>
    <mergeCell ref="H197:I197"/>
    <mergeCell ref="H198:I198"/>
    <mergeCell ref="H199:I199"/>
    <mergeCell ref="H200:L200"/>
    <mergeCell ref="H201:I201"/>
    <mergeCell ref="H202:I202"/>
    <mergeCell ref="H203:I203"/>
    <mergeCell ref="A2:A10"/>
    <mergeCell ref="A11:A19"/>
    <mergeCell ref="A20:A28"/>
    <mergeCell ref="A29:A37"/>
    <mergeCell ref="A38:A45"/>
    <mergeCell ref="A46:A53"/>
    <mergeCell ref="A54:A61"/>
    <mergeCell ref="A62:A70"/>
    <mergeCell ref="A71:A79"/>
    <mergeCell ref="A80:A88"/>
    <mergeCell ref="A89:A105"/>
    <mergeCell ref="A106:A122"/>
    <mergeCell ref="A123:A139"/>
    <mergeCell ref="A140:A156"/>
    <mergeCell ref="A157:A173"/>
    <mergeCell ref="A174:A190"/>
    <mergeCell ref="A191:A199"/>
    <mergeCell ref="A200:A203"/>
    <mergeCell ref="B2:B10"/>
    <mergeCell ref="B11:B19"/>
    <mergeCell ref="B20:B28"/>
    <mergeCell ref="B29:B37"/>
    <mergeCell ref="B38:B45"/>
    <mergeCell ref="B46:B53"/>
    <mergeCell ref="B54:B61"/>
    <mergeCell ref="B62:B70"/>
    <mergeCell ref="B71:B79"/>
    <mergeCell ref="B80:B88"/>
    <mergeCell ref="B89:B105"/>
    <mergeCell ref="B106:B122"/>
    <mergeCell ref="B123:B139"/>
    <mergeCell ref="B140:B156"/>
    <mergeCell ref="B157:B173"/>
    <mergeCell ref="B174:B190"/>
    <mergeCell ref="B191:B199"/>
    <mergeCell ref="B200:B203"/>
    <mergeCell ref="C2:C10"/>
    <mergeCell ref="C11:C19"/>
    <mergeCell ref="C20:C28"/>
    <mergeCell ref="C29:C37"/>
    <mergeCell ref="C38:C45"/>
    <mergeCell ref="C46:C53"/>
    <mergeCell ref="C54:C61"/>
    <mergeCell ref="C62:C70"/>
    <mergeCell ref="C71:C79"/>
    <mergeCell ref="C80:C88"/>
    <mergeCell ref="C89:C105"/>
    <mergeCell ref="C106:C122"/>
    <mergeCell ref="C123:C139"/>
    <mergeCell ref="C140:C156"/>
    <mergeCell ref="C157:C173"/>
    <mergeCell ref="C174:C190"/>
    <mergeCell ref="C191:C199"/>
    <mergeCell ref="C200:C203"/>
    <mergeCell ref="D2:D10"/>
    <mergeCell ref="D11:D19"/>
    <mergeCell ref="D20:D28"/>
    <mergeCell ref="D29:D37"/>
    <mergeCell ref="D38:D45"/>
    <mergeCell ref="D46:D53"/>
    <mergeCell ref="D54:D61"/>
    <mergeCell ref="D62:D70"/>
    <mergeCell ref="D71:D79"/>
    <mergeCell ref="D80:D88"/>
    <mergeCell ref="D89:D105"/>
    <mergeCell ref="D106:D122"/>
    <mergeCell ref="D123:D139"/>
    <mergeCell ref="D140:D156"/>
    <mergeCell ref="D157:D173"/>
    <mergeCell ref="D174:D190"/>
    <mergeCell ref="D191:D199"/>
    <mergeCell ref="D200:D203"/>
    <mergeCell ref="E2:E10"/>
    <mergeCell ref="E11:E14"/>
    <mergeCell ref="E15:E19"/>
    <mergeCell ref="E20:E28"/>
    <mergeCell ref="E29:E32"/>
    <mergeCell ref="E33:E37"/>
    <mergeCell ref="E38:E45"/>
    <mergeCell ref="E46:E53"/>
    <mergeCell ref="E54:E61"/>
    <mergeCell ref="E62:E70"/>
    <mergeCell ref="E71:E79"/>
    <mergeCell ref="E80:E88"/>
    <mergeCell ref="E89:E105"/>
    <mergeCell ref="E106:E122"/>
    <mergeCell ref="E123:E139"/>
    <mergeCell ref="E140:E156"/>
    <mergeCell ref="E157:E173"/>
    <mergeCell ref="E174:E190"/>
    <mergeCell ref="E191:E199"/>
    <mergeCell ref="E200:E203"/>
    <mergeCell ref="F2:F10"/>
    <mergeCell ref="F11:F14"/>
    <mergeCell ref="F15:F19"/>
    <mergeCell ref="F20:F28"/>
    <mergeCell ref="F29:F32"/>
    <mergeCell ref="F33:F37"/>
    <mergeCell ref="F38:F45"/>
    <mergeCell ref="F46:F53"/>
    <mergeCell ref="F54:F61"/>
    <mergeCell ref="F62:F70"/>
    <mergeCell ref="F71:F79"/>
    <mergeCell ref="F80:F88"/>
    <mergeCell ref="F89:F105"/>
    <mergeCell ref="F106:F122"/>
    <mergeCell ref="F123:F139"/>
    <mergeCell ref="F140:F156"/>
    <mergeCell ref="F157:F173"/>
    <mergeCell ref="F174:F190"/>
    <mergeCell ref="F191:F199"/>
    <mergeCell ref="F200:F203"/>
    <mergeCell ref="G2:G10"/>
    <mergeCell ref="G11:G19"/>
    <mergeCell ref="G20:G28"/>
    <mergeCell ref="G29:G37"/>
    <mergeCell ref="G38:G45"/>
    <mergeCell ref="G46:G53"/>
    <mergeCell ref="G54:G61"/>
    <mergeCell ref="G62:G70"/>
    <mergeCell ref="G71:G79"/>
    <mergeCell ref="G80:G88"/>
    <mergeCell ref="G89:G105"/>
    <mergeCell ref="G106:G122"/>
    <mergeCell ref="G123:G139"/>
    <mergeCell ref="G140:G156"/>
    <mergeCell ref="G157:G173"/>
    <mergeCell ref="G174:G190"/>
    <mergeCell ref="G191:G199"/>
    <mergeCell ref="G200:G203"/>
    <mergeCell ref="N82:N83"/>
    <mergeCell ref="H141:J156"/>
  </mergeCells>
  <pageMargins left="0.7" right="0.7" top="0.75" bottom="0.75" header="0.3" footer="0.3"/>
  <pageSetup paperSize="9"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8"/>
  <dimension ref="A1:F16"/>
  <sheetViews>
    <sheetView tabSelected="1" workbookViewId="0">
      <selection activeCell="A1" sqref="A1"/>
    </sheetView>
  </sheetViews>
  <sheetFormatPr defaultColWidth="8.66666666666667" defaultRowHeight="14.25" outlineLevelCol="5"/>
  <cols>
    <col min="1" max="1" width="7.5" style="5" customWidth="1"/>
    <col min="2" max="2" width="89.5" style="5" customWidth="1"/>
    <col min="3" max="4" width="8.66666666666667" style="5"/>
    <col min="5" max="5" width="9.41666666666667" style="2"/>
    <col min="6" max="16384" width="8.66666666666667" style="5"/>
  </cols>
  <sheetData>
    <row r="1" s="1" customFormat="1" ht="18" customHeight="1" spans="1:6">
      <c r="A1" s="6" t="s">
        <v>71</v>
      </c>
      <c r="B1" s="6" t="s">
        <v>927</v>
      </c>
      <c r="C1" s="6" t="s">
        <v>685</v>
      </c>
      <c r="D1" s="6" t="s">
        <v>928</v>
      </c>
      <c r="E1" s="6" t="s">
        <v>929</v>
      </c>
      <c r="F1" s="6" t="s">
        <v>649</v>
      </c>
    </row>
    <row r="2" s="2" customFormat="1" ht="26" customHeight="1" spans="1:6">
      <c r="A2" s="7">
        <v>1</v>
      </c>
      <c r="B2" s="8" t="s">
        <v>930</v>
      </c>
      <c r="C2" s="7" t="s">
        <v>669</v>
      </c>
      <c r="D2" s="7" t="s">
        <v>931</v>
      </c>
      <c r="E2" s="7">
        <v>20240305</v>
      </c>
      <c r="F2" s="7"/>
    </row>
    <row r="3" ht="42.75" spans="1:6">
      <c r="A3" s="7">
        <v>2</v>
      </c>
      <c r="B3" s="8" t="s">
        <v>932</v>
      </c>
      <c r="C3" s="7" t="s">
        <v>432</v>
      </c>
      <c r="D3" s="7" t="s">
        <v>933</v>
      </c>
      <c r="E3" s="7">
        <v>20240318</v>
      </c>
      <c r="F3" s="7" t="s">
        <v>934</v>
      </c>
    </row>
    <row r="4" ht="28.5" spans="1:6">
      <c r="A4" s="7"/>
      <c r="B4" s="8" t="s">
        <v>935</v>
      </c>
      <c r="C4" s="7"/>
      <c r="D4" s="7"/>
      <c r="E4" s="7">
        <v>20240319</v>
      </c>
      <c r="F4" s="7" t="s">
        <v>936</v>
      </c>
    </row>
    <row r="5" spans="1:6">
      <c r="A5" s="7"/>
      <c r="B5" s="9" t="s">
        <v>937</v>
      </c>
      <c r="C5" s="7"/>
      <c r="D5" s="7"/>
      <c r="E5" s="7">
        <v>20240320</v>
      </c>
      <c r="F5" s="7" t="s">
        <v>938</v>
      </c>
    </row>
    <row r="6" ht="57" spans="1:6">
      <c r="A6" s="7"/>
      <c r="B6" s="10" t="s">
        <v>939</v>
      </c>
      <c r="C6" s="7"/>
      <c r="D6" s="7"/>
      <c r="E6" s="7">
        <v>20240329</v>
      </c>
      <c r="F6" s="7" t="s">
        <v>940</v>
      </c>
    </row>
    <row r="7" ht="57" spans="1:6">
      <c r="A7" s="7"/>
      <c r="B7" s="10" t="s">
        <v>941</v>
      </c>
      <c r="C7" s="7"/>
      <c r="D7" s="7"/>
      <c r="E7" s="7">
        <v>20240418</v>
      </c>
      <c r="F7" s="7" t="s">
        <v>942</v>
      </c>
    </row>
    <row r="8" ht="42.75" spans="1:6">
      <c r="A8" s="7"/>
      <c r="B8" s="10" t="s">
        <v>943</v>
      </c>
      <c r="C8" s="7"/>
      <c r="D8" s="7"/>
      <c r="E8" s="7">
        <v>20240514</v>
      </c>
      <c r="F8" s="7" t="s">
        <v>944</v>
      </c>
    </row>
    <row r="9" ht="57" spans="1:6">
      <c r="A9" s="7"/>
      <c r="B9" s="11" t="s">
        <v>945</v>
      </c>
      <c r="C9" s="7"/>
      <c r="D9" s="7"/>
      <c r="E9" s="7">
        <v>20240624</v>
      </c>
      <c r="F9" s="7" t="s">
        <v>946</v>
      </c>
    </row>
    <row r="10" ht="57" spans="1:6">
      <c r="A10" s="7"/>
      <c r="B10" s="11" t="s">
        <v>947</v>
      </c>
      <c r="C10" s="7"/>
      <c r="D10" s="7"/>
      <c r="E10" s="7">
        <v>20240829</v>
      </c>
      <c r="F10" s="7" t="s">
        <v>948</v>
      </c>
    </row>
    <row r="11" s="2" customFormat="1" ht="28" customHeight="1" spans="1:6">
      <c r="A11" s="7">
        <v>3</v>
      </c>
      <c r="B11" s="8" t="s">
        <v>949</v>
      </c>
      <c r="C11" s="7" t="s">
        <v>674</v>
      </c>
      <c r="D11" s="7" t="s">
        <v>933</v>
      </c>
      <c r="E11" s="7">
        <v>20240911</v>
      </c>
      <c r="F11" s="7" t="s">
        <v>950</v>
      </c>
    </row>
    <row r="12" ht="28" customHeight="1" spans="1:6">
      <c r="A12" s="7"/>
      <c r="B12" s="8" t="s">
        <v>951</v>
      </c>
      <c r="C12" s="7"/>
      <c r="D12" s="7"/>
      <c r="E12" s="7">
        <v>20241011</v>
      </c>
      <c r="F12" s="7" t="s">
        <v>952</v>
      </c>
    </row>
    <row r="13" ht="42.75" spans="1:6">
      <c r="A13" s="12">
        <v>4</v>
      </c>
      <c r="B13" s="11" t="s">
        <v>953</v>
      </c>
      <c r="C13" s="12" t="s">
        <v>676</v>
      </c>
      <c r="D13" s="12" t="s">
        <v>931</v>
      </c>
      <c r="E13" s="13">
        <v>20241209</v>
      </c>
      <c r="F13" s="7" t="s">
        <v>954</v>
      </c>
    </row>
    <row r="14" spans="1:6">
      <c r="A14" s="12"/>
      <c r="B14" s="14" t="s">
        <v>955</v>
      </c>
      <c r="C14" s="12"/>
      <c r="D14" s="12" t="s">
        <v>933</v>
      </c>
      <c r="E14" s="13">
        <v>20241210</v>
      </c>
      <c r="F14" s="7" t="s">
        <v>956</v>
      </c>
    </row>
    <row r="15" s="3" customFormat="1" ht="21" customHeight="1" spans="1:6">
      <c r="A15" s="12">
        <v>5</v>
      </c>
      <c r="B15" s="14" t="s">
        <v>957</v>
      </c>
      <c r="C15" s="12" t="s">
        <v>958</v>
      </c>
      <c r="D15" s="12" t="s">
        <v>959</v>
      </c>
      <c r="E15" s="12">
        <v>20241216</v>
      </c>
      <c r="F15" s="12"/>
    </row>
    <row r="16" s="4" customFormat="1" ht="21" customHeight="1" spans="1:6">
      <c r="A16" s="12">
        <v>6</v>
      </c>
      <c r="B16" s="15" t="s">
        <v>960</v>
      </c>
      <c r="C16" s="12" t="s">
        <v>961</v>
      </c>
      <c r="D16" s="12" t="s">
        <v>933</v>
      </c>
      <c r="E16" s="12">
        <v>20250903</v>
      </c>
      <c r="F16" s="16"/>
    </row>
  </sheetData>
  <mergeCells count="8">
    <mergeCell ref="A3:A10"/>
    <mergeCell ref="A11:A12"/>
    <mergeCell ref="A13:A14"/>
    <mergeCell ref="C3:C10"/>
    <mergeCell ref="C11:C12"/>
    <mergeCell ref="C13:C14"/>
    <mergeCell ref="D3:D10"/>
    <mergeCell ref="D11:D12"/>
  </mergeCells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12</vt:i4>
      </vt:variant>
    </vt:vector>
  </HeadingPairs>
  <TitlesOfParts>
    <vt:vector size="12" baseType="lpstr">
      <vt:lpstr>封皮1</vt:lpstr>
      <vt:lpstr>封皮2</vt:lpstr>
      <vt:lpstr>文件修改记录</vt:lpstr>
      <vt:lpstr>目录</vt:lpstr>
      <vt:lpstr>修改记录(不发布)</vt:lpstr>
      <vt:lpstr>板卡清单</vt:lpstr>
      <vt:lpstr>IO分站清单</vt:lpstr>
      <vt:lpstr>Sheet1</vt:lpstr>
      <vt:lpstr>机柜报警（不发布）</vt:lpstr>
      <vt:lpstr>填写说明(不发布)</vt:lpstr>
      <vt:lpstr>端子接线说明20240402(不发布)</vt:lpstr>
      <vt:lpstr>模板修改记录(不发布)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尹晨旭</cp:lastModifiedBy>
  <dcterms:created xsi:type="dcterms:W3CDTF">2019-09-30T02:19:00Z</dcterms:created>
  <cp:lastPrinted>2022-09-13T06:42:00Z</cp:lastPrinted>
  <dcterms:modified xsi:type="dcterms:W3CDTF">2025-09-04T06:03:47Z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2052-11.8.2.12119</vt:lpwstr>
  </property>
  <property fmtid="{D5CDD505-2E9C-101B-9397-08002B2CF9AE}" pid="3" name="ICV">
    <vt:lpwstr>E634F73D3E7445328ABAAB3A343B6C2D</vt:lpwstr>
  </property>
  <property fmtid="{D5CDD505-2E9C-101B-9397-08002B2CF9AE}" pid="4" name="KSOReadingLayout">
    <vt:bool>false</vt:bool>
  </property>
</Properties>
</file>